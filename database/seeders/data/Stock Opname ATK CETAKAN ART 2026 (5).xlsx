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ATK,CETAKAN, ART - T.A 2026" sheetId="1" r:id="rId5"/>
    <sheet state="visible" name="REKAP MUTASI Persediaan 2025" sheetId="2" r:id="rId6"/>
    <sheet state="visible" name="TW 2 2025" sheetId="3" r:id="rId7"/>
    <sheet state="visible" name="TW 1 2026" sheetId="4" r:id="rId8"/>
  </sheets>
  <definedNames>
    <definedName hidden="1" localSheetId="0" name="_xlnm._FilterDatabase">'SO ATK,CETAKAN, ART - T.A 2026'!$C$248:$H$301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tc={2be86868-dac7-479e-a1aa-f7288c557820}</author>
    <author>tc={6d65a5cf-b932-48ff-a920-f50287ed119a}</author>
  </authors>
  <commentList>
    <comment authorId="0" xr:uid="{2be86868-dac7-479e-a1aa-f7288c557820}" ref="A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Gudang Pratama
</t>
      </text>
    </comment>
    <comment authorId="1" xr:uid="{6d65a5cf-b932-48ff-a920-f50287ed119a}" ref="AJ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PENGADAAN &amp; KEUANGAN
</t>
      </text>
    </comment>
  </commentList>
</comments>
</file>

<file path=xl/sharedStrings.xml><?xml version="1.0" encoding="utf-8"?>
<sst xmlns="http://schemas.openxmlformats.org/spreadsheetml/2006/main" count="3078" uniqueCount="682">
  <si>
    <t>PUSAT PELAYANAN KESEHATAN PEGAWAI</t>
  </si>
  <si>
    <t xml:space="preserve"> </t>
  </si>
  <si>
    <t>LAPORAN STOCK OPNAME</t>
  </si>
  <si>
    <t>TAHUN 2026</t>
  </si>
  <si>
    <t>NO</t>
  </si>
  <si>
    <t>KODE BARANG</t>
  </si>
  <si>
    <t>NAMA BARANG</t>
  </si>
  <si>
    <t>SATUAN</t>
  </si>
  <si>
    <t>HARGA SATUAN + PPN</t>
  </si>
  <si>
    <t>TAHUN PENGADAAN</t>
  </si>
  <si>
    <t>SALDO AWAL
(1 JANUARI 2026)</t>
  </si>
  <si>
    <t>TRIWULAN PERTAMA</t>
  </si>
  <si>
    <t>TRIWULAN KEDUA</t>
  </si>
  <si>
    <t>TRIWULAN KETIGA</t>
  </si>
  <si>
    <t>TRIWULAN KEEMPAT</t>
  </si>
  <si>
    <t>JANUARI</t>
  </si>
  <si>
    <t>FEBRUARI</t>
  </si>
  <si>
    <t>MARET</t>
  </si>
  <si>
    <t>PENERIMAAN
JAN-MAR</t>
  </si>
  <si>
    <t>PENGELUARAN
JAN-MARET</t>
  </si>
  <si>
    <t>SISA STOCK 
TRIWULAN PERTAMA</t>
  </si>
  <si>
    <t>APRIL</t>
  </si>
  <si>
    <t>MEI</t>
  </si>
  <si>
    <t>JUNI</t>
  </si>
  <si>
    <t>PENERIMAAN
APR-JUN</t>
  </si>
  <si>
    <t>PENGELUARAN
APR-JUN</t>
  </si>
  <si>
    <t>SISA STOCK 
TRIWULAN KEDUA</t>
  </si>
  <si>
    <t>JULI</t>
  </si>
  <si>
    <t>AGUSTUS</t>
  </si>
  <si>
    <t>SEPTEMBER</t>
  </si>
  <si>
    <t>PENERIMAAN
JUL-SEP</t>
  </si>
  <si>
    <t>PENGELUARAN
JUL-SEP</t>
  </si>
  <si>
    <t>SISA STOCK 
TRIWULAN KETIGA</t>
  </si>
  <si>
    <t>OKTOBER</t>
  </si>
  <si>
    <t>NOVEMBER</t>
  </si>
  <si>
    <t>DESEMBER</t>
  </si>
  <si>
    <t>PENERIMAAN
OKT-DES</t>
  </si>
  <si>
    <t>PENGELUARAN
OKT-DES</t>
  </si>
  <si>
    <t>SISA STOCK 
TRIWULAN KEEMPAT
(31 Desember 2026)</t>
  </si>
  <si>
    <t>PENERIMAAN</t>
  </si>
  <si>
    <t>PENGELUARAN</t>
  </si>
  <si>
    <t>SISA STOCK
JANUARI</t>
  </si>
  <si>
    <t>SISA STOCK
FEBRUARI</t>
  </si>
  <si>
    <t>SISA STOCK
MARET</t>
  </si>
  <si>
    <t>SISA STOCK
APRIL</t>
  </si>
  <si>
    <t>SISA STOCK
MEI</t>
  </si>
  <si>
    <t>SISA STOCK
JUNI</t>
  </si>
  <si>
    <t>SISA STOCK
JULI</t>
  </si>
  <si>
    <t>SISA STOCK
AGUSTUS</t>
  </si>
  <si>
    <t>SISA STOCK
SEPTEMBER</t>
  </si>
  <si>
    <t>SISA STOCK
OKTOBER</t>
  </si>
  <si>
    <t>SISA STOCK
NOVEMBER</t>
  </si>
  <si>
    <t>SISA STOCK
DESEMBER</t>
  </si>
  <si>
    <t>JUMLAH AWAL</t>
  </si>
  <si>
    <t>TOTAL HARGA
(RP)</t>
  </si>
  <si>
    <t>Tanggal</t>
  </si>
  <si>
    <t>JUMLAH MASUK</t>
  </si>
  <si>
    <t>JUMLAH KELUAR</t>
  </si>
  <si>
    <t>JUMLAH
STOCK</t>
  </si>
  <si>
    <t>Sumber</t>
  </si>
  <si>
    <t>Tujuan</t>
  </si>
  <si>
    <t>WAKO UTARA</t>
  </si>
  <si>
    <t>KU</t>
  </si>
  <si>
    <t>DINSOS</t>
  </si>
  <si>
    <t>WAKO BARAT</t>
  </si>
  <si>
    <t>WAKO PUSAT</t>
  </si>
  <si>
    <t>ABD MUIS</t>
  </si>
  <si>
    <t>DPRD</t>
  </si>
  <si>
    <t>WAKO TIMUR</t>
  </si>
  <si>
    <t>PRATAMA BK</t>
  </si>
  <si>
    <t>DINKES</t>
  </si>
  <si>
    <t>PTSP</t>
  </si>
  <si>
    <t>TMR</t>
  </si>
  <si>
    <t>DISTAMHUT</t>
  </si>
  <si>
    <t>JATIBARU</t>
  </si>
  <si>
    <t>MANAJEMEN</t>
  </si>
  <si>
    <t>WAKO SELATAN</t>
  </si>
  <si>
    <t>KU BALAIKOTA</t>
  </si>
  <si>
    <t>DISPAREKRAF</t>
  </si>
  <si>
    <t>Pratama Balaikota</t>
  </si>
  <si>
    <t>Klinik Utama</t>
  </si>
  <si>
    <t>I</t>
  </si>
  <si>
    <t>ALAT TULIS KANTOR</t>
  </si>
  <si>
    <t>AMPLOP PUTIH POLOS.BESAR UK.11X24</t>
  </si>
  <si>
    <t>BOX</t>
  </si>
  <si>
    <t>BLUD Thp 1 2025</t>
  </si>
  <si>
    <t>BLUD Thp 2 2025</t>
  </si>
  <si>
    <t>Amplot Putih Logo PPKP uk 11x 24</t>
  </si>
  <si>
    <t>Box</t>
  </si>
  <si>
    <t>Blud tahap 1 2026</t>
  </si>
  <si>
    <t>AMPLOP COKLAT UK.29X40</t>
  </si>
  <si>
    <t>PACK</t>
  </si>
  <si>
    <t>BLUD 2022</t>
  </si>
  <si>
    <t>AMPLOP POLOS KECIL</t>
  </si>
  <si>
    <t>BLUD Thp 3 2025</t>
  </si>
  <si>
    <t>BOX FILE/BINDEX</t>
  </si>
  <si>
    <t>BUAH</t>
  </si>
  <si>
    <t>BLUD 2023</t>
  </si>
  <si>
    <t>BUKU EKSPEDISI</t>
  </si>
  <si>
    <t>BUKU</t>
  </si>
  <si>
    <t>BLUD thp 1,2 2024</t>
  </si>
  <si>
    <t>BUKU TULIS BESAR UK FOLIO ISI 100 LBR</t>
  </si>
  <si>
    <t>BUKU TULIS KECIL UK KWARTO</t>
  </si>
  <si>
    <t>BALLINER W.BIRU</t>
  </si>
  <si>
    <t>BINDER CLIPS NO.107</t>
  </si>
  <si>
    <t>KOTAK</t>
  </si>
  <si>
    <t>BINDER CLIPS NO.111</t>
  </si>
  <si>
    <t>BINDER CLIPS NO.155</t>
  </si>
  <si>
    <t>BINDER CLIPS NO.200</t>
  </si>
  <si>
    <t>BINDER CLIPS NO.260</t>
  </si>
  <si>
    <t>BLUD 2024</t>
  </si>
  <si>
    <t>BINDER CLIPS NO.300</t>
  </si>
  <si>
    <t>BLUD 2024 THP 4</t>
  </si>
  <si>
    <t>CELLOTAPE 1/2X72</t>
  </si>
  <si>
    <t>ROLL</t>
  </si>
  <si>
    <t>COVER PLASTIK</t>
  </si>
  <si>
    <t>CUTTER</t>
  </si>
  <si>
    <t>CORRECTION PEN / TIP-EX</t>
  </si>
  <si>
    <t>UNIT</t>
  </si>
  <si>
    <t>BLUD 2026 tahap 1</t>
  </si>
  <si>
    <t>CLEAR HOLDER UK F4 40 POCKET</t>
  </si>
  <si>
    <t>PCS</t>
  </si>
  <si>
    <t>DOUBLE TAPE 1 INCH 3M FOAM</t>
  </si>
  <si>
    <t>DOUBLE TAPE 12 MM</t>
  </si>
  <si>
    <t>GUNTING</t>
  </si>
  <si>
    <t>ISI STEPLES .KECIL HD 10-1M</t>
  </si>
  <si>
    <t>DUS</t>
  </si>
  <si>
    <t>ISI STEPLES BESAR NO.3-1M</t>
  </si>
  <si>
    <t>KERTAS POS IT TYPE 654</t>
  </si>
  <si>
    <t xml:space="preserve">KERTAS POS IT TYPE 654 - 5 Pk (Warna)
</t>
  </si>
  <si>
    <t>KERTAS POS IT BERWARNA TYPE 655</t>
  </si>
  <si>
    <t>KERTAS POS IT TYPE 653</t>
  </si>
  <si>
    <t>KWITANSI BESAR</t>
  </si>
  <si>
    <t>KERTAS HVS A4 80gr</t>
  </si>
  <si>
    <t>RIM</t>
  </si>
  <si>
    <t>BLUD 2025 Thp 3</t>
  </si>
  <si>
    <t>KERTAS HVS A4 75gr</t>
  </si>
  <si>
    <t>KERTAS HVS F4 80gr</t>
  </si>
  <si>
    <t>KERTAS HVS F4 75gr</t>
  </si>
  <si>
    <t>KERTAS KARTON WARNA</t>
  </si>
  <si>
    <t>KERTAS PRONTO PEMBATAS/MARK 5 WARNA</t>
  </si>
  <si>
    <t>SET</t>
  </si>
  <si>
    <t>LAKBAN HITAM KAIN UK.2 DAIMARU</t>
  </si>
  <si>
    <t>ROL</t>
  </si>
  <si>
    <t>BLUD 2025</t>
  </si>
  <si>
    <t>LAKBAN KUNING KAIN UK.2 DAIMARU</t>
  </si>
  <si>
    <t xml:space="preserve">LAKBAN PLASTIK COKLAT UK.2  DAIMARU </t>
  </si>
  <si>
    <t>Rol</t>
  </si>
  <si>
    <t>Blud 2026 Tahap 1</t>
  </si>
  <si>
    <t>LAKBAN WARNA-WARNI</t>
  </si>
  <si>
    <t>Lakban Bening</t>
  </si>
  <si>
    <t>Blud 2026 tahap 1</t>
  </si>
  <si>
    <t>Label Barcode Thermal Paper Zebra ZD 220</t>
  </si>
  <si>
    <t>LEM KERTAS/STICK UK.25 GRAM</t>
  </si>
  <si>
    <t>TUBE</t>
  </si>
  <si>
    <t>ODNER / BINDEX</t>
  </si>
  <si>
    <t>BLUD 2024 Thp 3</t>
  </si>
  <si>
    <t>Buah</t>
  </si>
  <si>
    <t>MATA PISAU CUTTER</t>
  </si>
  <si>
    <t>MAP FOLIO/5002/MAP POLOS</t>
  </si>
  <si>
    <t>MAP FOLIO/5001/MAP SNELHECTER</t>
  </si>
  <si>
    <t>MAP PLASTIK SNELHECTER/SPRING FILE</t>
  </si>
  <si>
    <t>LUSIN</t>
  </si>
  <si>
    <t>BLUD 2024 Thp 1</t>
  </si>
  <si>
    <t>BLUD 2024 Thp 2</t>
  </si>
  <si>
    <t>MOUSE</t>
  </si>
  <si>
    <t>MAP HARMONICA PLASTIK STANDING UK.F424</t>
  </si>
  <si>
    <t>MAP HARMONICA PLASTIK BERTALI UK.F424</t>
  </si>
  <si>
    <t>BLUD THP 3 2025</t>
  </si>
  <si>
    <t>PENSIL 2B</t>
  </si>
  <si>
    <t>PEMBOLONG KECIL/PAPER PUNCH</t>
  </si>
  <si>
    <t>PEMBOLONG BESAR NO.85</t>
  </si>
  <si>
    <t>PENGGARIS MIKA UK.30 CM</t>
  </si>
  <si>
    <t>PENGHAPUS PAPAN TULIS/W.BOARD</t>
  </si>
  <si>
    <t>PUSH PIN BESI/PAKU TEMPEL</t>
  </si>
  <si>
    <t>PAPER CLIPS</t>
  </si>
  <si>
    <t>Ribbon Printer Barcode Zebra ZD 220</t>
  </si>
  <si>
    <t>BLUD 2024 Thp 1,2</t>
  </si>
  <si>
    <t>SHEET PROTECTOR F4/ISI MAP PLASTIK</t>
  </si>
  <si>
    <t>Dus</t>
  </si>
  <si>
    <t>BLUD 2026 Tahap 1</t>
  </si>
  <si>
    <t>SPIDOL KECIL 50BG-12</t>
  </si>
  <si>
    <t>SPIDOL WHITE BOARD</t>
  </si>
  <si>
    <t>SPIDOL PERMANENT</t>
  </si>
  <si>
    <t>STABILO</t>
  </si>
  <si>
    <t>STEPLES BESAR MAX HD-50/50R</t>
  </si>
  <si>
    <t>BLUD 2024 thp 1</t>
  </si>
  <si>
    <t xml:space="preserve">STEPLES KECIL HMCN HD  10 MAX </t>
  </si>
  <si>
    <t>STICKER LABEL NO.121/SELF LABEL ADHESIVE</t>
  </si>
  <si>
    <t>TINTA STEMPEL UK 50 CC</t>
  </si>
  <si>
    <t>BTL</t>
  </si>
  <si>
    <t>BLUD 2024 thp 3</t>
  </si>
  <si>
    <t>TINTA HP 126 CP 310 ( WARNA HITAM ) BLACK</t>
  </si>
  <si>
    <t>TINTA HP 126 CP 311  CYAN</t>
  </si>
  <si>
    <t>TINTA HP 126 CP 312  YELLOW</t>
  </si>
  <si>
    <t>TINTA HP 126 CP 313  MAGENTA</t>
  </si>
  <si>
    <t>TONER  HP INC BLACK ORIGINAL LASER JET.85.A</t>
  </si>
  <si>
    <t>TINTA EPSON 003 ORIGINAL BLACK</t>
  </si>
  <si>
    <t>TINTA EPSON 003 ORIGINAL CYAN</t>
  </si>
  <si>
    <t>TINTA EPSON 003 ORIGINAL YELLOW</t>
  </si>
  <si>
    <t>TINTA EPSON 003 ORIGINAL MAGENTA</t>
  </si>
  <si>
    <t>TINTA EPSON BLACK T.664</t>
  </si>
  <si>
    <t>Unit</t>
  </si>
  <si>
    <t>Blud 2026 Tahap I</t>
  </si>
  <si>
    <t>TINTA EPSON CYAN T.664</t>
  </si>
  <si>
    <t>TINTA EPSON YELLOW T.664</t>
  </si>
  <si>
    <t>TINTA EPSON MAGENTA T.664</t>
  </si>
  <si>
    <t>TONER HP INC 17 A BLACK  LASER JET CARTRIDGE</t>
  </si>
  <si>
    <t>TONER/DRUM HP INC 19 A BLACK  LASER JET CARTRIDGE</t>
  </si>
  <si>
    <t>JUMLAH TOTAL ALAT TULIS KANTOR</t>
  </si>
  <si>
    <t>II</t>
  </si>
  <si>
    <t>CETAKAN UMUM</t>
  </si>
  <si>
    <t>AMPLOP RONGENT UK KECIL</t>
  </si>
  <si>
    <t>FORM PEM RADIOLOGI/RONTGENT</t>
  </si>
  <si>
    <t>FORM PEM LABORATORIUM/PATOLOGI</t>
  </si>
  <si>
    <t>RIM/BUKU</t>
  </si>
  <si>
    <t>FORM PEM INFORM CONCENT UK.F4 CETAK WARNA 1 MUKA</t>
  </si>
  <si>
    <t>FORM PEM INFORM CONCENT RUJUKAN UK.F4 CETAK WARNA 1 MUKA</t>
  </si>
  <si>
    <t>FORM RUJUKAN DOKTER SPESIALIS/RUJ.BALIK</t>
  </si>
  <si>
    <t>FORM DATA PASIEN BARU</t>
  </si>
  <si>
    <t>BLUD 2026 TAHAP 1</t>
  </si>
  <si>
    <t>Form Monitoring Pasien Selama Proses Rujukan</t>
  </si>
  <si>
    <t>Buku</t>
  </si>
  <si>
    <t>FORM PENGKAJIAN LANJUT SPESIALISTIK GIGI</t>
  </si>
  <si>
    <t>FORM PENGKAJIAN LANJUT SPESIALISTIK THT-KL</t>
  </si>
  <si>
    <t>FORM PENGKAJIAN LANJUT SPESIALISTIK OBSTETRIK GINEKOLOGI</t>
  </si>
  <si>
    <t>FORM PENGKAJIAN LANJUT SPESIALISTIK JANUNG &amp; PEMBULUH DARAH</t>
  </si>
  <si>
    <t>FORM PENGKAJIAN LANJUT SPESIALISTIK KEDOKTERAN OLAHRAGA</t>
  </si>
  <si>
    <t>FORM PENGKAJIAN LANJUT SPESIALISTIK MATA</t>
  </si>
  <si>
    <t>FORM PENGKAJIAN LANJUT SPESIALISTIK REHAB MEDIK</t>
  </si>
  <si>
    <t>FORM PENGKAJIAN LANJUT SPESIALISTIK PENYAKIT DALAM</t>
  </si>
  <si>
    <t>FORM PENGKAJIAN LANJUT SPESIALISTIK SYARAF</t>
  </si>
  <si>
    <t>FORM PENGKAJIAN LANJUT</t>
  </si>
  <si>
    <t>FORM PENGKAJIAN AWAL</t>
  </si>
  <si>
    <t>FORM ASUHAN KEPERAWATAN</t>
  </si>
  <si>
    <t>FORM PEMBERIAN INFORMASI DAN PERSETUJUAN UMUM/GENERAL WARNA BIRU</t>
  </si>
  <si>
    <t>FORM LAPORAN OPERASI</t>
  </si>
  <si>
    <t>FORM MONITORING PEMBERIAN ANESTESI</t>
  </si>
  <si>
    <t>FORM EDUKASI GIZI</t>
  </si>
  <si>
    <t>FORM ASUHAN GIZI</t>
  </si>
  <si>
    <t>FORM ASUHAN FISIOTERAPI</t>
  </si>
  <si>
    <t>Form Gynecology</t>
  </si>
  <si>
    <t xml:space="preserve">Blud 2026 Tahap 1 </t>
  </si>
  <si>
    <t>FORM SURGICAL SAFETY CHECKLIST</t>
  </si>
  <si>
    <t>Rim</t>
  </si>
  <si>
    <t>RESUME MEDIS PASIEN</t>
  </si>
  <si>
    <t>FORM MONITORING PASIEN</t>
  </si>
  <si>
    <t>SURAT TANDA SETORAN STS UK F4</t>
  </si>
  <si>
    <t>KARTU PERAWATAN BARANG BC 160 R</t>
  </si>
  <si>
    <t>LBR</t>
  </si>
  <si>
    <t>KWITANSI KLINIK UTAMA F4</t>
  </si>
  <si>
    <t>KWITANSI KLINIK  PRATAMA F4</t>
  </si>
  <si>
    <t>LEMBAR DISPOSISI UK 142X21 CM NCR2</t>
  </si>
  <si>
    <t>LEMBAR PENGANTAR</t>
  </si>
  <si>
    <t>MAP SURAT DINAS BERLOGO</t>
  </si>
  <si>
    <t>RESEP DOKTER</t>
  </si>
  <si>
    <t>SURAT KET.SAKIT</t>
  </si>
  <si>
    <t>SURAT KET.SEHAT</t>
  </si>
  <si>
    <t>SURAT KETERANGAN DOKTER BARU</t>
  </si>
  <si>
    <t>RESEP KACAMATA</t>
  </si>
  <si>
    <t>JUMLAH TOTAL CETAKAN UMUM</t>
  </si>
  <si>
    <t>III</t>
  </si>
  <si>
    <t>CETAKAN KHUSUS</t>
  </si>
  <si>
    <t>KANTONG PLASTIK OBAT BERLOGO 17 X 23 CM</t>
  </si>
  <si>
    <t>KARTU STOCK</t>
  </si>
  <si>
    <t>KLIP PLASTIK OBAT UK 12 X 20 CM</t>
  </si>
  <si>
    <t>KLIP PLASTIK OBAT UK 12 X 10 CM</t>
  </si>
  <si>
    <t>KLIP PLASTIK OBAT 8,7 X 13</t>
  </si>
  <si>
    <t>KLIP PLASTIK OBAT UK 7 X 10</t>
  </si>
  <si>
    <t>KLIP PLASTIK OBAT UK 10 X 15</t>
  </si>
  <si>
    <t>STICKER HIGHT ALERT UK 1X1 CM BULAT</t>
  </si>
  <si>
    <t>STICKER BARANG LOGO PPKP</t>
  </si>
  <si>
    <t>THERMAL ROLL UK.KECIL 58X48 CM</t>
  </si>
  <si>
    <t>THERMAL ROLL UK.BESAR 80X80 CM</t>
  </si>
  <si>
    <t>JUMLAH TOTAL CETAKAN KHUSUS</t>
  </si>
  <si>
    <t>IV</t>
  </si>
  <si>
    <t>ALAT RUMAH TANGGA (ART)</t>
  </si>
  <si>
    <t xml:space="preserve">AIR MINERAL GELAS </t>
  </si>
  <si>
    <t>-</t>
  </si>
  <si>
    <t>AIR MINERAL BOTOL MERK AMIDIS</t>
  </si>
  <si>
    <t>BLUD thp 3 2025</t>
  </si>
  <si>
    <t>BLUD tahap 1 2026</t>
  </si>
  <si>
    <t>BATU BATERAI UK SEDANG BULAT</t>
  </si>
  <si>
    <t>BATU BATERAI BSR KOTAK UK 9 VOLT</t>
  </si>
  <si>
    <t>BLUD thp 2 2025</t>
  </si>
  <si>
    <t>BATU BATERAI UK AA (ISI 2 BUAH)</t>
  </si>
  <si>
    <t>Batu Baterai Rechargeable AA 1.5V Type-C USB</t>
  </si>
  <si>
    <t>BATU BATERAI UK AAA (ISI 2 BUAH)</t>
  </si>
  <si>
    <t>Batu Baterai Rechargeable AAA 1.5V Type-C USB</t>
  </si>
  <si>
    <t>BATU BATERAI LITHIUM 2032</t>
  </si>
  <si>
    <t>BATU BATERAI UK BESAR BULAT</t>
  </si>
  <si>
    <t>Pembasmi Serangga</t>
  </si>
  <si>
    <t>KALENG</t>
  </si>
  <si>
    <t>BUSA CUCI PIRING</t>
  </si>
  <si>
    <t>BANTAL</t>
  </si>
  <si>
    <t>CAT FILOX</t>
  </si>
  <si>
    <t>GELAS AQUA KUMUR</t>
  </si>
  <si>
    <t>KAMPER BOLA WARNA ISI 5</t>
  </si>
  <si>
    <t>KANEBO</t>
  </si>
  <si>
    <t>KANTONG KRESEK PLASTIK UK.40X45 W.HITAM</t>
  </si>
  <si>
    <t>KONTAINER BOKS KAPASITAS 130 LITER</t>
  </si>
  <si>
    <t>PLASTIK SAMPAH WARNA HITAM</t>
  </si>
  <si>
    <t>.</t>
  </si>
  <si>
    <t>PLASTIK SAMPAH WARNA KUNING UK 40X60 isi 20 pcs</t>
  </si>
  <si>
    <t>PLASTIK ES MAMBO</t>
  </si>
  <si>
    <t>PENGARUM RUANGAN/SPRAY COMPATIBLE CALMIC</t>
  </si>
  <si>
    <t>KLENG</t>
  </si>
  <si>
    <t>PENGKILAT BODI MOBIL</t>
  </si>
  <si>
    <t>SABUN ANTI BAKTERI ( SABUN CUCI TANGAN ) 500 ML</t>
  </si>
  <si>
    <t>BOTOL</t>
  </si>
  <si>
    <t>SUNLIGHT ( SABUN CUCI PIRING )</t>
  </si>
  <si>
    <t>SARUNG BANTAL</t>
  </si>
  <si>
    <t>SPREI UK.90X200</t>
  </si>
  <si>
    <t>SELIMUT</t>
  </si>
  <si>
    <t>TISSUE GULUNG</t>
  </si>
  <si>
    <t>TISSUE  TOWEL PAPER MERK LIVY</t>
  </si>
  <si>
    <t>TISSUE  50 SHEET /TISSU KOTAK MERK PASEO</t>
  </si>
  <si>
    <t>WIPOL KARBOL POUCH 750 ML</t>
  </si>
  <si>
    <t>JUMLAH TOTAL ALAT RUMAH TANGGA (ART)</t>
  </si>
  <si>
    <t>JUMLAH TOTAL ATK, CETAKAN UMUM, CETAKAN KHUSUS, ART</t>
  </si>
  <si>
    <t>Penerimaan</t>
  </si>
  <si>
    <t>ATK</t>
  </si>
  <si>
    <t>ART</t>
  </si>
  <si>
    <t>CU</t>
  </si>
  <si>
    <t>CK</t>
  </si>
  <si>
    <t>TW 1</t>
  </si>
  <si>
    <t>TW 2</t>
  </si>
  <si>
    <t>TW 3</t>
  </si>
  <si>
    <t>TW 4</t>
  </si>
  <si>
    <t>Pengeluaran</t>
  </si>
  <si>
    <t>11 isolasi kecil</t>
  </si>
  <si>
    <t>REKAP MUTASI PERSEDIAAN 2025</t>
  </si>
  <si>
    <t xml:space="preserve">NOVEMBER </t>
  </si>
  <si>
    <t>JUMLAH TOTAL</t>
  </si>
  <si>
    <t>TOTAL</t>
  </si>
  <si>
    <t>OBAT-OBATAN</t>
  </si>
  <si>
    <t>ALAT DAN BAHAN GIGI</t>
  </si>
  <si>
    <t>BHP</t>
  </si>
  <si>
    <t>REAGEN</t>
  </si>
  <si>
    <t>ATK, CETAKAN, ART</t>
  </si>
  <si>
    <t>SEMESTER 1</t>
  </si>
  <si>
    <t>SEMESTER 2</t>
  </si>
  <si>
    <t>TOTAL 2025</t>
  </si>
  <si>
    <t>OBAT, ALAT GIGI, BHP</t>
  </si>
  <si>
    <t>REKAP</t>
  </si>
  <si>
    <t>Selisih pengeluaran e-persediaan</t>
  </si>
  <si>
    <t>LAPORAN STOCK OPNAME ALAT TULIS KANTOR</t>
  </si>
  <si>
    <t>TAHUN 2025</t>
  </si>
  <si>
    <t>NO.</t>
  </si>
  <si>
    <t>KODE REKENING</t>
  </si>
  <si>
    <t>NAMA / JENIS BARANG</t>
  </si>
  <si>
    <t>HARGA SATUAN</t>
  </si>
  <si>
    <t>KONDISI BAIK</t>
  </si>
  <si>
    <t>KONDISI TIDAK BAIK</t>
  </si>
  <si>
    <t>KET</t>
  </si>
  <si>
    <t>VOL</t>
  </si>
  <si>
    <t>JUMLAH HARGA</t>
  </si>
  <si>
    <t>MOUSE LOGITECH</t>
  </si>
  <si>
    <t>PENGHAPUS KARET</t>
  </si>
  <si>
    <t>BLUD 2024 thp 2</t>
  </si>
  <si>
    <t>SERUTAN PENSIL  BESAR JOYKO A 5M</t>
  </si>
  <si>
    <t>TINTA EPSON KMAGENTA T.664</t>
  </si>
  <si>
    <t>TONER CARTRIDGE 107A W1107A ORIGINAL</t>
  </si>
  <si>
    <t>Jakarta , 30 Juni 2025</t>
  </si>
  <si>
    <t>Mengetahui,</t>
  </si>
  <si>
    <t>Penyimpan Barang</t>
  </si>
  <si>
    <t>Kepala UPT Pusat Pelayanan Kesehatan Pegawai</t>
  </si>
  <si>
    <t>Provinsi DKI Jakarta</t>
  </si>
  <si>
    <t>dr. Dwian Andhika</t>
  </si>
  <si>
    <t>Syaiful Islami</t>
  </si>
  <si>
    <t>NIP. 198311072010011021</t>
  </si>
  <si>
    <t>NIP. 00419920604202003792</t>
  </si>
  <si>
    <t>LAPORAN STOCK OPNAME CETAKAN UMUM</t>
  </si>
  <si>
    <t>KWITANSI PRATAMA UTAMA F4</t>
  </si>
  <si>
    <t>LAPORAN STOCK OPNAME CETAKAN KHUSUS</t>
  </si>
  <si>
    <t>DENTAL CARD ( KARTU GIGI )</t>
  </si>
  <si>
    <t>ETIKET OBAT-OBATAN WARNA BIRU</t>
  </si>
  <si>
    <t>ETIKET OBAT-OBATAN WARNA PUTIH</t>
  </si>
  <si>
    <t>KARTU KUNJUNGAN KCL W.HIJAU UTK LOKET</t>
  </si>
  <si>
    <t>BLUD 2024 thp1,2</t>
  </si>
  <si>
    <t>THERMAL PAPER</t>
  </si>
  <si>
    <t>LAPORAN STOCK OPNAME ALAT RUMAH TANGGA</t>
  </si>
  <si>
    <t xml:space="preserve">BAYGON </t>
  </si>
  <si>
    <t>TONG SAMPAH INJAK MERK SHINPO</t>
  </si>
  <si>
    <t>TEMPAT TISSUE MULTIFOLD/HAND TOWEL</t>
  </si>
  <si>
    <t>7,0</t>
  </si>
  <si>
    <t>24.500,00</t>
  </si>
  <si>
    <t>19.820,00</t>
  </si>
  <si>
    <t>59.460,0</t>
  </si>
  <si>
    <t>62.160,00</t>
  </si>
  <si>
    <t>1.118.880,0</t>
  </si>
  <si>
    <t>16.500,00</t>
  </si>
  <si>
    <t>16.872,00</t>
  </si>
  <si>
    <t>1.332.888,0</t>
  </si>
  <si>
    <t>33.300,00</t>
  </si>
  <si>
    <t>99.900,0</t>
  </si>
  <si>
    <t>39.960,00</t>
  </si>
  <si>
    <t>1.358.640,0</t>
  </si>
  <si>
    <t>11.655,00</t>
  </si>
  <si>
    <t>151.515,0</t>
  </si>
  <si>
    <t>17.760,00</t>
  </si>
  <si>
    <t>18.018,00</t>
  </si>
  <si>
    <t>468.468,0</t>
  </si>
  <si>
    <t>9.910,00</t>
  </si>
  <si>
    <t>208.110,0</t>
  </si>
  <si>
    <t>16.983,00</t>
  </si>
  <si>
    <t>322.677,0</t>
  </si>
  <si>
    <t>3.657,50</t>
  </si>
  <si>
    <t>3.748.937,5</t>
  </si>
  <si>
    <t>3.885,00</t>
  </si>
  <si>
    <t>252.525,0</t>
  </si>
  <si>
    <t>4.400,00</t>
  </si>
  <si>
    <t>1.566.400,0</t>
  </si>
  <si>
    <t>4.995,00</t>
  </si>
  <si>
    <t>79.920,0</t>
  </si>
  <si>
    <t>6.600,00</t>
  </si>
  <si>
    <t>1.570.800,0</t>
  </si>
  <si>
    <t>11.000,00</t>
  </si>
  <si>
    <t>1.716.000,0</t>
  </si>
  <si>
    <t>11.877,00</t>
  </si>
  <si>
    <t>261.294,0</t>
  </si>
  <si>
    <t>20.945,70</t>
  </si>
  <si>
    <t>1.068.230,7</t>
  </si>
  <si>
    <t>45.000,00</t>
  </si>
  <si>
    <t>1.845.000,0</t>
  </si>
  <si>
    <t>5.106,00</t>
  </si>
  <si>
    <t>10.212,0</t>
  </si>
  <si>
    <t>3.604,00</t>
  </si>
  <si>
    <t>82.892,0</t>
  </si>
  <si>
    <t>53.280,00</t>
  </si>
  <si>
    <t>639.360,0</t>
  </si>
  <si>
    <t>8.880,00</t>
  </si>
  <si>
    <t>106.560,0</t>
  </si>
  <si>
    <t>7.770,00</t>
  </si>
  <si>
    <t>116.550,0</t>
  </si>
  <si>
    <t>24.324,00</t>
  </si>
  <si>
    <t>2.164.836,0</t>
  </si>
  <si>
    <t>535.140,0</t>
  </si>
  <si>
    <t>3.157,95</t>
  </si>
  <si>
    <t>3.153,00</t>
  </si>
  <si>
    <t>72.519,0</t>
  </si>
  <si>
    <t>88.800,0</t>
  </si>
  <si>
    <t>1.320,00</t>
  </si>
  <si>
    <t>4.839.120,0</t>
  </si>
  <si>
    <t>5.610,00</t>
  </si>
  <si>
    <t>8.454.270,0</t>
  </si>
  <si>
    <t>67.568,00</t>
  </si>
  <si>
    <t>608.112,0</t>
  </si>
  <si>
    <t>KERTAS POS IT TYPE 654 - 5 Pk (Warna)</t>
  </si>
  <si>
    <t>878.384,0</t>
  </si>
  <si>
    <t>17.117,00</t>
  </si>
  <si>
    <t>308.106,0</t>
  </si>
  <si>
    <t>9.570,00</t>
  </si>
  <si>
    <t>6.757,00</t>
  </si>
  <si>
    <t>182.439,0</t>
  </si>
  <si>
    <t>7.480,00</t>
  </si>
  <si>
    <t>209.440,0</t>
  </si>
  <si>
    <t>54.054,00</t>
  </si>
  <si>
    <t>1.351.350,0</t>
  </si>
  <si>
    <t>61.050,00</t>
  </si>
  <si>
    <t>3.663.000,0</t>
  </si>
  <si>
    <t>56.757,00</t>
  </si>
  <si>
    <t>66.600,00</t>
  </si>
  <si>
    <t>9.457.200,0</t>
  </si>
  <si>
    <t>15.400,00</t>
  </si>
  <si>
    <t>215.600,0</t>
  </si>
  <si>
    <t>12.765,00</t>
  </si>
  <si>
    <t>217.005,0</t>
  </si>
  <si>
    <t>14.414,00</t>
  </si>
  <si>
    <t>288.280,0</t>
  </si>
  <si>
    <t>205.404,0</t>
  </si>
  <si>
    <t>18.315,00</t>
  </si>
  <si>
    <t>18.315,0</t>
  </si>
  <si>
    <t>325.223,0</t>
  </si>
  <si>
    <t>LAKBAN PLASTIK COKLAT UK.2 DAIMARU</t>
  </si>
  <si>
    <t>14.430,00</t>
  </si>
  <si>
    <t>11.712,00</t>
  </si>
  <si>
    <t>351.360,0</t>
  </si>
  <si>
    <t>16.720,00</t>
  </si>
  <si>
    <t>33.440,0</t>
  </si>
  <si>
    <t>444.000,0</t>
  </si>
  <si>
    <t>178.599,00</t>
  </si>
  <si>
    <t>35.719.800,0</t>
  </si>
  <si>
    <t>7.207,00</t>
  </si>
  <si>
    <t>194.589,0</t>
  </si>
  <si>
    <t>40.000,00</t>
  </si>
  <si>
    <t>280.000,0</t>
  </si>
  <si>
    <t>400.000,0</t>
  </si>
  <si>
    <t>3.651,90</t>
  </si>
  <si>
    <t>21.911,4</t>
  </si>
  <si>
    <t>2.131,20</t>
  </si>
  <si>
    <t>134.265,6</t>
  </si>
  <si>
    <t>2.432,00</t>
  </si>
  <si>
    <t>243.200,0</t>
  </si>
  <si>
    <t>2.109,00</t>
  </si>
  <si>
    <t>1.792.650,0</t>
  </si>
  <si>
    <t>2.286,60</t>
  </si>
  <si>
    <t>521.344,8</t>
  </si>
  <si>
    <t>52.657,29</t>
  </si>
  <si>
    <t>52.170,00</t>
  </si>
  <si>
    <t>260.850,0</t>
  </si>
  <si>
    <t>34.234,00</t>
  </si>
  <si>
    <t>890.084,0</t>
  </si>
  <si>
    <t>976.800,0</t>
  </si>
  <si>
    <t>1.065.600,0</t>
  </si>
  <si>
    <t>55.500,00</t>
  </si>
  <si>
    <t>1.887.000,0</t>
  </si>
  <si>
    <t>1.169,94</t>
  </si>
  <si>
    <t>14.039,3</t>
  </si>
  <si>
    <t>122.100,0</t>
  </si>
  <si>
    <t>22.000,0</t>
  </si>
  <si>
    <t>178.600,00</t>
  </si>
  <si>
    <t>1.786.000,0</t>
  </si>
  <si>
    <t>2.500.400,0</t>
  </si>
  <si>
    <t>121.620,0</t>
  </si>
  <si>
    <t>1.332,00</t>
  </si>
  <si>
    <t>29.304,0</t>
  </si>
  <si>
    <t>1.802,00</t>
  </si>
  <si>
    <t>54.060,0</t>
  </si>
  <si>
    <t>8.658,00</t>
  </si>
  <si>
    <t>60.606,0</t>
  </si>
  <si>
    <t>7.658,00</t>
  </si>
  <si>
    <t>321.636,0</t>
  </si>
  <si>
    <t>7.992,00</t>
  </si>
  <si>
    <t>143.856,0</t>
  </si>
  <si>
    <t>10.811,00</t>
  </si>
  <si>
    <t>778.392,0</t>
  </si>
  <si>
    <t>10.656,00</t>
  </si>
  <si>
    <t>12.210,00</t>
  </si>
  <si>
    <t>195.360,0</t>
  </si>
  <si>
    <t>216.220,0</t>
  </si>
  <si>
    <t>90.187,50</t>
  </si>
  <si>
    <t>180.375,0</t>
  </si>
  <si>
    <t>24.617,58</t>
  </si>
  <si>
    <t>49.235,2</t>
  </si>
  <si>
    <t>77.700,00</t>
  </si>
  <si>
    <t>2.641.800,0</t>
  </si>
  <si>
    <t>STEPLES KECIL HMCN HD 10 MAX</t>
  </si>
  <si>
    <t>22.200,00</t>
  </si>
  <si>
    <t>688.200,0</t>
  </si>
  <si>
    <t>7.270,50</t>
  </si>
  <si>
    <t>101.787,0</t>
  </si>
  <si>
    <t>6.660,00</t>
  </si>
  <si>
    <t>179.820,0</t>
  </si>
  <si>
    <t>13.708,00</t>
  </si>
  <si>
    <t>109.664,0</t>
  </si>
  <si>
    <t>1.108.890,00</t>
  </si>
  <si>
    <t>1.108.890,0</t>
  </si>
  <si>
    <t>1.268.730,00</t>
  </si>
  <si>
    <t>1.268.730,0</t>
  </si>
  <si>
    <t>TINTA HP 126 CP 311 CYAN</t>
  </si>
  <si>
    <t>1.232.100,00</t>
  </si>
  <si>
    <t>2.464.200,0</t>
  </si>
  <si>
    <t>1.411.920,00</t>
  </si>
  <si>
    <t>1.411.920,0</t>
  </si>
  <si>
    <t>TINTA HP 126 CP 312 YELLOW</t>
  </si>
  <si>
    <t>TINTA HP 126 CP 313 MAGENTA</t>
  </si>
  <si>
    <t>1.232.100,0</t>
  </si>
  <si>
    <t>TONER HP INC BLACK ORIGINAL LASER JET.85.A</t>
  </si>
  <si>
    <t>1.276.500,00</t>
  </si>
  <si>
    <t>39.571.500,0</t>
  </si>
  <si>
    <t>110.990,00</t>
  </si>
  <si>
    <t>887.920,0</t>
  </si>
  <si>
    <t>81.081,00</t>
  </si>
  <si>
    <t>810.810,0</t>
  </si>
  <si>
    <t>221.980,0</t>
  </si>
  <si>
    <t>405.405,0</t>
  </si>
  <si>
    <t>67.568,0</t>
  </si>
  <si>
    <t>388.500,0</t>
  </si>
  <si>
    <t>155.400,0</t>
  </si>
  <si>
    <t>TONER HP INC 17 A BLACK LASER JET CARTRIDGE</t>
  </si>
  <si>
    <t>1.330.000,00</t>
  </si>
  <si>
    <t>1.081.081,00</t>
  </si>
  <si>
    <t>10.810.810,0</t>
  </si>
  <si>
    <t>1.332.000,00</t>
  </si>
  <si>
    <t>45.288.000,0</t>
  </si>
  <si>
    <t>TONER/DRUM HP INC 19 A BLACK LASER JET CARTRIDGE</t>
  </si>
  <si>
    <t>1.439.670,00</t>
  </si>
  <si>
    <t>24.474.390,0</t>
  </si>
  <si>
    <t>245.222.864,5</t>
  </si>
  <si>
    <t>Jakarta , 27 Maret 2026</t>
  </si>
  <si>
    <t>1.783.782,0</t>
  </si>
  <si>
    <t>89.999,91</t>
  </si>
  <si>
    <t>1.799.998,2</t>
  </si>
  <si>
    <t>21.090,00</t>
  </si>
  <si>
    <t>3.964.920,0</t>
  </si>
  <si>
    <t>41.070,00</t>
  </si>
  <si>
    <t>164.280,0</t>
  </si>
  <si>
    <t>34.000,41</t>
  </si>
  <si>
    <t>2.890.034,9</t>
  </si>
  <si>
    <t>2.720.032,8</t>
  </si>
  <si>
    <t>30.631,00</t>
  </si>
  <si>
    <t>551.358,0</t>
  </si>
  <si>
    <t>3.244.530,0</t>
  </si>
  <si>
    <t>37.000,00</t>
  </si>
  <si>
    <t>740.000,0</t>
  </si>
  <si>
    <t>612.620,0</t>
  </si>
  <si>
    <t>166.500,00</t>
  </si>
  <si>
    <t>165.390,00</t>
  </si>
  <si>
    <t>5.292.480,0</t>
  </si>
  <si>
    <t>183.150,00</t>
  </si>
  <si>
    <t>732.600,0</t>
  </si>
  <si>
    <t>1.465.200,0</t>
  </si>
  <si>
    <t>4.395.600,0</t>
  </si>
  <si>
    <t>915.750,0</t>
  </si>
  <si>
    <t>165.000,00</t>
  </si>
  <si>
    <t>330.000,0</t>
  </si>
  <si>
    <t>166.500,0</t>
  </si>
  <si>
    <t>183.150,0</t>
  </si>
  <si>
    <t>825.000,0</t>
  </si>
  <si>
    <t>660.000,0</t>
  </si>
  <si>
    <t>27.750,00</t>
  </si>
  <si>
    <t>693.750,0</t>
  </si>
  <si>
    <t>3.630,00</t>
  </si>
  <si>
    <t>20.291.700,0</t>
  </si>
  <si>
    <t>19.999,98</t>
  </si>
  <si>
    <t>899.999,1</t>
  </si>
  <si>
    <t>KWITANSI KLINIK PRATAMA F4</t>
  </si>
  <si>
    <t>20.000,00</t>
  </si>
  <si>
    <t>999.999,0</t>
  </si>
  <si>
    <t>8.250,00</t>
  </si>
  <si>
    <t>973.500,0</t>
  </si>
  <si>
    <t>549.450,0</t>
  </si>
  <si>
    <t>5.940,00</t>
  </si>
  <si>
    <t>891.000,0</t>
  </si>
  <si>
    <t>6.105,00</t>
  </si>
  <si>
    <t>16.095,00</t>
  </si>
  <si>
    <t>418.470,0</t>
  </si>
  <si>
    <t>18.870,00</t>
  </si>
  <si>
    <t>13.420,00</t>
  </si>
  <si>
    <t>603.900,0</t>
  </si>
  <si>
    <t>24.420,00</t>
  </si>
  <si>
    <t>1.221.000,0</t>
  </si>
  <si>
    <t>1.328.580,0</t>
  </si>
  <si>
    <t>485.070,0</t>
  </si>
  <si>
    <t>9.990,00</t>
  </si>
  <si>
    <t>399.600,0</t>
  </si>
  <si>
    <t>72.839.673,7</t>
  </si>
  <si>
    <t>2.640,00</t>
  </si>
  <si>
    <t>1.584.000,0</t>
  </si>
  <si>
    <t>3.219,00</t>
  </si>
  <si>
    <t>6.373.620,0</t>
  </si>
  <si>
    <t>12.100,00</t>
  </si>
  <si>
    <t>1.101.100,0</t>
  </si>
  <si>
    <t>30.800,00</t>
  </si>
  <si>
    <t>1.940.400,0</t>
  </si>
  <si>
    <t>10.999.120,0</t>
  </si>
  <si>
    <t>AIR MINERAL GELAS</t>
  </si>
  <si>
    <t>49.950,00</t>
  </si>
  <si>
    <t>36.036,00</t>
  </si>
  <si>
    <t>5.999,55</t>
  </si>
  <si>
    <t>BAYGON</t>
  </si>
  <si>
    <t>133.200,00</t>
  </si>
  <si>
    <t>1.198.800</t>
  </si>
  <si>
    <t>1.437.863</t>
  </si>
  <si>
    <t>10.811,40</t>
  </si>
  <si>
    <t>3.675.876</t>
  </si>
  <si>
    <t>21.622,00</t>
  </si>
  <si>
    <t>20.535,00</t>
  </si>
  <si>
    <t>216.450,00</t>
  </si>
  <si>
    <t>16.216,00</t>
  </si>
  <si>
    <t>16.215,99</t>
  </si>
  <si>
    <t>1.102.687</t>
  </si>
  <si>
    <t>25.000,00</t>
  </si>
  <si>
    <t>24.324,54</t>
  </si>
  <si>
    <t>2.067.586</t>
  </si>
  <si>
    <t>11.100,00</t>
  </si>
  <si>
    <t>1.276.500</t>
  </si>
  <si>
    <t>12.613,00</t>
  </si>
  <si>
    <t>12.612,93</t>
  </si>
  <si>
    <t>85.000,47</t>
  </si>
  <si>
    <t>1.445.008</t>
  </si>
  <si>
    <t>17.205,00</t>
  </si>
  <si>
    <t>TISSUE TOWEL PAPER MERK LIVY</t>
  </si>
  <si>
    <t>11.711,61</t>
  </si>
  <si>
    <t>2.026.109</t>
  </si>
  <si>
    <t>TISSUE 50 SHEET /TISSU KOTAK MERK PASEO</t>
  </si>
  <si>
    <t>12.614,04</t>
  </si>
  <si>
    <t>2.598.492</t>
  </si>
  <si>
    <t>22.000,20</t>
  </si>
  <si>
    <t>1.078.010</t>
  </si>
  <si>
    <t>24.987.462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</si>
</sst>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_);_(@_)"/>
    <numFmt numFmtId="165" formatCode="_-* #,##0_-;\-* #,##0_-;_-* &quot;-&quot;_-;_-@"/>
    <numFmt numFmtId="166" formatCode="_(&quot;$&quot;* #,##0.00_);_(&quot;$&quot;* \(#,##0.00\);_(&quot;$&quot;* &quot;-&quot;??_);_(@_)"/>
    <numFmt numFmtId="167" formatCode="_(* #,##0_);_(* \(#,##0\);_(* &quot;-&quot;_);_(@_)"/>
    <numFmt numFmtId="168" formatCode="#,##0.00;(#,##0.00)"/>
  </numFmts>
  <fonts count="32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FFFFFF"/>
      <name val="Calibri"/>
    </font>
    <font>
      <b/>
      <i/>
      <sz val="9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8.0"/>
      <color rgb="FFFFFFFF"/>
      <name val="Calibri"/>
    </font>
    <font>
      <color theme="1"/>
      <name val="Calibri"/>
      <scheme val="minor"/>
    </font>
    <font>
      <sz val="11.0"/>
      <color theme="5"/>
      <name val="Calibri"/>
    </font>
    <font>
      <sz val="11.0"/>
      <color rgb="FFFF0000"/>
      <name val="Calibri"/>
    </font>
    <font>
      <sz val="11.0"/>
      <color rgb="FFFF9900"/>
      <name val="Calibri"/>
    </font>
    <font>
      <sz val="11.0"/>
      <color rgb="FF000000"/>
      <name val="Calibri"/>
    </font>
    <font>
      <sz val="11.0"/>
      <color rgb="FFFFFFFF"/>
      <name val="Calibri"/>
    </font>
    <font>
      <b/>
      <i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Docs-Calibri"/>
    </font>
    <font>
      <b/>
      <sz val="14.0"/>
      <color theme="1"/>
      <name val="Arial"/>
    </font>
    <font>
      <b/>
      <sz val="11.0"/>
      <color theme="1"/>
      <name val="Arial"/>
    </font>
    <font>
      <b/>
      <i/>
      <sz val="8.0"/>
      <color theme="1"/>
      <name val="Arial"/>
    </font>
    <font>
      <b/>
      <sz val="12.0"/>
      <color theme="1"/>
      <name val="Calibri"/>
    </font>
    <font>
      <sz val="11.0"/>
      <color theme="1"/>
      <name val="Arial"/>
    </font>
    <font>
      <sz val="12.0"/>
      <color theme="1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i/>
      <sz val="8.0"/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b/>
      <sz val="12.0"/>
      <color rgb="FF000000"/>
      <name val="Calibri"/>
    </font>
    <font>
      <b/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46BDC6"/>
        <bgColor rgb="FF46BDC6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6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4" fillId="7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0" fillId="0" fontId="3" numFmtId="0" xfId="0" applyAlignment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9" fontId="1" numFmtId="0" xfId="0" applyAlignment="1" applyBorder="1" applyFill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4" fillId="10" fontId="1" numFmtId="0" xfId="0" applyAlignment="1" applyBorder="1" applyFill="1" applyFont="1">
      <alignment horizontal="center" readingOrder="0" vertical="center"/>
    </xf>
    <xf borderId="9" fillId="7" fontId="3" numFmtId="0" xfId="0" applyAlignment="1" applyBorder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7" fillId="7" fontId="3" numFmtId="0" xfId="0" applyAlignment="1" applyBorder="1" applyFont="1">
      <alignment horizontal="center" readingOrder="0" shrinkToFit="0" vertical="center" wrapText="1"/>
    </xf>
    <xf borderId="8" fillId="7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0" fontId="1" numFmtId="3" xfId="0" applyAlignment="1" applyBorder="1" applyFont="1" applyNumberFormat="1">
      <alignment horizontal="center" readingOrder="0" shrinkToFit="0" vertical="center" wrapText="1"/>
    </xf>
    <xf borderId="4" fillId="9" fontId="1" numFmtId="3" xfId="0" applyAlignment="1" applyBorder="1" applyFont="1" applyNumberFormat="1">
      <alignment horizontal="center" readingOrder="0" vertical="center"/>
    </xf>
    <xf borderId="10" fillId="0" fontId="1" numFmtId="3" xfId="0" applyAlignment="1" applyBorder="1" applyFont="1" applyNumberFormat="1">
      <alignment horizontal="center" readingOrder="0" shrinkToFit="0" vertical="center" wrapText="1"/>
    </xf>
    <xf borderId="4" fillId="10" fontId="1" numFmtId="3" xfId="0" applyAlignment="1" applyBorder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3" xfId="0" applyAlignment="1" applyBorder="1" applyFont="1" applyNumberFormat="1">
      <alignment horizontal="center" readingOrder="0" shrinkToFit="0" vertical="center" wrapText="1"/>
    </xf>
    <xf borderId="10" fillId="11" fontId="4" numFmtId="3" xfId="0" applyAlignment="1" applyBorder="1" applyFill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9" fontId="1" numFmtId="3" xfId="0" applyAlignment="1" applyBorder="1" applyFont="1" applyNumberFormat="1">
      <alignment horizontal="center" readingOrder="0" shrinkToFit="0" vertical="center" wrapText="1"/>
    </xf>
    <xf borderId="1" fillId="6" fontId="3" numFmtId="3" xfId="0" applyAlignment="1" applyBorder="1" applyFont="1" applyNumberFormat="1">
      <alignment horizontal="center" readingOrder="0" shrinkToFit="0" vertical="center" wrapText="1"/>
    </xf>
    <xf borderId="1" fillId="10" fontId="1" numFmtId="3" xfId="0" applyAlignment="1" applyBorder="1" applyFont="1" applyNumberFormat="1">
      <alignment horizontal="center" readingOrder="0" shrinkToFit="0" vertical="center" wrapText="1"/>
    </xf>
    <xf borderId="1" fillId="7" fontId="3" numFmtId="3" xfId="0" applyAlignment="1" applyBorder="1" applyFont="1" applyNumberFormat="1">
      <alignment horizontal="center" readingOrder="0" shrinkToFit="0" vertical="center" wrapText="1"/>
    </xf>
    <xf borderId="10" fillId="2" fontId="4" numFmtId="3" xfId="0" applyAlignment="1" applyBorder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readingOrder="0" shrinkToFit="0" vertical="center" wrapText="1"/>
    </xf>
    <xf borderId="10" fillId="0" fontId="5" numFmtId="3" xfId="0" applyAlignment="1" applyBorder="1" applyFont="1" applyNumberFormat="1">
      <alignment horizontal="center" readingOrder="0" vertical="center"/>
    </xf>
    <xf borderId="10" fillId="0" fontId="5" numFmtId="3" xfId="0" applyAlignment="1" applyBorder="1" applyFont="1" applyNumberFormat="1">
      <alignment horizontal="center" vertical="center"/>
    </xf>
    <xf borderId="10" fillId="0" fontId="1" numFmtId="3" xfId="0" applyAlignment="1" applyBorder="1" applyFont="1" applyNumberFormat="1">
      <alignment horizontal="center" vertical="center"/>
    </xf>
    <xf borderId="10" fillId="2" fontId="5" numFmtId="3" xfId="0" applyAlignment="1" applyBorder="1" applyFont="1" applyNumberFormat="1">
      <alignment horizontal="center" readingOrder="0" vertical="center"/>
    </xf>
    <xf borderId="13" fillId="0" fontId="2" numFmtId="0" xfId="0" applyBorder="1" applyFont="1"/>
    <xf borderId="10" fillId="0" fontId="6" numFmtId="3" xfId="0" applyAlignment="1" applyBorder="1" applyFont="1" applyNumberFormat="1">
      <alignment horizontal="center" vertical="center"/>
    </xf>
    <xf borderId="10" fillId="0" fontId="7" numFmtId="3" xfId="0" applyAlignment="1" applyBorder="1" applyFont="1" applyNumberFormat="1">
      <alignment horizontal="center" readingOrder="0" shrinkToFit="0" vertical="center" wrapText="1"/>
    </xf>
    <xf borderId="10" fillId="0" fontId="7" numFmtId="3" xfId="0" applyAlignment="1" applyBorder="1" applyFont="1" applyNumberFormat="1">
      <alignment horizontal="center" shrinkToFit="0" vertical="center" wrapText="1"/>
    </xf>
    <xf borderId="10" fillId="0" fontId="7" numFmtId="3" xfId="0" applyAlignment="1" applyBorder="1" applyFont="1" applyNumberFormat="1">
      <alignment horizontal="center" vertical="center"/>
    </xf>
    <xf borderId="10" fillId="2" fontId="6" numFmtId="3" xfId="0" applyAlignment="1" applyBorder="1" applyFont="1" applyNumberFormat="1">
      <alignment horizontal="center" readingOrder="0" vertical="center"/>
    </xf>
    <xf borderId="10" fillId="0" fontId="6" numFmtId="3" xfId="0" applyAlignment="1" applyBorder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0"/>
    </xf>
    <xf borderId="10" fillId="0" fontId="5" numFmtId="164" xfId="0" applyAlignment="1" applyBorder="1" applyFont="1" applyNumberFormat="1">
      <alignment vertical="center"/>
    </xf>
    <xf borderId="10" fillId="0" fontId="5" numFmtId="164" xfId="0" applyAlignment="1" applyBorder="1" applyFont="1" applyNumberFormat="1">
      <alignment horizontal="center" shrinkToFit="0" vertical="center" wrapText="1"/>
    </xf>
    <xf borderId="10" fillId="0" fontId="5" numFmtId="3" xfId="0" applyAlignment="1" applyBorder="1" applyFont="1" applyNumberFormat="1">
      <alignment horizontal="center" shrinkToFit="0" vertical="center" wrapText="0"/>
    </xf>
    <xf borderId="10" fillId="0" fontId="5" numFmtId="3" xfId="0" applyAlignment="1" applyBorder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2" fontId="5" numFmtId="3" xfId="0" applyAlignment="1" applyFont="1" applyNumberFormat="1">
      <alignment vertical="center"/>
    </xf>
    <xf borderId="7" fillId="0" fontId="5" numFmtId="3" xfId="0" applyAlignment="1" applyBorder="1" applyFont="1" applyNumberFormat="1">
      <alignment vertical="center"/>
    </xf>
    <xf borderId="10" fillId="12" fontId="1" numFmtId="0" xfId="0" applyAlignment="1" applyBorder="1" applyFill="1" applyFont="1">
      <alignment horizontal="center" readingOrder="0" shrinkToFit="0" vertical="center" wrapText="1"/>
    </xf>
    <xf borderId="10" fillId="12" fontId="5" numFmtId="0" xfId="0" applyAlignment="1" applyBorder="1" applyFont="1">
      <alignment shrinkToFit="0" vertical="center" wrapText="1"/>
    </xf>
    <xf borderId="10" fillId="12" fontId="1" numFmtId="0" xfId="0" applyAlignment="1" applyBorder="1" applyFont="1">
      <alignment readingOrder="0" shrinkToFit="0" vertical="center" wrapText="1"/>
    </xf>
    <xf borderId="10" fillId="12" fontId="5" numFmtId="0" xfId="0" applyAlignment="1" applyBorder="1" applyFont="1">
      <alignment horizontal="center" shrinkToFit="0" vertical="center" wrapText="0"/>
    </xf>
    <xf borderId="10" fillId="12" fontId="5" numFmtId="164" xfId="0" applyAlignment="1" applyBorder="1" applyFont="1" applyNumberFormat="1">
      <alignment vertical="center"/>
    </xf>
    <xf borderId="10" fillId="12" fontId="5" numFmtId="164" xfId="0" applyAlignment="1" applyBorder="1" applyFont="1" applyNumberFormat="1">
      <alignment horizontal="center" shrinkToFit="0" vertical="center" wrapText="1"/>
    </xf>
    <xf borderId="10" fillId="12" fontId="5" numFmtId="3" xfId="0" applyAlignment="1" applyBorder="1" applyFont="1" applyNumberFormat="1">
      <alignment horizontal="center" shrinkToFit="0" vertical="center" wrapText="0"/>
    </xf>
    <xf borderId="10" fillId="12" fontId="5" numFmtId="3" xfId="0" applyAlignment="1" applyBorder="1" applyFont="1" applyNumberFormat="1">
      <alignment vertical="center"/>
    </xf>
    <xf borderId="10" fillId="2" fontId="5" numFmtId="3" xfId="0" applyAlignment="1" applyBorder="1" applyFont="1" applyNumberForma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5" numFmtId="164" xfId="0" applyAlignment="1" applyBorder="1" applyFont="1" applyNumberFormat="1">
      <alignment horizontal="right" vertical="center"/>
    </xf>
    <xf borderId="10" fillId="0" fontId="5" numFmtId="164" xfId="0" applyAlignment="1" applyBorder="1" applyFont="1" applyNumberFormat="1">
      <alignment horizontal="center" readingOrder="0" shrinkToFit="0" vertical="center" wrapText="1"/>
    </xf>
    <xf borderId="10" fillId="0" fontId="5" numFmtId="165" xfId="0" applyAlignment="1" applyBorder="1" applyFont="1" applyNumberFormat="1">
      <alignment horizontal="center" shrinkToFit="0" vertical="center" wrapText="0"/>
    </xf>
    <xf borderId="10" fillId="0" fontId="5" numFmtId="165" xfId="0" applyAlignment="1" applyBorder="1" applyFont="1" applyNumberFormat="1">
      <alignment vertical="center"/>
    </xf>
    <xf borderId="10" fillId="0" fontId="5" numFmtId="165" xfId="0" applyAlignment="1" applyBorder="1" applyFont="1" applyNumberFormat="1">
      <alignment readingOrder="0" vertical="center"/>
    </xf>
    <xf borderId="10" fillId="2" fontId="5" numFmtId="165" xfId="0" applyAlignment="1" applyBorder="1" applyFont="1" applyNumberFormat="1">
      <alignment readingOrder="0" vertical="center"/>
    </xf>
    <xf borderId="0" fillId="0" fontId="5" numFmtId="165" xfId="0" applyAlignment="1" applyFont="1" applyNumberFormat="1">
      <alignment vertical="center"/>
    </xf>
    <xf borderId="10" fillId="0" fontId="5" numFmtId="164" xfId="0" applyAlignment="1" applyBorder="1" applyFont="1" applyNumberFormat="1">
      <alignment horizontal="right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0" fillId="0" fontId="5" numFmtId="165" xfId="0" applyAlignment="1" applyBorder="1" applyFont="1" applyNumberFormat="1">
      <alignment horizontal="center" readingOrder="0" shrinkToFit="0" vertical="center" wrapText="0"/>
    </xf>
    <xf borderId="10" fillId="2" fontId="5" numFmtId="165" xfId="0" applyAlignment="1" applyBorder="1" applyFont="1" applyNumberFormat="1">
      <alignment vertical="center"/>
    </xf>
    <xf borderId="10" fillId="0" fontId="5" numFmtId="0" xfId="0" applyAlignment="1" applyBorder="1" applyFont="1">
      <alignment horizontal="center" vertical="center"/>
    </xf>
    <xf borderId="10" fillId="0" fontId="5" numFmtId="165" xfId="0" applyAlignment="1" applyBorder="1" applyFont="1" applyNumberFormat="1">
      <alignment horizontal="center" vertical="center"/>
    </xf>
    <xf borderId="10" fillId="0" fontId="5" numFmtId="165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13" fontId="5" numFmtId="164" xfId="0" applyAlignment="1" applyBorder="1" applyFill="1" applyFont="1" applyNumberFormat="1">
      <alignment horizontal="right" vertical="center"/>
    </xf>
    <xf borderId="10" fillId="0" fontId="5" numFmtId="166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3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10" fillId="14" fontId="5" numFmtId="165" xfId="0" applyAlignment="1" applyBorder="1" applyFill="1" applyFont="1" applyNumberFormat="1">
      <alignment vertical="center"/>
    </xf>
    <xf borderId="7" fillId="0" fontId="1" numFmtId="3" xfId="0" applyAlignment="1" applyBorder="1" applyFont="1" applyNumberFormat="1">
      <alignment vertical="center"/>
    </xf>
    <xf borderId="4" fillId="14" fontId="1" numFmtId="0" xfId="0" applyAlignment="1" applyBorder="1" applyFont="1">
      <alignment readingOrder="0" vertical="center"/>
    </xf>
    <xf borderId="10" fillId="14" fontId="1" numFmtId="0" xfId="0" applyAlignment="1" applyBorder="1" applyFont="1">
      <alignment horizontal="center" readingOrder="0" shrinkToFit="0" vertical="center" wrapText="1"/>
    </xf>
    <xf borderId="10" fillId="14" fontId="1" numFmtId="3" xfId="0" applyAlignment="1" applyBorder="1" applyFont="1" applyNumberFormat="1">
      <alignment vertical="center"/>
    </xf>
    <xf borderId="0" fillId="15" fontId="5" numFmtId="0" xfId="0" applyAlignment="1" applyFill="1" applyFont="1">
      <alignment vertical="center"/>
    </xf>
    <xf borderId="0" fillId="15" fontId="5" numFmtId="0" xfId="0" applyAlignment="1" applyFont="1">
      <alignment horizontal="center" shrinkToFit="0" vertical="center" wrapText="1"/>
    </xf>
    <xf borderId="0" fillId="15" fontId="5" numFmtId="3" xfId="0" applyAlignment="1" applyFont="1" applyNumberFormat="1">
      <alignment vertical="center"/>
    </xf>
    <xf borderId="0" fillId="2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12" fontId="5" numFmtId="3" xfId="0" applyAlignment="1" applyFont="1" applyNumberFormat="1">
      <alignment vertical="center"/>
    </xf>
    <xf borderId="7" fillId="12" fontId="5" numFmtId="3" xfId="0" applyAlignment="1" applyBorder="1" applyFont="1" applyNumberFormat="1">
      <alignment vertical="center"/>
    </xf>
    <xf borderId="0" fillId="2" fontId="9" numFmtId="0" xfId="0" applyFont="1"/>
    <xf borderId="10" fillId="0" fontId="5" numFmtId="167" xfId="0" applyAlignment="1" applyBorder="1" applyFont="1" applyNumberFormat="1">
      <alignment horizontal="right" vertical="center"/>
    </xf>
    <xf borderId="10" fillId="0" fontId="5" numFmtId="167" xfId="0" applyAlignment="1" applyBorder="1" applyFont="1" applyNumberFormat="1">
      <alignment horizontal="right" readingOrder="0" vertical="center"/>
    </xf>
    <xf borderId="10" fillId="0" fontId="10" numFmtId="165" xfId="0" applyAlignment="1" applyBorder="1" applyFont="1" applyNumberFormat="1">
      <alignment vertical="center"/>
    </xf>
    <xf borderId="10" fillId="0" fontId="11" numFmtId="165" xfId="0" applyAlignment="1" applyBorder="1" applyFont="1" applyNumberFormat="1">
      <alignment vertical="center"/>
    </xf>
    <xf borderId="10" fillId="13" fontId="5" numFmtId="164" xfId="0" applyAlignment="1" applyBorder="1" applyFont="1" applyNumberFormat="1">
      <alignment horizontal="right" readingOrder="0" vertical="center"/>
    </xf>
    <xf borderId="10" fillId="13" fontId="5" numFmtId="164" xfId="0" applyAlignment="1" applyBorder="1" applyFont="1" applyNumberFormat="1">
      <alignment horizontal="center" readingOrder="0" shrinkToFit="0" vertical="center" wrapText="1"/>
    </xf>
    <xf borderId="10" fillId="0" fontId="5" numFmtId="164" xfId="0" applyAlignment="1" applyBorder="1" applyFont="1" applyNumberFormat="1">
      <alignment horizontal="center" readingOrder="0" shrinkToFit="0" vertical="top" wrapText="1"/>
    </xf>
    <xf borderId="10" fillId="0" fontId="12" numFmtId="165" xfId="0" applyAlignment="1" applyBorder="1" applyFont="1" applyNumberFormat="1">
      <alignment vertical="center"/>
    </xf>
    <xf borderId="10" fillId="13" fontId="5" numFmtId="0" xfId="0" applyAlignment="1" applyBorder="1" applyFont="1">
      <alignment horizontal="center" vertical="center"/>
    </xf>
    <xf borderId="10" fillId="13" fontId="5" numFmtId="165" xfId="0" applyAlignment="1" applyBorder="1" applyFont="1" applyNumberFormat="1">
      <alignment horizontal="center" shrinkToFit="0" vertical="center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10" fillId="0" fontId="5" numFmtId="165" xfId="0" applyAlignment="1" applyBorder="1" applyFont="1" applyNumberFormat="1">
      <alignment horizontal="right"/>
    </xf>
    <xf borderId="10" fillId="0" fontId="1" numFmtId="0" xfId="0" applyAlignment="1" applyBorder="1" applyFont="1">
      <alignment vertical="center"/>
    </xf>
    <xf borderId="10" fillId="0" fontId="1" numFmtId="3" xfId="0" applyAlignment="1" applyBorder="1" applyFont="1" applyNumberFormat="1">
      <alignment readingOrder="0" vertical="center"/>
    </xf>
    <xf borderId="10" fillId="14" fontId="1" numFmtId="0" xfId="0" applyAlignment="1" applyBorder="1" applyFont="1">
      <alignment vertical="center"/>
    </xf>
    <xf borderId="10" fillId="15" fontId="5" numFmtId="165" xfId="0" applyAlignment="1" applyBorder="1" applyFont="1" applyNumberFormat="1">
      <alignment vertical="center"/>
    </xf>
    <xf borderId="0" fillId="16" fontId="3" numFmtId="0" xfId="0" applyAlignment="1" applyFill="1" applyFont="1">
      <alignment readingOrder="0" vertical="center"/>
    </xf>
    <xf borderId="0" fillId="16" fontId="14" numFmtId="0" xfId="0" applyAlignment="1" applyFont="1">
      <alignment vertical="center"/>
    </xf>
    <xf borderId="0" fillId="16" fontId="14" numFmtId="0" xfId="0" applyAlignment="1" applyFont="1">
      <alignment horizontal="center" shrinkToFit="0" vertical="center" wrapText="1"/>
    </xf>
    <xf borderId="0" fillId="16" fontId="3" numFmtId="3" xfId="0" applyAlignment="1" applyFont="1" applyNumberFormat="1">
      <alignment vertical="center"/>
    </xf>
    <xf borderId="10" fillId="16" fontId="5" numFmtId="165" xfId="0" applyAlignment="1" applyBorder="1" applyFont="1" applyNumberFormat="1">
      <alignment vertical="center"/>
    </xf>
    <xf borderId="0" fillId="2" fontId="3" numFmtId="3" xfId="0" applyAlignment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15" fontId="13" numFmtId="0" xfId="0" applyAlignment="1" applyFont="1">
      <alignment vertical="center"/>
    </xf>
    <xf borderId="0" fillId="15" fontId="13" numFmtId="0" xfId="0" applyAlignment="1" applyFont="1">
      <alignment horizontal="center" shrinkToFit="0" vertical="center" wrapText="1"/>
    </xf>
    <xf borderId="0" fillId="15" fontId="13" numFmtId="3" xfId="0" applyAlignment="1" applyFont="1" applyNumberFormat="1">
      <alignment vertical="center"/>
    </xf>
    <xf borderId="0" fillId="2" fontId="13" numFmtId="3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0" fillId="0" fontId="5" numFmtId="3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15" numFmtId="0" xfId="0" applyAlignment="1" applyFont="1">
      <alignment readingOrder="0"/>
    </xf>
    <xf borderId="0" fillId="11" fontId="16" numFmtId="0" xfId="0" applyAlignment="1" applyFont="1">
      <alignment horizontal="center" readingOrder="0"/>
    </xf>
    <xf borderId="0" fillId="11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7" fontId="1" numFmtId="0" xfId="0" applyAlignment="1" applyFill="1" applyFont="1">
      <alignment horizontal="center" vertical="bottom"/>
    </xf>
    <xf borderId="0" fillId="18" fontId="17" numFmtId="0" xfId="0" applyAlignment="1" applyFill="1" applyFont="1">
      <alignment horizontal="center" vertical="bottom"/>
    </xf>
    <xf borderId="0" fillId="19" fontId="1" numFmtId="0" xfId="0" applyAlignment="1" applyFill="1" applyFont="1">
      <alignment horizontal="center" vertical="bottom"/>
    </xf>
    <xf borderId="0" fillId="0" fontId="9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17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19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0" fillId="20" fontId="1" numFmtId="0" xfId="0" applyAlignment="1" applyFill="1" applyFont="1">
      <alignment horizontal="center" vertical="bottom"/>
    </xf>
    <xf borderId="0" fillId="20" fontId="1" numFmtId="165" xfId="0" applyAlignment="1" applyFont="1" applyNumberFormat="1">
      <alignment horizontal="right" vertical="bottom"/>
    </xf>
    <xf borderId="0" fillId="17" fontId="1" numFmtId="165" xfId="0" applyAlignment="1" applyFont="1" applyNumberFormat="1">
      <alignment horizontal="right" vertical="bottom"/>
    </xf>
    <xf borderId="0" fillId="9" fontId="5" numFmtId="165" xfId="0" applyAlignment="1" applyFont="1" applyNumberFormat="1">
      <alignment horizontal="right" vertical="bottom"/>
    </xf>
    <xf borderId="0" fillId="15" fontId="5" numFmtId="0" xfId="0" applyAlignment="1" applyFont="1">
      <alignment readingOrder="0" vertical="bottom"/>
    </xf>
    <xf borderId="0" fillId="15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readingOrder="0" vertical="center"/>
    </xf>
    <xf borderId="0" fillId="17" fontId="5" numFmtId="4" xfId="0" applyAlignment="1" applyFont="1" applyNumberFormat="1">
      <alignment readingOrder="0" vertical="bottom"/>
    </xf>
    <xf borderId="0" fillId="9" fontId="16" numFmtId="0" xfId="0" applyAlignment="1" applyFont="1">
      <alignment horizontal="center" readingOrder="0"/>
    </xf>
    <xf borderId="0" fillId="9" fontId="1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0" fontId="5" numFmtId="165" xfId="0" applyAlignment="1" applyFont="1" applyNumberFormat="1">
      <alignment horizontal="right" vertical="bottom"/>
    </xf>
    <xf borderId="0" fillId="20" fontId="5" numFmtId="0" xfId="0" applyAlignment="1" applyFont="1">
      <alignment horizontal="right" vertical="bottom"/>
    </xf>
    <xf borderId="0" fillId="9" fontId="1" numFmtId="165" xfId="0" applyAlignment="1" applyFont="1" applyNumberFormat="1">
      <alignment horizontal="right" vertical="bottom"/>
    </xf>
    <xf borderId="0" fillId="0" fontId="1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16" numFmtId="0" xfId="0" applyAlignment="1" applyFont="1">
      <alignment horizontal="center" readingOrder="0"/>
    </xf>
    <xf borderId="0" fillId="20" fontId="9" numFmtId="0" xfId="0" applyAlignment="1" applyFont="1">
      <alignment horizontal="center" readingOrder="0"/>
    </xf>
    <xf borderId="0" fillId="21" fontId="16" numFmtId="0" xfId="0" applyAlignment="1" applyFill="1" applyFont="1">
      <alignment horizontal="center" readingOrder="0" vertical="center"/>
    </xf>
    <xf borderId="0" fillId="20" fontId="9" numFmtId="0" xfId="0" applyAlignment="1" applyFont="1">
      <alignment horizontal="center" readingOrder="0" vertical="center"/>
    </xf>
    <xf borderId="0" fillId="20" fontId="16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165" xfId="0" applyAlignment="1" applyFont="1" applyNumberFormat="1">
      <alignment vertical="center"/>
    </xf>
    <xf borderId="0" fillId="21" fontId="16" numFmtId="165" xfId="0" applyAlignment="1" applyFont="1" applyNumberFormat="1">
      <alignment vertical="center"/>
    </xf>
    <xf borderId="0" fillId="0" fontId="16" numFmtId="165" xfId="0" applyAlignment="1" applyFont="1" applyNumberFormat="1">
      <alignment vertical="center"/>
    </xf>
    <xf borderId="0" fillId="0" fontId="9" numFmtId="165" xfId="0" applyAlignment="1" applyFont="1" applyNumberFormat="1">
      <alignment readingOrder="0" vertical="center"/>
    </xf>
    <xf borderId="0" fillId="0" fontId="9" numFmtId="165" xfId="0" applyAlignment="1" applyFont="1" applyNumberFormat="1">
      <alignment readingOrder="0" shrinkToFit="0" vertical="center" wrapText="1"/>
    </xf>
    <xf borderId="0" fillId="0" fontId="9" numFmtId="4" xfId="0" applyAlignment="1" applyFont="1" applyNumberFormat="1">
      <alignment readingOrder="0" vertical="center"/>
    </xf>
    <xf borderId="0" fillId="11" fontId="9" numFmtId="0" xfId="0" applyAlignment="1" applyFont="1">
      <alignment readingOrder="0"/>
    </xf>
    <xf borderId="0" fillId="11" fontId="16" numFmtId="0" xfId="0" applyAlignment="1" applyFont="1">
      <alignment horizontal="center" readingOrder="0" vertical="center"/>
    </xf>
    <xf borderId="0" fillId="0" fontId="9" numFmtId="165" xfId="0" applyFont="1" applyNumberFormat="1"/>
    <xf borderId="0" fillId="22" fontId="16" numFmtId="0" xfId="0" applyAlignment="1" applyFill="1" applyFont="1">
      <alignment horizontal="center" readingOrder="0"/>
    </xf>
    <xf borderId="0" fillId="22" fontId="16" numFmtId="165" xfId="0" applyFont="1" applyNumberFormat="1"/>
    <xf borderId="0" fillId="0" fontId="9" numFmtId="0" xfId="0" applyAlignment="1" applyFont="1">
      <alignment readingOrder="0"/>
    </xf>
    <xf borderId="0" fillId="0" fontId="9" numFmtId="168" xfId="0" applyAlignment="1" applyFont="1" applyNumberFormat="1">
      <alignment readingOrder="0"/>
    </xf>
    <xf borderId="0" fillId="0" fontId="9" numFmtId="4" xfId="0" applyFont="1" applyNumberFormat="1"/>
    <xf borderId="0" fillId="9" fontId="9" numFmtId="0" xfId="0" applyAlignment="1" applyFont="1">
      <alignment readingOrder="0"/>
    </xf>
    <xf borderId="0" fillId="9" fontId="16" numFmtId="0" xfId="0" applyAlignment="1" applyFont="1">
      <alignment horizontal="center" readingOrder="0" vertical="center"/>
    </xf>
    <xf borderId="0" fillId="0" fontId="9" numFmtId="4" xfId="0" applyAlignment="1" applyFont="1" applyNumberFormat="1">
      <alignment readingOrder="0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14" fillId="0" fontId="5" numFmtId="0" xfId="0" applyAlignment="1" applyBorder="1" applyFont="1">
      <alignment vertical="center"/>
    </xf>
    <xf borderId="7" fillId="23" fontId="19" numFmtId="0" xfId="0" applyAlignment="1" applyBorder="1" applyFill="1" applyFont="1">
      <alignment horizontal="center" shrinkToFit="0" vertical="center" wrapText="1"/>
    </xf>
    <xf borderId="9" fillId="23" fontId="19" numFmtId="0" xfId="0" applyAlignment="1" applyBorder="1" applyFont="1">
      <alignment horizontal="center" shrinkToFit="0" vertical="center" wrapText="1"/>
    </xf>
    <xf borderId="14" fillId="23" fontId="19" numFmtId="0" xfId="0" applyAlignment="1" applyBorder="1" applyFont="1">
      <alignment horizontal="center" shrinkToFit="0" vertical="center" wrapText="1"/>
    </xf>
    <xf borderId="12" fillId="23" fontId="19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center" readingOrder="0" vertical="center"/>
    </xf>
    <xf borderId="10" fillId="0" fontId="20" numFmtId="0" xfId="0" applyAlignment="1" applyBorder="1" applyFont="1">
      <alignment horizontal="center" shrinkToFit="0" vertical="center" wrapText="1"/>
    </xf>
    <xf borderId="10" fillId="0" fontId="5" numFmtId="3" xfId="0" applyAlignment="1" applyBorder="1" applyFont="1" applyNumberFormat="1">
      <alignment horizontal="center" shrinkToFit="0" vertical="center" wrapText="1"/>
    </xf>
    <xf borderId="10" fillId="0" fontId="5" numFmtId="168" xfId="0" applyAlignment="1" applyBorder="1" applyFont="1" applyNumberFormat="1">
      <alignment horizontal="right" readingOrder="0" shrinkToFit="0" vertical="center" wrapText="1"/>
    </xf>
    <xf borderId="10" fillId="24" fontId="5" numFmtId="164" xfId="0" applyAlignment="1" applyBorder="1" applyFill="1" applyFont="1" applyNumberFormat="1">
      <alignment horizontal="center" readingOrder="0" shrinkToFit="0" vertical="center" wrapText="1"/>
    </xf>
    <xf borderId="10" fillId="0" fontId="5" numFmtId="164" xfId="0" applyAlignment="1" applyBorder="1" applyFont="1" applyNumberFormat="1">
      <alignment shrinkToFit="0" vertical="center" wrapText="1"/>
    </xf>
    <xf borderId="4" fillId="0" fontId="21" numFmtId="0" xfId="0" applyAlignment="1" applyBorder="1" applyFont="1">
      <alignment horizontal="center" vertical="center"/>
    </xf>
    <xf borderId="10" fillId="0" fontId="1" numFmtId="3" xfId="0" applyAlignment="1" applyBorder="1" applyFont="1" applyNumberFormat="1">
      <alignment horizontal="right" vertical="center"/>
    </xf>
    <xf borderId="10" fillId="0" fontId="5" numFmtId="0" xfId="0" applyAlignment="1" applyBorder="1" applyFont="1">
      <alignment vertical="center"/>
    </xf>
    <xf borderId="0" fillId="18" fontId="22" numFmtId="0" xfId="0" applyAlignment="1" applyFont="1">
      <alignment readingOrder="0" vertical="center"/>
    </xf>
    <xf borderId="0" fillId="18" fontId="5" numFmtId="0" xfId="0" applyAlignment="1" applyFont="1">
      <alignment vertical="center"/>
    </xf>
    <xf borderId="0" fillId="18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15" fillId="18" fontId="5" numFmtId="0" xfId="0" applyAlignment="1" applyBorder="1" applyFont="1">
      <alignment vertical="center"/>
    </xf>
    <xf borderId="15" fillId="18" fontId="23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readingOrder="0" vertical="center"/>
    </xf>
    <xf borderId="10" fillId="0" fontId="5" numFmtId="164" xfId="0" applyAlignment="1" applyBorder="1" applyFont="1" applyNumberFormat="1">
      <alignment horizontal="center" readingOrder="0" vertical="center"/>
    </xf>
    <xf borderId="10" fillId="0" fontId="5" numFmtId="3" xfId="0" applyAlignment="1" applyBorder="1" applyFont="1" applyNumberFormat="1">
      <alignment horizontal="right" readingOrder="0" shrinkToFit="0" vertical="center" wrapText="1"/>
    </xf>
    <xf borderId="10" fillId="0" fontId="1" numFmtId="4" xfId="0" applyAlignment="1" applyBorder="1" applyFont="1" applyNumberFormat="1">
      <alignment horizontal="right" vertical="center"/>
    </xf>
    <xf borderId="10" fillId="0" fontId="5" numFmtId="165" xfId="0" applyAlignment="1" applyBorder="1" applyFont="1" applyNumberFormat="1">
      <alignment horizontal="center" shrinkToFit="0" vertical="center" wrapText="1"/>
    </xf>
    <xf borderId="10" fillId="0" fontId="5" numFmtId="4" xfId="0" applyAlignment="1" applyBorder="1" applyFont="1" applyNumberFormat="1">
      <alignment horizontal="right" readingOrder="0" shrinkToFit="0" vertical="center" wrapText="1"/>
    </xf>
    <xf borderId="10" fillId="24" fontId="5" numFmtId="164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0"/>
    </xf>
    <xf borderId="14" fillId="0" fontId="13" numFmtId="0" xfId="0" applyAlignment="1" applyBorder="1" applyFont="1">
      <alignment horizontal="center" shrinkToFit="0" wrapText="0"/>
    </xf>
    <xf borderId="14" fillId="0" fontId="13" numFmtId="0" xfId="0" applyAlignment="1" applyBorder="1" applyFont="1">
      <alignment shrinkToFit="0" wrapText="0"/>
    </xf>
    <xf borderId="7" fillId="23" fontId="25" numFmtId="0" xfId="0" applyAlignment="1" applyBorder="1" applyFont="1">
      <alignment horizontal="center" readingOrder="0"/>
    </xf>
    <xf borderId="9" fillId="23" fontId="25" numFmtId="0" xfId="0" applyAlignment="1" applyBorder="1" applyFont="1">
      <alignment horizontal="center" readingOrder="0"/>
    </xf>
    <xf borderId="14" fillId="23" fontId="25" numFmtId="0" xfId="0" applyAlignment="1" applyBorder="1" applyFont="1">
      <alignment horizontal="center" readingOrder="0"/>
    </xf>
    <xf borderId="12" fillId="23" fontId="25" numFmtId="0" xfId="0" applyAlignment="1" applyBorder="1" applyFont="1">
      <alignment horizontal="center" readingOrder="0"/>
    </xf>
    <xf borderId="10" fillId="0" fontId="26" numFmtId="0" xfId="0" applyAlignment="1" applyBorder="1" applyFont="1">
      <alignment horizontal="center" readingOrder="0" shrinkToFit="0" wrapText="0"/>
    </xf>
    <xf borderId="10" fillId="0" fontId="26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7" fillId="18" fontId="13" numFmtId="0" xfId="0" applyAlignment="1" applyBorder="1" applyFont="1">
      <alignment horizontal="center"/>
    </xf>
    <xf borderId="7" fillId="0" fontId="13" numFmtId="0" xfId="0" applyAlignment="1" applyBorder="1" applyFont="1">
      <alignment readingOrder="0"/>
    </xf>
    <xf borderId="10" fillId="0" fontId="13" numFmtId="0" xfId="0" applyAlignment="1" applyBorder="1" applyFont="1">
      <alignment horizontal="center" readingOrder="0" shrinkToFit="0" wrapText="0"/>
    </xf>
    <xf borderId="10" fillId="0" fontId="13" numFmtId="164" xfId="0" applyAlignment="1" applyBorder="1" applyFont="1" applyNumberFormat="1">
      <alignment horizontal="right" readingOrder="0" shrinkToFit="0" wrapText="0"/>
    </xf>
    <xf borderId="10" fillId="0" fontId="13" numFmtId="165" xfId="0" applyAlignment="1" applyBorder="1" applyFont="1" applyNumberFormat="1">
      <alignment readingOrder="0" shrinkToFit="0" wrapText="0"/>
    </xf>
    <xf borderId="10" fillId="18" fontId="13" numFmtId="3" xfId="0" applyAlignment="1" applyBorder="1" applyFont="1" applyNumberFormat="1">
      <alignment horizontal="right" readingOrder="0"/>
    </xf>
    <xf borderId="10" fillId="18" fontId="13" numFmtId="165" xfId="0" applyAlignment="1" applyBorder="1" applyFont="1" applyNumberFormat="1">
      <alignment horizontal="right"/>
    </xf>
    <xf borderId="10" fillId="18" fontId="13" numFmtId="0" xfId="0" applyAlignment="1" applyBorder="1" applyFont="1">
      <alignment horizontal="right"/>
    </xf>
    <xf borderId="10" fillId="0" fontId="13" numFmtId="16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/>
    </xf>
    <xf borderId="10" fillId="18" fontId="13" numFmtId="0" xfId="0" applyBorder="1" applyFont="1"/>
    <xf borderId="3" fillId="0" fontId="13" numFmtId="0" xfId="0" applyAlignment="1" applyBorder="1" applyFont="1">
      <alignment readingOrder="0"/>
    </xf>
    <xf borderId="9" fillId="18" fontId="13" numFmtId="0" xfId="0" applyBorder="1" applyFont="1"/>
    <xf borderId="12" fillId="18" fontId="5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readingOrder="0"/>
    </xf>
    <xf borderId="9" fillId="0" fontId="13" numFmtId="0" xfId="0" applyAlignment="1" applyBorder="1" applyFont="1">
      <alignment readingOrder="0"/>
    </xf>
    <xf borderId="10" fillId="0" fontId="13" numFmtId="0" xfId="0" applyAlignment="1" applyBorder="1" applyFont="1">
      <alignment horizontal="center" readingOrder="0"/>
    </xf>
    <xf borderId="10" fillId="18" fontId="5" numFmtId="0" xfId="0" applyAlignment="1" applyBorder="1" applyFont="1">
      <alignment shrinkToFit="0" vertical="bottom" wrapText="0"/>
    </xf>
    <xf borderId="6" fillId="0" fontId="13" numFmtId="0" xfId="0" applyAlignment="1" applyBorder="1" applyFont="1">
      <alignment readingOrder="0"/>
    </xf>
    <xf borderId="10" fillId="0" fontId="13" numFmtId="164" xfId="0" applyAlignment="1" applyBorder="1" applyFont="1" applyNumberFormat="1">
      <alignment horizontal="center"/>
    </xf>
    <xf borderId="10" fillId="0" fontId="13" numFmtId="0" xfId="0" applyAlignment="1" applyBorder="1" applyFont="1">
      <alignment readingOrder="0"/>
    </xf>
    <xf borderId="10" fillId="18" fontId="13" numFmtId="0" xfId="0" applyBorder="1" applyFont="1"/>
    <xf borderId="12" fillId="18" fontId="13" numFmtId="0" xfId="0" applyBorder="1" applyFont="1"/>
    <xf borderId="10" fillId="0" fontId="13" numFmtId="166" xfId="0" applyAlignment="1" applyBorder="1" applyFont="1" applyNumberFormat="1">
      <alignment horizontal="center" readingOrder="0" shrinkToFit="0" wrapText="0"/>
    </xf>
    <xf borderId="3" fillId="0" fontId="13" numFmtId="0" xfId="0" applyAlignment="1" applyBorder="1" applyFont="1">
      <alignment readingOrder="0"/>
    </xf>
    <xf borderId="7" fillId="18" fontId="13" numFmtId="0" xfId="0" applyAlignment="1" applyBorder="1" applyFont="1">
      <alignment horizontal="center"/>
    </xf>
    <xf borderId="3" fillId="18" fontId="13" numFmtId="0" xfId="0" applyBorder="1" applyFont="1"/>
    <xf borderId="1" fillId="18" fontId="13" numFmtId="0" xfId="0" applyAlignment="1" applyBorder="1" applyFont="1">
      <alignment horizontal="center"/>
    </xf>
    <xf borderId="10" fillId="0" fontId="13" numFmtId="164" xfId="0" applyAlignment="1" applyBorder="1" applyFont="1" applyNumberFormat="1">
      <alignment horizontal="right" shrinkToFit="0" wrapText="0"/>
    </xf>
    <xf borderId="1" fillId="18" fontId="13" numFmtId="0" xfId="0" applyAlignment="1" applyBorder="1" applyFont="1">
      <alignment horizontal="center"/>
    </xf>
    <xf borderId="10" fillId="18" fontId="5" numFmtId="0" xfId="0" applyAlignment="1" applyBorder="1" applyFont="1">
      <alignment shrinkToFit="0" vertical="bottom" wrapText="0"/>
    </xf>
    <xf borderId="9" fillId="18" fontId="13" numFmtId="0" xfId="0" applyBorder="1" applyFont="1"/>
    <xf borderId="12" fillId="0" fontId="13" numFmtId="0" xfId="0" applyAlignment="1" applyBorder="1" applyFont="1">
      <alignment readingOrder="0"/>
    </xf>
    <xf borderId="7" fillId="18" fontId="5" numFmtId="0" xfId="0" applyAlignment="1" applyBorder="1" applyFont="1">
      <alignment horizontal="center" shrinkToFit="0" vertical="bottom" wrapText="0"/>
    </xf>
    <xf borderId="1" fillId="18" fontId="5" numFmtId="0" xfId="0" applyAlignment="1" applyBorder="1" applyFont="1">
      <alignment horizontal="center" shrinkToFit="0" vertical="bottom" wrapText="0"/>
    </xf>
    <xf borderId="1" fillId="18" fontId="5" numFmtId="0" xfId="0" applyAlignment="1" applyBorder="1" applyFont="1">
      <alignment horizontal="center" shrinkToFit="0" vertical="bottom" wrapText="0"/>
    </xf>
    <xf borderId="1" fillId="18" fontId="5" numFmtId="0" xfId="0" applyAlignment="1" applyBorder="1" applyFont="1">
      <alignment horizontal="center" shrinkToFit="0" vertical="bottom" wrapText="0"/>
    </xf>
    <xf borderId="10" fillId="0" fontId="13" numFmtId="0" xfId="0" applyAlignment="1" applyBorder="1" applyFont="1">
      <alignment horizontal="right" readingOrder="0" shrinkToFit="0" wrapText="0"/>
    </xf>
    <xf borderId="10" fillId="0" fontId="13" numFmtId="0" xfId="0" applyAlignment="1" applyBorder="1" applyFont="1">
      <alignment readingOrder="0" shrinkToFit="0" wrapText="0"/>
    </xf>
    <xf borderId="10" fillId="18" fontId="13" numFmtId="0" xfId="0" applyAlignment="1" applyBorder="1" applyFont="1">
      <alignment shrinkToFit="0" wrapText="0"/>
    </xf>
    <xf borderId="10" fillId="18" fontId="13" numFmtId="0" xfId="0" applyAlignment="1" applyBorder="1" applyFont="1">
      <alignment horizontal="right" readingOrder="0"/>
    </xf>
    <xf borderId="10" fillId="18" fontId="13" numFmtId="0" xfId="0" applyAlignment="1" applyBorder="1" applyFont="1">
      <alignment shrinkToFit="0" wrapText="0"/>
    </xf>
    <xf borderId="9" fillId="18" fontId="13" numFmtId="0" xfId="0" applyAlignment="1" applyBorder="1" applyFont="1">
      <alignment shrinkToFit="0" wrapText="0"/>
    </xf>
    <xf borderId="12" fillId="0" fontId="13" numFmtId="0" xfId="0" applyAlignment="1" applyBorder="1" applyFont="1">
      <alignment horizontal="center" readingOrder="0" shrinkToFit="0" wrapText="0"/>
    </xf>
    <xf borderId="9" fillId="0" fontId="13" numFmtId="0" xfId="0" applyAlignment="1" applyBorder="1" applyFont="1">
      <alignment horizontal="center" readingOrder="0" shrinkToFit="0" wrapText="0"/>
    </xf>
    <xf borderId="9" fillId="0" fontId="13" numFmtId="0" xfId="0" applyAlignment="1" applyBorder="1" applyFont="1">
      <alignment horizontal="right" readingOrder="0" shrinkToFit="0" wrapText="0"/>
    </xf>
    <xf borderId="9" fillId="0" fontId="13" numFmtId="0" xfId="0" applyAlignment="1" applyBorder="1" applyFont="1">
      <alignment readingOrder="0" shrinkToFit="0" wrapText="0"/>
    </xf>
    <xf borderId="9" fillId="18" fontId="13" numFmtId="0" xfId="0" applyAlignment="1" applyBorder="1" applyFont="1">
      <alignment horizontal="right" readingOrder="0"/>
    </xf>
    <xf borderId="9" fillId="0" fontId="13" numFmtId="0" xfId="0" applyAlignment="1" applyBorder="1" applyFont="1">
      <alignment horizontal="center" readingOrder="0"/>
    </xf>
    <xf borderId="4" fillId="25" fontId="27" numFmtId="0" xfId="0" applyAlignment="1" applyBorder="1" applyFill="1" applyFont="1">
      <alignment horizontal="center" readingOrder="0" shrinkToFit="0" wrapText="0"/>
    </xf>
    <xf borderId="10" fillId="25" fontId="13" numFmtId="0" xfId="0" applyAlignment="1" applyBorder="1" applyFont="1">
      <alignment horizontal="right" readingOrder="0"/>
    </xf>
    <xf borderId="10" fillId="18" fontId="13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center"/>
    </xf>
    <xf borderId="0" fillId="0" fontId="5" numFmtId="0" xfId="0" applyAlignment="1" applyFont="1">
      <alignment shrinkToFit="0" vertical="bottom" wrapText="0"/>
    </xf>
    <xf borderId="0" fillId="18" fontId="13" numFmtId="0" xfId="0" applyAlignment="1" applyFont="1">
      <alignment shrinkToFit="0" vertical="bottom" wrapText="0"/>
    </xf>
    <xf borderId="0" fillId="18" fontId="13" numFmtId="0" xfId="0" applyAlignment="1" applyFont="1">
      <alignment horizontal="center"/>
    </xf>
    <xf borderId="0" fillId="0" fontId="5" numFmtId="0" xfId="0" applyAlignment="1" applyFont="1">
      <alignment shrinkToFit="0" vertical="bottom" wrapText="0"/>
    </xf>
    <xf borderId="14" fillId="18" fontId="28" numFmtId="0" xfId="0" applyAlignment="1" applyBorder="1" applyFont="1">
      <alignment horizontal="center" readingOrder="0" shrinkToFit="0" wrapText="0"/>
    </xf>
    <xf borderId="14" fillId="0" fontId="2" numFmtId="0" xfId="0" applyBorder="1" applyFont="1"/>
    <xf borderId="0" fillId="0" fontId="13" numFmtId="0" xfId="0" applyAlignment="1" applyFont="1">
      <alignment shrinkToFit="0" wrapText="0"/>
    </xf>
    <xf borderId="0" fillId="18" fontId="29" numFmtId="0" xfId="0" applyAlignment="1" applyFont="1">
      <alignment horizontal="center" readingOrder="0" shrinkToFit="0" wrapText="0"/>
    </xf>
    <xf borderId="14" fillId="18" fontId="29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shrinkToFit="0" wrapText="0"/>
    </xf>
    <xf borderId="0" fillId="18" fontId="13" numFmtId="0" xfId="0" applyAlignment="1" applyFont="1">
      <alignment shrinkToFit="0" wrapText="0"/>
    </xf>
    <xf borderId="0" fillId="0" fontId="13" numFmtId="164" xfId="0" applyAlignment="1" applyFont="1" applyNumberFormat="1">
      <alignment shrinkToFit="0" wrapText="0"/>
    </xf>
    <xf borderId="0" fillId="0" fontId="13" numFmtId="165" xfId="0" applyAlignment="1" applyFont="1" applyNumberFormat="1">
      <alignment shrinkToFit="0" wrapText="0"/>
    </xf>
    <xf borderId="0" fillId="0" fontId="13" numFmtId="3" xfId="0" applyAlignment="1" applyFont="1" applyNumberFormat="1">
      <alignment shrinkToFit="0" wrapText="0"/>
    </xf>
    <xf borderId="0" fillId="0" fontId="5" numFmtId="0" xfId="0" applyAlignment="1" applyFont="1">
      <alignment shrinkToFit="0" vertical="bottom" wrapText="0"/>
    </xf>
    <xf borderId="14" fillId="0" fontId="29" numFmtId="0" xfId="0" applyAlignment="1" applyBorder="1" applyFont="1">
      <alignment horizontal="center" readingOrder="0" shrinkToFit="0" wrapText="0"/>
    </xf>
    <xf borderId="0" fillId="18" fontId="13" numFmtId="165" xfId="0" applyAlignment="1" applyFont="1" applyNumberFormat="1">
      <alignment shrinkToFit="0" wrapText="0"/>
    </xf>
    <xf borderId="0" fillId="18" fontId="13" numFmtId="164" xfId="0" applyAlignment="1" applyFont="1" applyNumberFormat="1">
      <alignment shrinkToFit="0" wrapText="0"/>
    </xf>
    <xf borderId="0" fillId="18" fontId="27" numFmtId="0" xfId="0" applyAlignment="1" applyFont="1">
      <alignment horizontal="center" shrinkToFit="0" wrapText="0"/>
    </xf>
    <xf borderId="0" fillId="18" fontId="27" numFmtId="164" xfId="0" applyAlignment="1" applyFont="1" applyNumberFormat="1">
      <alignment horizontal="center" shrinkToFit="0" wrapText="0"/>
    </xf>
    <xf borderId="0" fillId="18" fontId="27" numFmtId="165" xfId="0" applyAlignment="1" applyFont="1" applyNumberFormat="1">
      <alignment horizontal="center" shrinkToFit="0" wrapText="0"/>
    </xf>
    <xf borderId="0" fillId="18" fontId="13" numFmtId="3" xfId="0" applyAlignment="1" applyFont="1" applyNumberFormat="1">
      <alignment horizontal="right"/>
    </xf>
    <xf borderId="0" fillId="18" fontId="13" numFmtId="165" xfId="0" applyAlignment="1" applyFont="1" applyNumberFormat="1">
      <alignment shrinkToFit="0" vertical="bottom" wrapText="0"/>
    </xf>
    <xf borderId="0" fillId="18" fontId="13" numFmtId="0" xfId="0" applyAlignment="1" applyFont="1">
      <alignment shrinkToFit="0" vertical="bottom" wrapText="0"/>
    </xf>
    <xf borderId="0" fillId="18" fontId="13" numFmtId="164" xfId="0" applyAlignment="1" applyFont="1" applyNumberFormat="1">
      <alignment horizontal="center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14" fillId="0" fontId="24" numFmtId="0" xfId="0" applyAlignment="1" applyBorder="1" applyFont="1">
      <alignment horizontal="center" readingOrder="0"/>
    </xf>
    <xf borderId="14" fillId="0" fontId="13" numFmtId="0" xfId="0" applyAlignment="1" applyBorder="1" applyFont="1">
      <alignment horizontal="center" shrinkToFit="0" wrapText="0"/>
    </xf>
    <xf borderId="14" fillId="0" fontId="13" numFmtId="0" xfId="0" applyAlignment="1" applyBorder="1" applyFont="1">
      <alignment shrinkToFit="0" wrapText="0"/>
    </xf>
    <xf borderId="14" fillId="0" fontId="13" numFmtId="0" xfId="0" applyAlignment="1" applyBorder="1" applyFont="1">
      <alignment shrinkToFit="0" wrapText="0"/>
    </xf>
    <xf borderId="14" fillId="0" fontId="13" numFmtId="164" xfId="0" applyAlignment="1" applyBorder="1" applyFont="1" applyNumberFormat="1">
      <alignment shrinkToFit="0" wrapText="0"/>
    </xf>
    <xf borderId="14" fillId="0" fontId="13" numFmtId="165" xfId="0" applyAlignment="1" applyBorder="1" applyFont="1" applyNumberFormat="1">
      <alignment shrinkToFit="0" wrapText="0"/>
    </xf>
    <xf borderId="14" fillId="0" fontId="13" numFmtId="3" xfId="0" applyAlignment="1" applyBorder="1" applyFont="1" applyNumberFormat="1">
      <alignment shrinkToFit="0" wrapText="0"/>
    </xf>
    <xf borderId="9" fillId="23" fontId="25" numFmtId="164" xfId="0" applyAlignment="1" applyBorder="1" applyFont="1" applyNumberFormat="1">
      <alignment horizontal="center" readingOrder="0"/>
    </xf>
    <xf borderId="14" fillId="23" fontId="25" numFmtId="165" xfId="0" applyAlignment="1" applyBorder="1" applyFont="1" applyNumberFormat="1">
      <alignment horizontal="center" readingOrder="0"/>
    </xf>
    <xf borderId="12" fillId="23" fontId="25" numFmtId="165" xfId="0" applyAlignment="1" applyBorder="1" applyFont="1" applyNumberFormat="1">
      <alignment horizontal="center" readingOrder="0"/>
    </xf>
    <xf borderId="12" fillId="23" fontId="25" numFmtId="3" xfId="0" applyAlignment="1" applyBorder="1" applyFont="1" applyNumberFormat="1">
      <alignment horizontal="center" readingOrder="0"/>
    </xf>
    <xf borderId="13" fillId="0" fontId="26" numFmtId="0" xfId="0" applyAlignment="1" applyBorder="1" applyFont="1">
      <alignment horizontal="center" readingOrder="0"/>
    </xf>
    <xf borderId="12" fillId="0" fontId="26" numFmtId="0" xfId="0" applyAlignment="1" applyBorder="1" applyFont="1">
      <alignment horizontal="center" readingOrder="0"/>
    </xf>
    <xf borderId="12" fillId="0" fontId="26" numFmtId="164" xfId="0" applyAlignment="1" applyBorder="1" applyFont="1" applyNumberFormat="1">
      <alignment horizontal="center" readingOrder="0"/>
    </xf>
    <xf borderId="12" fillId="0" fontId="26" numFmtId="165" xfId="0" applyAlignment="1" applyBorder="1" applyFont="1" applyNumberFormat="1">
      <alignment horizontal="center" readingOrder="0"/>
    </xf>
    <xf borderId="12" fillId="0" fontId="26" numFmtId="3" xfId="0" applyAlignment="1" applyBorder="1" applyFont="1" applyNumberFormat="1">
      <alignment horizontal="center" readingOrder="0"/>
    </xf>
    <xf borderId="7" fillId="0" fontId="13" numFmtId="0" xfId="0" applyBorder="1" applyFont="1"/>
    <xf borderId="10" fillId="0" fontId="13" numFmtId="165" xfId="0" applyAlignment="1" applyBorder="1" applyFont="1" applyNumberFormat="1">
      <alignment horizontal="center" readingOrder="0"/>
    </xf>
    <xf borderId="10" fillId="0" fontId="13" numFmtId="3" xfId="0" applyAlignment="1" applyBorder="1" applyFont="1" applyNumberFormat="1">
      <alignment readingOrder="0" shrinkToFit="0" wrapText="0"/>
    </xf>
    <xf borderId="10" fillId="0" fontId="13" numFmtId="0" xfId="0" applyBorder="1" applyFont="1"/>
    <xf borderId="10" fillId="0" fontId="13" numFmtId="165" xfId="0" applyAlignment="1" applyBorder="1" applyFont="1" applyNumberFormat="1">
      <alignment horizontal="center" readingOrder="0" shrinkToFit="0" wrapText="0"/>
    </xf>
    <xf borderId="10" fillId="0" fontId="13" numFmtId="164" xfId="0" applyAlignment="1" applyBorder="1" applyFont="1" applyNumberFormat="1">
      <alignment horizontal="center" readingOrder="0" shrinkToFit="0" wrapText="0"/>
    </xf>
    <xf borderId="9" fillId="0" fontId="13" numFmtId="0" xfId="0" applyBorder="1" applyFont="1"/>
    <xf borderId="10" fillId="0" fontId="13" numFmtId="164" xfId="0" applyAlignment="1" applyBorder="1" applyFont="1" applyNumberFormat="1">
      <alignment horizontal="center" shrinkToFit="0" wrapText="0"/>
    </xf>
    <xf borderId="3" fillId="0" fontId="13" numFmtId="0" xfId="0" applyBorder="1" applyFont="1"/>
    <xf borderId="7" fillId="0" fontId="13" numFmtId="0" xfId="0" applyBorder="1" applyFont="1"/>
    <xf borderId="10" fillId="0" fontId="13" numFmtId="0" xfId="0" applyBorder="1" applyFont="1"/>
    <xf borderId="10" fillId="0" fontId="13" numFmtId="0" xfId="0" applyAlignment="1" applyBorder="1" applyFont="1">
      <alignment horizontal="center" shrinkToFit="0" wrapText="0"/>
    </xf>
    <xf borderId="9" fillId="0" fontId="13" numFmtId="0" xfId="0" applyBorder="1" applyFont="1"/>
    <xf borderId="1" fillId="0" fontId="13" numFmtId="0" xfId="0" applyBorder="1" applyFont="1"/>
    <xf borderId="10" fillId="0" fontId="13" numFmtId="0" xfId="0" applyBorder="1" applyFont="1"/>
    <xf borderId="10" fillId="0" fontId="13" numFmtId="0" xfId="0" applyAlignment="1" applyBorder="1" applyFont="1">
      <alignment horizontal="center" shrinkToFit="0" wrapText="0"/>
    </xf>
    <xf borderId="7" fillId="0" fontId="13" numFmtId="0" xfId="0" applyBorder="1" applyFont="1"/>
    <xf borderId="4" fillId="26" fontId="30" numFmtId="0" xfId="0" applyAlignment="1" applyBorder="1" applyFill="1" applyFont="1">
      <alignment horizontal="center" readingOrder="0" shrinkToFit="0" wrapText="0"/>
    </xf>
    <xf borderId="10" fillId="26" fontId="31" numFmtId="0" xfId="0" applyAlignment="1" applyBorder="1" applyFont="1">
      <alignment horizontal="right" readingOrder="0" shrinkToFit="0" wrapText="0"/>
    </xf>
    <xf borderId="10" fillId="26" fontId="13" numFmtId="0" xfId="0" applyAlignment="1" applyBorder="1" applyFont="1">
      <alignment shrinkToFit="0" wrapText="0"/>
    </xf>
    <xf borderId="0" fillId="0" fontId="13" numFmtId="0" xfId="0" applyAlignment="1" applyFont="1">
      <alignment horizontal="center" shrinkToFit="0" wrapText="0"/>
    </xf>
    <xf borderId="0" fillId="0" fontId="13" numFmtId="0" xfId="0" applyAlignment="1" applyFont="1">
      <alignment horizontal="center" shrinkToFit="0" wrapText="0"/>
    </xf>
    <xf borderId="0" fillId="0" fontId="13" numFmtId="0" xfId="0" applyAlignment="1" applyFont="1">
      <alignment shrinkToFit="0" wrapText="0"/>
    </xf>
    <xf borderId="14" fillId="18" fontId="29" numFmtId="165" xfId="0" applyAlignment="1" applyBorder="1" applyFont="1" applyNumberFormat="1">
      <alignment horizontal="center" readingOrder="0" shrinkToFit="0" wrapText="0"/>
    </xf>
    <xf borderId="0" fillId="18" fontId="13" numFmtId="0" xfId="0" applyAlignment="1" applyFont="1">
      <alignment shrinkToFit="0" wrapText="0"/>
    </xf>
    <xf borderId="0" fillId="18" fontId="13" numFmtId="0" xfId="0" applyAlignment="1" applyFont="1">
      <alignment shrinkToFit="0" wrapText="0"/>
    </xf>
    <xf borderId="0" fillId="0" fontId="13" numFmtId="167" xfId="0" applyAlignment="1" applyFont="1" applyNumberFormat="1">
      <alignment shrinkToFit="0" wrapText="0"/>
    </xf>
    <xf borderId="14" fillId="0" fontId="24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readingOrder="0"/>
    </xf>
    <xf borderId="10" fillId="0" fontId="5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right" shrinkToFit="0" wrapText="0"/>
    </xf>
    <xf borderId="10" fillId="0" fontId="5" numFmtId="0" xfId="0" applyAlignment="1" applyBorder="1" applyFont="1">
      <alignment readingOrder="0" shrinkToFit="0" wrapText="0"/>
    </xf>
    <xf borderId="10" fillId="0" fontId="5" numFmtId="0" xfId="0" applyAlignment="1" applyBorder="1" applyFont="1">
      <alignment horizontal="right" readingOrder="0" shrinkToFit="0" wrapText="0"/>
    </xf>
    <xf borderId="10" fillId="0" fontId="5" numFmtId="0" xfId="0" applyAlignment="1" applyBorder="1" applyFont="1">
      <alignment horizontal="center" shrinkToFit="0" wrapText="0"/>
    </xf>
    <xf borderId="7" fillId="0" fontId="5" numFmtId="0" xfId="0" applyAlignment="1" applyBorder="1" applyFont="1">
      <alignment readingOrder="0"/>
    </xf>
    <xf borderId="10" fillId="0" fontId="5" numFmtId="0" xfId="0" applyAlignment="1" applyBorder="1" applyFont="1">
      <alignment shrinkToFit="0" wrapText="0"/>
    </xf>
    <xf borderId="10" fillId="0" fontId="5" numFmtId="0" xfId="0" applyAlignment="1" applyBorder="1" applyFont="1">
      <alignment horizontal="center"/>
    </xf>
    <xf borderId="0" fillId="18" fontId="28" numFmtId="0" xfId="0" applyAlignment="1" applyFont="1">
      <alignment horizontal="center" readingOrder="0" shrinkToFit="0" wrapText="0"/>
    </xf>
    <xf borderId="10" fillId="0" fontId="5" numFmtId="0" xfId="0" applyAlignment="1" applyBorder="1" applyFont="1">
      <alignment horizontal="center" readingOrder="0"/>
    </xf>
    <xf borderId="10" fillId="0" fontId="5" numFmtId="0" xfId="0" applyBorder="1" applyFont="1"/>
    <xf borderId="10" fillId="0" fontId="5" numFmtId="164" xfId="0" applyAlignment="1" applyBorder="1" applyFont="1" applyNumberFormat="1">
      <alignment horizontal="right" shrinkToFit="0" wrapText="0"/>
    </xf>
    <xf borderId="10" fillId="0" fontId="5" numFmtId="165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/>
    </xf>
    <xf borderId="10" fillId="0" fontId="5" numFmtId="164" xfId="0" applyAlignment="1" applyBorder="1" applyFont="1" applyNumberFormat="1">
      <alignment horizontal="center" shrinkToFit="0" wrapText="0"/>
    </xf>
    <xf borderId="10" fillId="0" fontId="5" numFmtId="164" xfId="0" applyAlignment="1" applyBorder="1" applyFont="1" applyNumberFormat="1">
      <alignment horizontal="right" readingOrder="0" shrinkToFit="0" wrapText="0"/>
    </xf>
    <xf borderId="10" fillId="0" fontId="5" numFmtId="164" xfId="0" applyAlignment="1" applyBorder="1" applyFont="1" applyNumberFormat="1">
      <alignment horizontal="center" readingOrder="0"/>
    </xf>
    <xf borderId="10" fillId="0" fontId="5" numFmtId="164" xfId="0" applyAlignment="1" applyBorder="1" applyFont="1" applyNumberFormat="1">
      <alignment horizontal="center"/>
    </xf>
    <xf borderId="10" fillId="0" fontId="5" numFmtId="164" xfId="0" applyAlignment="1" applyBorder="1" applyFont="1" applyNumberFormat="1">
      <alignment horizontal="center" readingOrder="0" shrinkToFit="0" wrapText="0"/>
    </xf>
    <xf borderId="7" fillId="0" fontId="5" numFmtId="0" xfId="0" applyAlignment="1" applyBorder="1" applyFont="1">
      <alignment horizontal="center" readingOrder="0"/>
    </xf>
    <xf borderId="7" fillId="0" fontId="5" numFmtId="0" xfId="0" applyBorder="1" applyFont="1"/>
    <xf borderId="10" fillId="0" fontId="5" numFmtId="166" xfId="0" applyAlignment="1" applyBorder="1" applyFont="1" applyNumberFormat="1">
      <alignment horizontal="center" readingOrder="0" shrinkToFit="0" wrapText="0"/>
    </xf>
    <xf borderId="7" fillId="0" fontId="5" numFmtId="0" xfId="0" applyBorder="1" applyFont="1"/>
    <xf borderId="10" fillId="0" fontId="5" numFmtId="3" xfId="0" applyAlignment="1" applyBorder="1" applyFont="1" applyNumberFormat="1">
      <alignment horizontal="center" readingOrder="0"/>
    </xf>
    <xf borderId="10" fillId="0" fontId="5" numFmtId="0" xfId="0" applyBorder="1" applyFont="1"/>
    <xf borderId="0" fillId="0" fontId="29" numFmtId="0" xfId="0" applyAlignment="1" applyFont="1">
      <alignment horizontal="center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B PPKP" id="{dea6102d-4477-4d8d-80be-edefca244a2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130" dT="2026-02-20T02:58:12.00" personId="{dea6102d-4477-4d8d-80be-edefca244a2c}" id="{2be86868-dac7-479e-a1aa-f7288c557820}" done="0">
    <x18tc:text xml:space="preserve">Gudang Pratama</x18tc:text>
  </x18tc:threadedComment>
  <x18tc:threadedComment ref="AJ130" dT="2026-02-20T02:57:51.00" personId="{dea6102d-4477-4d8d-80be-edefca244a2c}" id="{6d65a5cf-b932-48ff-a920-f50287ed119a}" done="0">
    <x18tc:text xml:space="preserve">PENGADAAN &amp; KEUANGAN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1.0" topLeftCell="G12" activePane="bottomRight" state="frozen"/>
      <selection activeCell="G1" sqref="G1" pane="topRight"/>
      <selection activeCell="A12" sqref="A12" pane="bottomLeft"/>
      <selection activeCell="G12" sqref="G12" pane="bottomRight"/>
    </sheetView>
  </sheetViews>
  <sheetFormatPr customHeight="1" defaultColWidth="14.43" defaultRowHeight="15.0"/>
  <cols>
    <col customWidth="1" min="1" max="1" width="6.29"/>
    <col customWidth="1" min="2" max="2" width="6.43"/>
    <col customWidth="1" min="3" max="3" width="38.14"/>
    <col customWidth="1" min="4" max="4" width="10.57"/>
    <col customWidth="1" min="5" max="5" width="15.0"/>
    <col customWidth="1" min="6" max="6" width="15.71"/>
    <col customWidth="1" min="7" max="7" width="9.14"/>
    <col customWidth="1" min="8" max="8" width="14.0"/>
    <col customWidth="1" hidden="1" min="9" max="10" width="6.71"/>
    <col customWidth="1" hidden="1" min="11" max="11" width="10.29"/>
    <col customWidth="1" hidden="1" min="12" max="12" width="14.43"/>
    <col customWidth="1" hidden="1" min="13" max="26" width="6.71"/>
    <col customWidth="1" min="27" max="27" width="6.71"/>
    <col customWidth="1" hidden="1" min="28" max="28" width="10.14"/>
    <col customWidth="1" hidden="1" min="29" max="29" width="14.86"/>
    <col customWidth="1" hidden="1" min="30" max="30" width="10.14"/>
    <col customWidth="1" hidden="1" min="31" max="31" width="14.86"/>
    <col customWidth="1" hidden="1" min="32" max="33" width="6.71"/>
    <col customWidth="1" hidden="1" min="34" max="35" width="14.86"/>
    <col customWidth="1" hidden="1" min="36" max="39" width="6.71"/>
    <col customWidth="1" hidden="1" min="40" max="43" width="14.86"/>
    <col customWidth="1" hidden="1" min="44" max="44" width="9.71"/>
    <col customWidth="1" hidden="1" min="45" max="45" width="11.0"/>
    <col customWidth="1" hidden="1" min="46" max="46" width="6.71"/>
    <col customWidth="1" hidden="1" min="47" max="48" width="14.86"/>
    <col customWidth="1" hidden="1" min="49" max="52" width="6.71"/>
    <col customWidth="1" hidden="1" min="53" max="60" width="14.86"/>
    <col customWidth="1" hidden="1" min="61" max="62" width="8.43"/>
    <col customWidth="1" hidden="1" min="63" max="64" width="14.86"/>
    <col customWidth="1" hidden="1" min="65" max="74" width="8.29"/>
    <col customWidth="1" hidden="1" min="75" max="78" width="14.86"/>
    <col customWidth="1" hidden="1" min="79" max="80" width="8.43"/>
    <col customWidth="1" hidden="1" min="81" max="82" width="14.86"/>
    <col customWidth="1" hidden="1" min="83" max="86" width="7.57"/>
    <col customWidth="1" hidden="1" min="87" max="90" width="14.86"/>
    <col customWidth="1" hidden="1" min="91" max="92" width="8.86"/>
    <col customWidth="1" hidden="1" min="93" max="94" width="14.86"/>
    <col customWidth="1" hidden="1" min="95" max="98" width="8.29"/>
    <col customWidth="1" hidden="1" min="99" max="100" width="14.86"/>
    <col customWidth="1" min="101" max="101" width="11.57"/>
    <col customWidth="1" min="102" max="102" width="14.86"/>
    <col customWidth="1" min="103" max="103" width="14.57"/>
    <col customWidth="1" min="104" max="104" width="14.86"/>
    <col customWidth="1" min="105" max="105" width="13.14"/>
    <col customWidth="1" min="106" max="106" width="14.86"/>
    <col customWidth="1" min="107" max="109" width="8.71"/>
    <col customWidth="1" min="110" max="111" width="14.86"/>
    <col customWidth="1" min="112" max="115" width="8.86"/>
    <col customWidth="1" min="116" max="119" width="14.86"/>
    <col customWidth="1" min="120" max="121" width="7.71"/>
    <col customWidth="1" min="122" max="123" width="14.86"/>
    <col customWidth="1" min="124" max="127" width="8.29"/>
    <col customWidth="1" min="128" max="131" width="14.86"/>
    <col customWidth="1" min="132" max="133" width="7.57"/>
    <col customWidth="1" min="134" max="135" width="14.86"/>
    <col customWidth="1" min="136" max="139" width="8.29"/>
    <col customWidth="1" min="140" max="147" width="14.86"/>
    <col customWidth="1" min="148" max="149" width="7.57"/>
    <col customWidth="1" min="150" max="151" width="14.86"/>
    <col customWidth="1" min="152" max="155" width="8.29"/>
    <col customWidth="1" min="156" max="159" width="14.86"/>
    <col customWidth="1" min="160" max="161" width="6.71"/>
    <col customWidth="1" min="162" max="163" width="14.86"/>
    <col customWidth="1" min="164" max="167" width="8.43"/>
    <col customWidth="1" min="168" max="171" width="14.86"/>
    <col customWidth="1" min="172" max="173" width="7.57"/>
    <col customWidth="1" min="174" max="175" width="14.86"/>
    <col customWidth="1" min="176" max="179" width="8.43"/>
    <col customWidth="1" min="180" max="188" width="14.86"/>
  </cols>
  <sheetData>
    <row r="1" hidden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4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hidden="1">
      <c r="A2" s="1" t="s">
        <v>2</v>
      </c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</row>
    <row r="3" hidden="1">
      <c r="A3" s="1" t="s">
        <v>3</v>
      </c>
      <c r="B3" s="2"/>
      <c r="C3" s="2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4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ht="5.25" customHeight="1">
      <c r="A4" s="1"/>
      <c r="B4" s="2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4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</row>
    <row r="5" ht="15.0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7" t="s">
        <v>10</v>
      </c>
      <c r="H5" s="8"/>
      <c r="I5" s="9" t="s">
        <v>11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 t="s">
        <v>12</v>
      </c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2"/>
      <c r="DD5" s="13" t="s">
        <v>13</v>
      </c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1" t="s">
        <v>14</v>
      </c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4"/>
      <c r="GF5" s="15"/>
    </row>
    <row r="6" ht="15.0" customHeight="1">
      <c r="A6" s="16"/>
      <c r="B6" s="16"/>
      <c r="C6" s="16"/>
      <c r="D6" s="16"/>
      <c r="E6" s="16"/>
      <c r="F6" s="16"/>
      <c r="G6" s="17"/>
      <c r="H6" s="18"/>
      <c r="I6" s="19" t="s">
        <v>15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4"/>
      <c r="AF6" s="19" t="s">
        <v>16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4"/>
      <c r="AR6" s="20"/>
      <c r="AS6" s="19" t="s">
        <v>17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4"/>
      <c r="BE6" s="21" t="s">
        <v>18</v>
      </c>
      <c r="BF6" s="21" t="s">
        <v>19</v>
      </c>
      <c r="BG6" s="22" t="s">
        <v>20</v>
      </c>
      <c r="BI6" s="23" t="s">
        <v>21</v>
      </c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4"/>
      <c r="CA6" s="23" t="s">
        <v>22</v>
      </c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4"/>
      <c r="CM6" s="23" t="s">
        <v>23</v>
      </c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4"/>
      <c r="CY6" s="24" t="s">
        <v>24</v>
      </c>
      <c r="CZ6" s="24" t="s">
        <v>25</v>
      </c>
      <c r="DA6" s="25" t="s">
        <v>26</v>
      </c>
      <c r="DC6" s="4"/>
      <c r="DD6" s="19" t="s">
        <v>27</v>
      </c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4"/>
      <c r="DP6" s="19" t="s">
        <v>28</v>
      </c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4"/>
      <c r="EB6" s="19" t="s">
        <v>29</v>
      </c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4"/>
      <c r="EN6" s="21" t="s">
        <v>30</v>
      </c>
      <c r="EO6" s="21" t="s">
        <v>31</v>
      </c>
      <c r="EP6" s="22" t="s">
        <v>32</v>
      </c>
      <c r="ER6" s="19" t="s">
        <v>33</v>
      </c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4"/>
      <c r="FD6" s="19" t="s">
        <v>34</v>
      </c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4"/>
      <c r="FP6" s="19" t="s">
        <v>35</v>
      </c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4"/>
      <c r="GB6" s="26" t="s">
        <v>36</v>
      </c>
      <c r="GC6" s="26" t="s">
        <v>37</v>
      </c>
      <c r="GD6" s="27" t="s">
        <v>38</v>
      </c>
      <c r="GE6" s="18"/>
      <c r="GF6" s="28"/>
    </row>
    <row r="7" ht="15.0" customHeight="1">
      <c r="A7" s="16"/>
      <c r="B7" s="16"/>
      <c r="C7" s="16"/>
      <c r="D7" s="16"/>
      <c r="E7" s="16"/>
      <c r="F7" s="16"/>
      <c r="G7" s="29"/>
      <c r="H7" s="30"/>
      <c r="I7" s="31" t="s">
        <v>39</v>
      </c>
      <c r="J7" s="10"/>
      <c r="K7" s="10"/>
      <c r="L7" s="14"/>
      <c r="M7" s="31" t="s">
        <v>40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4"/>
      <c r="AD7" s="32" t="s">
        <v>41</v>
      </c>
      <c r="AE7" s="14"/>
      <c r="AF7" s="31" t="s">
        <v>39</v>
      </c>
      <c r="AG7" s="10"/>
      <c r="AH7" s="10"/>
      <c r="AI7" s="14"/>
      <c r="AJ7" s="31" t="s">
        <v>40</v>
      </c>
      <c r="AK7" s="10"/>
      <c r="AL7" s="10"/>
      <c r="AM7" s="10"/>
      <c r="AN7" s="10"/>
      <c r="AO7" s="14"/>
      <c r="AP7" s="32" t="s">
        <v>42</v>
      </c>
      <c r="AQ7" s="14"/>
      <c r="AR7" s="33"/>
      <c r="AS7" s="31" t="s">
        <v>39</v>
      </c>
      <c r="AT7" s="10"/>
      <c r="AU7" s="10"/>
      <c r="AV7" s="14"/>
      <c r="AW7" s="31" t="s">
        <v>40</v>
      </c>
      <c r="AX7" s="10"/>
      <c r="AY7" s="10"/>
      <c r="AZ7" s="10"/>
      <c r="BA7" s="10"/>
      <c r="BB7" s="14"/>
      <c r="BC7" s="32" t="s">
        <v>43</v>
      </c>
      <c r="BD7" s="14"/>
      <c r="BE7" s="18"/>
      <c r="BF7" s="18"/>
      <c r="BI7" s="31" t="s">
        <v>39</v>
      </c>
      <c r="BJ7" s="10"/>
      <c r="BK7" s="10"/>
      <c r="BL7" s="14"/>
      <c r="BM7" s="31" t="s">
        <v>40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4"/>
      <c r="BY7" s="34" t="s">
        <v>44</v>
      </c>
      <c r="BZ7" s="14"/>
      <c r="CA7" s="31" t="s">
        <v>39</v>
      </c>
      <c r="CB7" s="10"/>
      <c r="CC7" s="10"/>
      <c r="CD7" s="14"/>
      <c r="CE7" s="31" t="s">
        <v>40</v>
      </c>
      <c r="CF7" s="10"/>
      <c r="CG7" s="10"/>
      <c r="CH7" s="10"/>
      <c r="CI7" s="10"/>
      <c r="CJ7" s="14"/>
      <c r="CK7" s="34" t="s">
        <v>45</v>
      </c>
      <c r="CL7" s="14"/>
      <c r="CM7" s="31" t="s">
        <v>39</v>
      </c>
      <c r="CN7" s="10"/>
      <c r="CO7" s="10"/>
      <c r="CP7" s="14"/>
      <c r="CQ7" s="31" t="s">
        <v>40</v>
      </c>
      <c r="CR7" s="10"/>
      <c r="CS7" s="10"/>
      <c r="CT7" s="10"/>
      <c r="CU7" s="10"/>
      <c r="CV7" s="14"/>
      <c r="CW7" s="34" t="s">
        <v>46</v>
      </c>
      <c r="CX7" s="14"/>
      <c r="CY7" s="18"/>
      <c r="CZ7" s="18"/>
      <c r="DC7" s="35"/>
      <c r="DD7" s="31" t="s">
        <v>39</v>
      </c>
      <c r="DE7" s="10"/>
      <c r="DF7" s="10"/>
      <c r="DG7" s="14"/>
      <c r="DH7" s="31" t="s">
        <v>40</v>
      </c>
      <c r="DI7" s="10"/>
      <c r="DJ7" s="10"/>
      <c r="DK7" s="10"/>
      <c r="DL7" s="10"/>
      <c r="DM7" s="14"/>
      <c r="DN7" s="32" t="s">
        <v>47</v>
      </c>
      <c r="DO7" s="14"/>
      <c r="DP7" s="31" t="s">
        <v>39</v>
      </c>
      <c r="DQ7" s="10"/>
      <c r="DR7" s="10"/>
      <c r="DS7" s="14"/>
      <c r="DT7" s="31" t="s">
        <v>40</v>
      </c>
      <c r="DU7" s="10"/>
      <c r="DV7" s="10"/>
      <c r="DW7" s="10"/>
      <c r="DX7" s="10"/>
      <c r="DY7" s="14"/>
      <c r="DZ7" s="32" t="s">
        <v>48</v>
      </c>
      <c r="EA7" s="14"/>
      <c r="EB7" s="31" t="s">
        <v>39</v>
      </c>
      <c r="EC7" s="10"/>
      <c r="ED7" s="10"/>
      <c r="EE7" s="14"/>
      <c r="EF7" s="31" t="s">
        <v>40</v>
      </c>
      <c r="EG7" s="10"/>
      <c r="EH7" s="10"/>
      <c r="EI7" s="10"/>
      <c r="EJ7" s="10"/>
      <c r="EK7" s="14"/>
      <c r="EL7" s="32" t="s">
        <v>49</v>
      </c>
      <c r="EM7" s="14"/>
      <c r="EN7" s="18"/>
      <c r="EO7" s="18"/>
      <c r="ER7" s="31" t="s">
        <v>39</v>
      </c>
      <c r="ES7" s="10"/>
      <c r="ET7" s="10"/>
      <c r="EU7" s="14"/>
      <c r="EV7" s="31" t="s">
        <v>40</v>
      </c>
      <c r="EW7" s="10"/>
      <c r="EX7" s="10"/>
      <c r="EY7" s="10"/>
      <c r="EZ7" s="10"/>
      <c r="FA7" s="14"/>
      <c r="FB7" s="32" t="s">
        <v>50</v>
      </c>
      <c r="FC7" s="14"/>
      <c r="FD7" s="31" t="s">
        <v>39</v>
      </c>
      <c r="FE7" s="10"/>
      <c r="FF7" s="10"/>
      <c r="FG7" s="14"/>
      <c r="FH7" s="31" t="s">
        <v>40</v>
      </c>
      <c r="FI7" s="10"/>
      <c r="FJ7" s="10"/>
      <c r="FK7" s="10"/>
      <c r="FL7" s="10"/>
      <c r="FM7" s="14"/>
      <c r="FN7" s="32" t="s">
        <v>51</v>
      </c>
      <c r="FO7" s="14"/>
      <c r="FP7" s="31" t="s">
        <v>39</v>
      </c>
      <c r="FQ7" s="10"/>
      <c r="FR7" s="10"/>
      <c r="FS7" s="14"/>
      <c r="FT7" s="31" t="s">
        <v>40</v>
      </c>
      <c r="FU7" s="10"/>
      <c r="FV7" s="10"/>
      <c r="FW7" s="10"/>
      <c r="FX7" s="10"/>
      <c r="FY7" s="14"/>
      <c r="FZ7" s="32" t="s">
        <v>52</v>
      </c>
      <c r="GA7" s="14"/>
      <c r="GB7" s="16"/>
      <c r="GC7" s="16"/>
      <c r="GD7" s="17"/>
      <c r="GE7" s="18"/>
      <c r="GF7" s="28"/>
    </row>
    <row r="8" ht="15.0" customHeight="1">
      <c r="A8" s="16"/>
      <c r="B8" s="16"/>
      <c r="C8" s="16"/>
      <c r="D8" s="16"/>
      <c r="E8" s="16"/>
      <c r="F8" s="16"/>
      <c r="G8" s="36" t="s">
        <v>53</v>
      </c>
      <c r="H8" s="37" t="s">
        <v>54</v>
      </c>
      <c r="I8" s="38" t="s">
        <v>55</v>
      </c>
      <c r="J8" s="38" t="s">
        <v>55</v>
      </c>
      <c r="K8" s="39" t="s">
        <v>56</v>
      </c>
      <c r="L8" s="39" t="s">
        <v>54</v>
      </c>
      <c r="M8" s="38" t="s">
        <v>55</v>
      </c>
      <c r="N8" s="38" t="s">
        <v>55</v>
      </c>
      <c r="O8" s="38" t="s">
        <v>55</v>
      </c>
      <c r="P8" s="38" t="s">
        <v>55</v>
      </c>
      <c r="Q8" s="38" t="s">
        <v>55</v>
      </c>
      <c r="R8" s="38" t="s">
        <v>55</v>
      </c>
      <c r="S8" s="38" t="s">
        <v>55</v>
      </c>
      <c r="T8" s="38" t="s">
        <v>55</v>
      </c>
      <c r="U8" s="38" t="s">
        <v>55</v>
      </c>
      <c r="V8" s="38" t="s">
        <v>55</v>
      </c>
      <c r="W8" s="38" t="s">
        <v>55</v>
      </c>
      <c r="X8" s="38" t="s">
        <v>55</v>
      </c>
      <c r="Y8" s="38" t="s">
        <v>55</v>
      </c>
      <c r="Z8" s="38" t="s">
        <v>55</v>
      </c>
      <c r="AA8" s="38" t="s">
        <v>55</v>
      </c>
      <c r="AB8" s="39" t="s">
        <v>57</v>
      </c>
      <c r="AC8" s="39" t="s">
        <v>54</v>
      </c>
      <c r="AD8" s="40" t="s">
        <v>58</v>
      </c>
      <c r="AE8" s="40" t="s">
        <v>54</v>
      </c>
      <c r="AF8" s="38" t="s">
        <v>55</v>
      </c>
      <c r="AG8" s="38" t="s">
        <v>55</v>
      </c>
      <c r="AH8" s="39" t="s">
        <v>56</v>
      </c>
      <c r="AI8" s="39" t="s">
        <v>54</v>
      </c>
      <c r="AJ8" s="38" t="s">
        <v>55</v>
      </c>
      <c r="AK8" s="38" t="s">
        <v>55</v>
      </c>
      <c r="AL8" s="38" t="s">
        <v>55</v>
      </c>
      <c r="AM8" s="38" t="s">
        <v>55</v>
      </c>
      <c r="AN8" s="39" t="s">
        <v>57</v>
      </c>
      <c r="AO8" s="39" t="s">
        <v>54</v>
      </c>
      <c r="AP8" s="40" t="s">
        <v>58</v>
      </c>
      <c r="AQ8" s="40" t="s">
        <v>54</v>
      </c>
      <c r="AR8" s="38"/>
      <c r="AS8" s="38" t="s">
        <v>55</v>
      </c>
      <c r="AT8" s="38" t="s">
        <v>55</v>
      </c>
      <c r="AU8" s="39" t="s">
        <v>56</v>
      </c>
      <c r="AV8" s="39" t="s">
        <v>54</v>
      </c>
      <c r="AW8" s="38" t="s">
        <v>55</v>
      </c>
      <c r="AX8" s="38" t="s">
        <v>55</v>
      </c>
      <c r="AY8" s="38" t="s">
        <v>55</v>
      </c>
      <c r="AZ8" s="38" t="s">
        <v>55</v>
      </c>
      <c r="BA8" s="39" t="s">
        <v>57</v>
      </c>
      <c r="BB8" s="39" t="s">
        <v>54</v>
      </c>
      <c r="BC8" s="40" t="s">
        <v>58</v>
      </c>
      <c r="BD8" s="40" t="s">
        <v>54</v>
      </c>
      <c r="BE8" s="18"/>
      <c r="BF8" s="18"/>
      <c r="BG8" s="41" t="s">
        <v>58</v>
      </c>
      <c r="BH8" s="41" t="s">
        <v>54</v>
      </c>
      <c r="BI8" s="38" t="s">
        <v>55</v>
      </c>
      <c r="BJ8" s="38" t="s">
        <v>55</v>
      </c>
      <c r="BK8" s="39" t="s">
        <v>56</v>
      </c>
      <c r="BL8" s="39" t="s">
        <v>54</v>
      </c>
      <c r="BM8" s="38" t="s">
        <v>55</v>
      </c>
      <c r="BN8" s="38" t="s">
        <v>55</v>
      </c>
      <c r="BO8" s="38" t="s">
        <v>55</v>
      </c>
      <c r="BP8" s="38" t="s">
        <v>55</v>
      </c>
      <c r="BQ8" s="38" t="s">
        <v>55</v>
      </c>
      <c r="BR8" s="38" t="s">
        <v>55</v>
      </c>
      <c r="BS8" s="38" t="s">
        <v>55</v>
      </c>
      <c r="BT8" s="38" t="s">
        <v>55</v>
      </c>
      <c r="BU8" s="38"/>
      <c r="BV8" s="38" t="s">
        <v>55</v>
      </c>
      <c r="BW8" s="39" t="s">
        <v>57</v>
      </c>
      <c r="BX8" s="39" t="s">
        <v>54</v>
      </c>
      <c r="BY8" s="42" t="s">
        <v>58</v>
      </c>
      <c r="BZ8" s="42" t="s">
        <v>54</v>
      </c>
      <c r="CA8" s="38" t="s">
        <v>55</v>
      </c>
      <c r="CB8" s="38" t="s">
        <v>55</v>
      </c>
      <c r="CC8" s="39" t="s">
        <v>56</v>
      </c>
      <c r="CD8" s="39" t="s">
        <v>54</v>
      </c>
      <c r="CE8" s="38" t="s">
        <v>55</v>
      </c>
      <c r="CF8" s="38" t="s">
        <v>55</v>
      </c>
      <c r="CG8" s="38" t="s">
        <v>55</v>
      </c>
      <c r="CH8" s="38" t="s">
        <v>55</v>
      </c>
      <c r="CI8" s="39" t="s">
        <v>57</v>
      </c>
      <c r="CJ8" s="39" t="s">
        <v>54</v>
      </c>
      <c r="CK8" s="42" t="s">
        <v>58</v>
      </c>
      <c r="CL8" s="42" t="s">
        <v>54</v>
      </c>
      <c r="CM8" s="38" t="s">
        <v>55</v>
      </c>
      <c r="CN8" s="38" t="s">
        <v>55</v>
      </c>
      <c r="CO8" s="39" t="s">
        <v>56</v>
      </c>
      <c r="CP8" s="39" t="s">
        <v>54</v>
      </c>
      <c r="CQ8" s="38" t="s">
        <v>55</v>
      </c>
      <c r="CR8" s="38" t="s">
        <v>55</v>
      </c>
      <c r="CS8" s="38" t="s">
        <v>55</v>
      </c>
      <c r="CT8" s="38" t="s">
        <v>55</v>
      </c>
      <c r="CU8" s="39" t="s">
        <v>57</v>
      </c>
      <c r="CV8" s="39" t="s">
        <v>54</v>
      </c>
      <c r="CW8" s="42" t="s">
        <v>58</v>
      </c>
      <c r="CX8" s="42" t="s">
        <v>54</v>
      </c>
      <c r="CY8" s="18"/>
      <c r="CZ8" s="18"/>
      <c r="DA8" s="43" t="s">
        <v>58</v>
      </c>
      <c r="DB8" s="43" t="s">
        <v>54</v>
      </c>
      <c r="DC8" s="44"/>
      <c r="DD8" s="38" t="s">
        <v>55</v>
      </c>
      <c r="DE8" s="38" t="s">
        <v>55</v>
      </c>
      <c r="DF8" s="39" t="s">
        <v>56</v>
      </c>
      <c r="DG8" s="39" t="s">
        <v>54</v>
      </c>
      <c r="DH8" s="38" t="s">
        <v>55</v>
      </c>
      <c r="DI8" s="38" t="s">
        <v>55</v>
      </c>
      <c r="DJ8" s="38" t="s">
        <v>55</v>
      </c>
      <c r="DK8" s="38" t="s">
        <v>55</v>
      </c>
      <c r="DL8" s="39" t="s">
        <v>57</v>
      </c>
      <c r="DM8" s="39" t="s">
        <v>54</v>
      </c>
      <c r="DN8" s="40" t="s">
        <v>58</v>
      </c>
      <c r="DO8" s="40" t="s">
        <v>54</v>
      </c>
      <c r="DP8" s="38" t="s">
        <v>55</v>
      </c>
      <c r="DQ8" s="38" t="s">
        <v>55</v>
      </c>
      <c r="DR8" s="39" t="s">
        <v>56</v>
      </c>
      <c r="DS8" s="39" t="s">
        <v>54</v>
      </c>
      <c r="DT8" s="38" t="s">
        <v>55</v>
      </c>
      <c r="DU8" s="38" t="s">
        <v>55</v>
      </c>
      <c r="DV8" s="38" t="s">
        <v>55</v>
      </c>
      <c r="DW8" s="38" t="s">
        <v>55</v>
      </c>
      <c r="DX8" s="39" t="s">
        <v>57</v>
      </c>
      <c r="DY8" s="39" t="s">
        <v>54</v>
      </c>
      <c r="DZ8" s="40" t="s">
        <v>58</v>
      </c>
      <c r="EA8" s="40" t="s">
        <v>54</v>
      </c>
      <c r="EB8" s="38" t="s">
        <v>55</v>
      </c>
      <c r="EC8" s="38" t="s">
        <v>55</v>
      </c>
      <c r="ED8" s="39" t="s">
        <v>56</v>
      </c>
      <c r="EE8" s="39" t="s">
        <v>54</v>
      </c>
      <c r="EF8" s="38" t="s">
        <v>55</v>
      </c>
      <c r="EG8" s="38" t="s">
        <v>55</v>
      </c>
      <c r="EH8" s="38" t="s">
        <v>55</v>
      </c>
      <c r="EI8" s="38" t="s">
        <v>55</v>
      </c>
      <c r="EJ8" s="39" t="s">
        <v>57</v>
      </c>
      <c r="EK8" s="39" t="s">
        <v>54</v>
      </c>
      <c r="EL8" s="40" t="s">
        <v>58</v>
      </c>
      <c r="EM8" s="40" t="s">
        <v>54</v>
      </c>
      <c r="EN8" s="18"/>
      <c r="EO8" s="18"/>
      <c r="EP8" s="41" t="s">
        <v>58</v>
      </c>
      <c r="EQ8" s="41" t="s">
        <v>54</v>
      </c>
      <c r="ER8" s="38" t="s">
        <v>55</v>
      </c>
      <c r="ES8" s="38" t="s">
        <v>55</v>
      </c>
      <c r="ET8" s="39" t="s">
        <v>56</v>
      </c>
      <c r="EU8" s="39" t="s">
        <v>54</v>
      </c>
      <c r="EV8" s="38" t="s">
        <v>55</v>
      </c>
      <c r="EW8" s="38" t="s">
        <v>55</v>
      </c>
      <c r="EX8" s="38" t="s">
        <v>55</v>
      </c>
      <c r="EY8" s="38" t="s">
        <v>55</v>
      </c>
      <c r="EZ8" s="39" t="s">
        <v>57</v>
      </c>
      <c r="FA8" s="39" t="s">
        <v>54</v>
      </c>
      <c r="FB8" s="40" t="s">
        <v>58</v>
      </c>
      <c r="FC8" s="40" t="s">
        <v>54</v>
      </c>
      <c r="FD8" s="38" t="s">
        <v>55</v>
      </c>
      <c r="FE8" s="38" t="s">
        <v>55</v>
      </c>
      <c r="FF8" s="39" t="s">
        <v>56</v>
      </c>
      <c r="FG8" s="39" t="s">
        <v>54</v>
      </c>
      <c r="FH8" s="38" t="s">
        <v>55</v>
      </c>
      <c r="FI8" s="38" t="s">
        <v>55</v>
      </c>
      <c r="FJ8" s="38" t="s">
        <v>55</v>
      </c>
      <c r="FK8" s="38" t="s">
        <v>55</v>
      </c>
      <c r="FL8" s="39" t="s">
        <v>57</v>
      </c>
      <c r="FM8" s="39" t="s">
        <v>54</v>
      </c>
      <c r="FN8" s="40" t="s">
        <v>58</v>
      </c>
      <c r="FO8" s="40" t="s">
        <v>54</v>
      </c>
      <c r="FP8" s="38" t="s">
        <v>55</v>
      </c>
      <c r="FQ8" s="38" t="s">
        <v>55</v>
      </c>
      <c r="FR8" s="39" t="s">
        <v>56</v>
      </c>
      <c r="FS8" s="39" t="s">
        <v>54</v>
      </c>
      <c r="FT8" s="38" t="s">
        <v>55</v>
      </c>
      <c r="FU8" s="38" t="s">
        <v>55</v>
      </c>
      <c r="FV8" s="38" t="s">
        <v>55</v>
      </c>
      <c r="FW8" s="38" t="s">
        <v>55</v>
      </c>
      <c r="FX8" s="39" t="s">
        <v>57</v>
      </c>
      <c r="FY8" s="39" t="s">
        <v>54</v>
      </c>
      <c r="FZ8" s="40" t="s">
        <v>58</v>
      </c>
      <c r="GA8" s="40" t="s">
        <v>54</v>
      </c>
      <c r="GB8" s="16"/>
      <c r="GC8" s="16"/>
      <c r="GD8" s="43" t="s">
        <v>58</v>
      </c>
      <c r="GE8" s="43" t="s">
        <v>54</v>
      </c>
      <c r="GF8" s="45"/>
    </row>
    <row r="9" ht="15.0" customHeight="1">
      <c r="A9" s="16"/>
      <c r="B9" s="16"/>
      <c r="C9" s="16"/>
      <c r="D9" s="16"/>
      <c r="E9" s="16"/>
      <c r="F9" s="16"/>
      <c r="G9" s="16"/>
      <c r="H9" s="16"/>
      <c r="I9" s="46"/>
      <c r="J9" s="47"/>
      <c r="K9" s="16"/>
      <c r="L9" s="16"/>
      <c r="M9" s="47"/>
      <c r="N9" s="47"/>
      <c r="O9" s="48"/>
      <c r="P9" s="48"/>
      <c r="Q9" s="47"/>
      <c r="R9" s="47"/>
      <c r="S9" s="48"/>
      <c r="T9" s="48"/>
      <c r="U9" s="47"/>
      <c r="V9" s="47"/>
      <c r="W9" s="48"/>
      <c r="X9" s="48"/>
      <c r="Y9" s="48"/>
      <c r="Z9" s="48"/>
      <c r="AA9" s="48"/>
      <c r="AB9" s="16"/>
      <c r="AC9" s="16"/>
      <c r="AD9" s="16"/>
      <c r="AE9" s="16"/>
      <c r="AF9" s="46"/>
      <c r="AG9" s="47"/>
      <c r="AH9" s="16"/>
      <c r="AI9" s="16"/>
      <c r="AJ9" s="47"/>
      <c r="AK9" s="47"/>
      <c r="AL9" s="48"/>
      <c r="AM9" s="48"/>
      <c r="AN9" s="16"/>
      <c r="AO9" s="16"/>
      <c r="AP9" s="16"/>
      <c r="AQ9" s="16"/>
      <c r="AR9" s="46"/>
      <c r="AS9" s="46"/>
      <c r="AT9" s="47"/>
      <c r="AU9" s="16"/>
      <c r="AV9" s="16"/>
      <c r="AW9" s="47"/>
      <c r="AX9" s="47"/>
      <c r="AY9" s="48"/>
      <c r="AZ9" s="48"/>
      <c r="BA9" s="16"/>
      <c r="BB9" s="16"/>
      <c r="BC9" s="16"/>
      <c r="BD9" s="16"/>
      <c r="BE9" s="18"/>
      <c r="BF9" s="18"/>
      <c r="BG9" s="16"/>
      <c r="BH9" s="16"/>
      <c r="BI9" s="46"/>
      <c r="BJ9" s="47"/>
      <c r="BK9" s="16"/>
      <c r="BL9" s="16"/>
      <c r="BM9" s="47"/>
      <c r="BN9" s="47"/>
      <c r="BO9" s="48"/>
      <c r="BP9" s="48"/>
      <c r="BQ9" s="48"/>
      <c r="BR9" s="48"/>
      <c r="BS9" s="48"/>
      <c r="BT9" s="48"/>
      <c r="BU9" s="48"/>
      <c r="BV9" s="48"/>
      <c r="BW9" s="16"/>
      <c r="BX9" s="16"/>
      <c r="BY9" s="16"/>
      <c r="BZ9" s="16"/>
      <c r="CA9" s="46"/>
      <c r="CB9" s="47"/>
      <c r="CC9" s="16"/>
      <c r="CD9" s="16"/>
      <c r="CE9" s="47"/>
      <c r="CF9" s="47"/>
      <c r="CG9" s="48"/>
      <c r="CH9" s="48"/>
      <c r="CI9" s="16"/>
      <c r="CJ9" s="16"/>
      <c r="CK9" s="16"/>
      <c r="CL9" s="16"/>
      <c r="CM9" s="46">
        <v>23.0</v>
      </c>
      <c r="CN9" s="47"/>
      <c r="CO9" s="16"/>
      <c r="CP9" s="16"/>
      <c r="CQ9" s="47"/>
      <c r="CR9" s="47"/>
      <c r="CS9" s="48"/>
      <c r="CT9" s="48"/>
      <c r="CU9" s="16"/>
      <c r="CV9" s="16"/>
      <c r="CW9" s="16"/>
      <c r="CX9" s="16"/>
      <c r="CY9" s="18"/>
      <c r="CZ9" s="18"/>
      <c r="DA9" s="16"/>
      <c r="DB9" s="16"/>
      <c r="DC9" s="49"/>
      <c r="DD9" s="46"/>
      <c r="DE9" s="47"/>
      <c r="DF9" s="16"/>
      <c r="DG9" s="16"/>
      <c r="DH9" s="47"/>
      <c r="DI9" s="47"/>
      <c r="DJ9" s="48"/>
      <c r="DK9" s="48"/>
      <c r="DL9" s="16"/>
      <c r="DM9" s="16"/>
      <c r="DN9" s="16"/>
      <c r="DO9" s="16"/>
      <c r="DP9" s="46"/>
      <c r="DQ9" s="47"/>
      <c r="DR9" s="16"/>
      <c r="DS9" s="16"/>
      <c r="DT9" s="47"/>
      <c r="DU9" s="47"/>
      <c r="DV9" s="48"/>
      <c r="DW9" s="48"/>
      <c r="DX9" s="16"/>
      <c r="DY9" s="16"/>
      <c r="DZ9" s="16"/>
      <c r="EA9" s="16"/>
      <c r="EB9" s="46"/>
      <c r="EC9" s="47"/>
      <c r="ED9" s="16"/>
      <c r="EE9" s="16"/>
      <c r="EF9" s="47"/>
      <c r="EG9" s="47"/>
      <c r="EH9" s="48"/>
      <c r="EI9" s="48"/>
      <c r="EJ9" s="16"/>
      <c r="EK9" s="16"/>
      <c r="EL9" s="16"/>
      <c r="EM9" s="16"/>
      <c r="EN9" s="18"/>
      <c r="EO9" s="18"/>
      <c r="EP9" s="16"/>
      <c r="EQ9" s="16"/>
      <c r="ER9" s="46"/>
      <c r="ES9" s="47"/>
      <c r="ET9" s="16"/>
      <c r="EU9" s="16"/>
      <c r="EV9" s="47"/>
      <c r="EW9" s="47"/>
      <c r="EX9" s="48"/>
      <c r="EY9" s="48"/>
      <c r="EZ9" s="16"/>
      <c r="FA9" s="16"/>
      <c r="FB9" s="16"/>
      <c r="FC9" s="16"/>
      <c r="FD9" s="46"/>
      <c r="FE9" s="47"/>
      <c r="FF9" s="16"/>
      <c r="FG9" s="16"/>
      <c r="FH9" s="47"/>
      <c r="FI9" s="47"/>
      <c r="FJ9" s="48"/>
      <c r="FK9" s="48"/>
      <c r="FL9" s="16"/>
      <c r="FM9" s="16"/>
      <c r="FN9" s="16"/>
      <c r="FO9" s="16"/>
      <c r="FP9" s="46"/>
      <c r="FQ9" s="47"/>
      <c r="FR9" s="16"/>
      <c r="FS9" s="16"/>
      <c r="FT9" s="47"/>
      <c r="FU9" s="47"/>
      <c r="FV9" s="48"/>
      <c r="FW9" s="48"/>
      <c r="FX9" s="16"/>
      <c r="FY9" s="16"/>
      <c r="FZ9" s="16"/>
      <c r="GA9" s="16"/>
      <c r="GB9" s="16"/>
      <c r="GC9" s="16"/>
      <c r="GD9" s="16"/>
      <c r="GE9" s="16"/>
      <c r="GF9" s="45"/>
    </row>
    <row r="10" ht="15.0" customHeight="1">
      <c r="A10" s="16"/>
      <c r="B10" s="16"/>
      <c r="C10" s="16"/>
      <c r="D10" s="16"/>
      <c r="E10" s="16"/>
      <c r="F10" s="16"/>
      <c r="G10" s="16"/>
      <c r="H10" s="16"/>
      <c r="I10" s="38" t="s">
        <v>59</v>
      </c>
      <c r="J10" s="38" t="s">
        <v>59</v>
      </c>
      <c r="K10" s="16"/>
      <c r="L10" s="16"/>
      <c r="M10" s="38" t="s">
        <v>60</v>
      </c>
      <c r="N10" s="38" t="s">
        <v>60</v>
      </c>
      <c r="O10" s="38" t="s">
        <v>60</v>
      </c>
      <c r="P10" s="38" t="s">
        <v>60</v>
      </c>
      <c r="Q10" s="38" t="s">
        <v>60</v>
      </c>
      <c r="R10" s="38" t="s">
        <v>60</v>
      </c>
      <c r="S10" s="38" t="s">
        <v>60</v>
      </c>
      <c r="T10" s="38" t="s">
        <v>60</v>
      </c>
      <c r="U10" s="38" t="s">
        <v>60</v>
      </c>
      <c r="V10" s="38" t="s">
        <v>60</v>
      </c>
      <c r="W10" s="38" t="s">
        <v>60</v>
      </c>
      <c r="X10" s="38" t="s">
        <v>60</v>
      </c>
      <c r="Y10" s="38" t="s">
        <v>60</v>
      </c>
      <c r="Z10" s="38" t="s">
        <v>60</v>
      </c>
      <c r="AA10" s="38" t="s">
        <v>60</v>
      </c>
      <c r="AB10" s="16"/>
      <c r="AC10" s="16"/>
      <c r="AD10" s="16"/>
      <c r="AE10" s="16"/>
      <c r="AF10" s="38" t="s">
        <v>59</v>
      </c>
      <c r="AG10" s="38" t="s">
        <v>59</v>
      </c>
      <c r="AH10" s="16"/>
      <c r="AI10" s="16"/>
      <c r="AJ10" s="38" t="s">
        <v>60</v>
      </c>
      <c r="AK10" s="38" t="s">
        <v>60</v>
      </c>
      <c r="AL10" s="38" t="s">
        <v>60</v>
      </c>
      <c r="AM10" s="38" t="s">
        <v>60</v>
      </c>
      <c r="AN10" s="16"/>
      <c r="AO10" s="16"/>
      <c r="AP10" s="16"/>
      <c r="AQ10" s="16"/>
      <c r="AR10" s="38"/>
      <c r="AS10" s="38" t="s">
        <v>59</v>
      </c>
      <c r="AT10" s="38" t="s">
        <v>59</v>
      </c>
      <c r="AU10" s="16"/>
      <c r="AV10" s="16"/>
      <c r="AW10" s="38" t="s">
        <v>60</v>
      </c>
      <c r="AX10" s="38" t="s">
        <v>60</v>
      </c>
      <c r="AY10" s="38" t="s">
        <v>60</v>
      </c>
      <c r="AZ10" s="38" t="s">
        <v>60</v>
      </c>
      <c r="BA10" s="16"/>
      <c r="BB10" s="16"/>
      <c r="BC10" s="16"/>
      <c r="BD10" s="16"/>
      <c r="BE10" s="18"/>
      <c r="BF10" s="18"/>
      <c r="BG10" s="16"/>
      <c r="BH10" s="16"/>
      <c r="BI10" s="38" t="s">
        <v>59</v>
      </c>
      <c r="BJ10" s="38" t="s">
        <v>59</v>
      </c>
      <c r="BK10" s="16"/>
      <c r="BL10" s="16"/>
      <c r="BM10" s="38" t="s">
        <v>60</v>
      </c>
      <c r="BN10" s="38" t="s">
        <v>60</v>
      </c>
      <c r="BO10" s="38" t="s">
        <v>60</v>
      </c>
      <c r="BP10" s="38" t="s">
        <v>60</v>
      </c>
      <c r="BQ10" s="38" t="s">
        <v>60</v>
      </c>
      <c r="BR10" s="38" t="s">
        <v>60</v>
      </c>
      <c r="BS10" s="38" t="s">
        <v>60</v>
      </c>
      <c r="BT10" s="38" t="s">
        <v>60</v>
      </c>
      <c r="BU10" s="38"/>
      <c r="BV10" s="38" t="s">
        <v>60</v>
      </c>
      <c r="BW10" s="16"/>
      <c r="BX10" s="16"/>
      <c r="BY10" s="16"/>
      <c r="BZ10" s="16"/>
      <c r="CA10" s="38" t="s">
        <v>59</v>
      </c>
      <c r="CB10" s="38" t="s">
        <v>59</v>
      </c>
      <c r="CC10" s="16"/>
      <c r="CD10" s="16"/>
      <c r="CE10" s="38" t="s">
        <v>60</v>
      </c>
      <c r="CF10" s="38" t="s">
        <v>60</v>
      </c>
      <c r="CG10" s="38" t="s">
        <v>60</v>
      </c>
      <c r="CH10" s="38" t="s">
        <v>60</v>
      </c>
      <c r="CI10" s="16"/>
      <c r="CJ10" s="16"/>
      <c r="CK10" s="16"/>
      <c r="CL10" s="16"/>
      <c r="CM10" s="38" t="s">
        <v>59</v>
      </c>
      <c r="CN10" s="38" t="s">
        <v>59</v>
      </c>
      <c r="CO10" s="16"/>
      <c r="CP10" s="16"/>
      <c r="CQ10" s="38" t="s">
        <v>60</v>
      </c>
      <c r="CR10" s="38" t="s">
        <v>60</v>
      </c>
      <c r="CS10" s="38" t="s">
        <v>60</v>
      </c>
      <c r="CT10" s="38" t="s">
        <v>60</v>
      </c>
      <c r="CU10" s="16"/>
      <c r="CV10" s="16"/>
      <c r="CW10" s="16"/>
      <c r="CX10" s="16"/>
      <c r="CY10" s="18"/>
      <c r="CZ10" s="18"/>
      <c r="DA10" s="16"/>
      <c r="DB10" s="16"/>
      <c r="DC10" s="44"/>
      <c r="DD10" s="38" t="s">
        <v>59</v>
      </c>
      <c r="DE10" s="38" t="s">
        <v>59</v>
      </c>
      <c r="DF10" s="16"/>
      <c r="DG10" s="16"/>
      <c r="DH10" s="38" t="s">
        <v>60</v>
      </c>
      <c r="DI10" s="38" t="s">
        <v>60</v>
      </c>
      <c r="DJ10" s="38" t="s">
        <v>60</v>
      </c>
      <c r="DK10" s="38" t="s">
        <v>60</v>
      </c>
      <c r="DL10" s="16"/>
      <c r="DM10" s="16"/>
      <c r="DN10" s="16"/>
      <c r="DO10" s="16"/>
      <c r="DP10" s="38" t="s">
        <v>59</v>
      </c>
      <c r="DQ10" s="38" t="s">
        <v>59</v>
      </c>
      <c r="DR10" s="16"/>
      <c r="DS10" s="16"/>
      <c r="DT10" s="38" t="s">
        <v>60</v>
      </c>
      <c r="DU10" s="38" t="s">
        <v>60</v>
      </c>
      <c r="DV10" s="38" t="s">
        <v>60</v>
      </c>
      <c r="DW10" s="38" t="s">
        <v>60</v>
      </c>
      <c r="DX10" s="16"/>
      <c r="DY10" s="16"/>
      <c r="DZ10" s="16"/>
      <c r="EA10" s="16"/>
      <c r="EB10" s="38" t="s">
        <v>59</v>
      </c>
      <c r="EC10" s="38" t="s">
        <v>59</v>
      </c>
      <c r="ED10" s="16"/>
      <c r="EE10" s="16"/>
      <c r="EF10" s="38" t="s">
        <v>60</v>
      </c>
      <c r="EG10" s="38" t="s">
        <v>60</v>
      </c>
      <c r="EH10" s="38" t="s">
        <v>60</v>
      </c>
      <c r="EI10" s="38" t="s">
        <v>60</v>
      </c>
      <c r="EJ10" s="16"/>
      <c r="EK10" s="16"/>
      <c r="EL10" s="16"/>
      <c r="EM10" s="16"/>
      <c r="EN10" s="18"/>
      <c r="EO10" s="18"/>
      <c r="EP10" s="16"/>
      <c r="EQ10" s="16"/>
      <c r="ER10" s="38" t="s">
        <v>59</v>
      </c>
      <c r="ES10" s="38" t="s">
        <v>59</v>
      </c>
      <c r="ET10" s="16"/>
      <c r="EU10" s="16"/>
      <c r="EV10" s="38" t="s">
        <v>60</v>
      </c>
      <c r="EW10" s="38" t="s">
        <v>60</v>
      </c>
      <c r="EX10" s="38" t="s">
        <v>60</v>
      </c>
      <c r="EY10" s="38" t="s">
        <v>60</v>
      </c>
      <c r="EZ10" s="16"/>
      <c r="FA10" s="16"/>
      <c r="FB10" s="16"/>
      <c r="FC10" s="16"/>
      <c r="FD10" s="38" t="s">
        <v>59</v>
      </c>
      <c r="FE10" s="38" t="s">
        <v>59</v>
      </c>
      <c r="FF10" s="16"/>
      <c r="FG10" s="16"/>
      <c r="FH10" s="38" t="s">
        <v>60</v>
      </c>
      <c r="FI10" s="38" t="s">
        <v>60</v>
      </c>
      <c r="FJ10" s="38" t="s">
        <v>60</v>
      </c>
      <c r="FK10" s="38" t="s">
        <v>60</v>
      </c>
      <c r="FL10" s="16"/>
      <c r="FM10" s="16"/>
      <c r="FN10" s="16"/>
      <c r="FO10" s="16"/>
      <c r="FP10" s="38" t="s">
        <v>59</v>
      </c>
      <c r="FQ10" s="38" t="s">
        <v>59</v>
      </c>
      <c r="FR10" s="16"/>
      <c r="FS10" s="16"/>
      <c r="FT10" s="38" t="s">
        <v>60</v>
      </c>
      <c r="FU10" s="38" t="s">
        <v>60</v>
      </c>
      <c r="FV10" s="38" t="s">
        <v>60</v>
      </c>
      <c r="FW10" s="38" t="s">
        <v>60</v>
      </c>
      <c r="FX10" s="16"/>
      <c r="FY10" s="16"/>
      <c r="FZ10" s="16"/>
      <c r="GA10" s="16"/>
      <c r="GB10" s="16"/>
      <c r="GC10" s="16"/>
      <c r="GD10" s="16"/>
      <c r="GE10" s="16"/>
      <c r="GF10" s="45"/>
    </row>
    <row r="11" ht="15.0" customHeight="1">
      <c r="A11" s="50"/>
      <c r="B11" s="50"/>
      <c r="C11" s="50"/>
      <c r="D11" s="50"/>
      <c r="E11" s="50"/>
      <c r="F11" s="50"/>
      <c r="G11" s="50"/>
      <c r="H11" s="50"/>
      <c r="I11" s="51"/>
      <c r="J11" s="51"/>
      <c r="K11" s="50"/>
      <c r="L11" s="50"/>
      <c r="M11" s="52" t="s">
        <v>61</v>
      </c>
      <c r="N11" s="52" t="s">
        <v>62</v>
      </c>
      <c r="O11" s="52" t="s">
        <v>63</v>
      </c>
      <c r="P11" s="52" t="s">
        <v>64</v>
      </c>
      <c r="Q11" s="52" t="s">
        <v>65</v>
      </c>
      <c r="R11" s="52" t="s">
        <v>66</v>
      </c>
      <c r="S11" s="52" t="s">
        <v>67</v>
      </c>
      <c r="T11" s="52" t="s">
        <v>68</v>
      </c>
      <c r="U11" s="52" t="s">
        <v>69</v>
      </c>
      <c r="V11" s="52" t="s">
        <v>70</v>
      </c>
      <c r="W11" s="52" t="s">
        <v>71</v>
      </c>
      <c r="X11" s="52" t="s">
        <v>72</v>
      </c>
      <c r="Y11" s="52" t="s">
        <v>73</v>
      </c>
      <c r="Z11" s="52" t="s">
        <v>74</v>
      </c>
      <c r="AA11" s="53"/>
      <c r="AB11" s="50"/>
      <c r="AC11" s="50"/>
      <c r="AD11" s="50"/>
      <c r="AE11" s="50"/>
      <c r="AF11" s="51"/>
      <c r="AG11" s="51"/>
      <c r="AH11" s="50"/>
      <c r="AI11" s="50"/>
      <c r="AJ11" s="52" t="s">
        <v>75</v>
      </c>
      <c r="AK11" s="52" t="s">
        <v>69</v>
      </c>
      <c r="AL11" s="54"/>
      <c r="AM11" s="54"/>
      <c r="AN11" s="50"/>
      <c r="AO11" s="50"/>
      <c r="AP11" s="50"/>
      <c r="AQ11" s="50"/>
      <c r="AR11" s="51"/>
      <c r="AS11" s="51"/>
      <c r="AT11" s="51"/>
      <c r="AU11" s="50"/>
      <c r="AV11" s="50"/>
      <c r="AW11" s="54"/>
      <c r="AX11" s="53"/>
      <c r="AY11" s="54"/>
      <c r="AZ11" s="54"/>
      <c r="BA11" s="50"/>
      <c r="BB11" s="50"/>
      <c r="BC11" s="50"/>
      <c r="BD11" s="50"/>
      <c r="BE11" s="30"/>
      <c r="BF11" s="30"/>
      <c r="BG11" s="50"/>
      <c r="BH11" s="50"/>
      <c r="BI11" s="51"/>
      <c r="BJ11" s="51"/>
      <c r="BK11" s="50"/>
      <c r="BL11" s="50"/>
      <c r="BM11" s="52" t="s">
        <v>68</v>
      </c>
      <c r="BN11" s="52" t="s">
        <v>64</v>
      </c>
      <c r="BO11" s="52" t="s">
        <v>61</v>
      </c>
      <c r="BP11" s="52" t="s">
        <v>76</v>
      </c>
      <c r="BQ11" s="52" t="s">
        <v>73</v>
      </c>
      <c r="BR11" s="52" t="s">
        <v>72</v>
      </c>
      <c r="BS11" s="52" t="s">
        <v>77</v>
      </c>
      <c r="BT11" s="52" t="s">
        <v>75</v>
      </c>
      <c r="BU11" s="52" t="s">
        <v>78</v>
      </c>
      <c r="BV11" s="52" t="s">
        <v>74</v>
      </c>
      <c r="BW11" s="50"/>
      <c r="BX11" s="50"/>
      <c r="BY11" s="50"/>
      <c r="BZ11" s="50"/>
      <c r="CA11" s="51"/>
      <c r="CB11" s="51"/>
      <c r="CC11" s="50"/>
      <c r="CD11" s="50"/>
      <c r="CE11" s="52" t="s">
        <v>79</v>
      </c>
      <c r="CF11" s="52" t="s">
        <v>75</v>
      </c>
      <c r="CG11" s="54"/>
      <c r="CH11" s="54"/>
      <c r="CI11" s="50"/>
      <c r="CJ11" s="50"/>
      <c r="CK11" s="50"/>
      <c r="CL11" s="50"/>
      <c r="CM11" s="51"/>
      <c r="CN11" s="51"/>
      <c r="CO11" s="50"/>
      <c r="CP11" s="50"/>
      <c r="CQ11" s="52" t="s">
        <v>80</v>
      </c>
      <c r="CR11" s="52" t="s">
        <v>75</v>
      </c>
      <c r="CS11" s="53"/>
      <c r="CT11" s="53"/>
      <c r="CU11" s="50"/>
      <c r="CV11" s="50"/>
      <c r="CW11" s="50"/>
      <c r="CX11" s="50"/>
      <c r="CY11" s="30"/>
      <c r="CZ11" s="30"/>
      <c r="DA11" s="50"/>
      <c r="DB11" s="50"/>
      <c r="DC11" s="55"/>
      <c r="DD11" s="56">
        <v>2.0</v>
      </c>
      <c r="DE11" s="51"/>
      <c r="DF11" s="50"/>
      <c r="DG11" s="50"/>
      <c r="DH11" s="54"/>
      <c r="DI11" s="53"/>
      <c r="DJ11" s="54"/>
      <c r="DK11" s="54"/>
      <c r="DL11" s="50"/>
      <c r="DM11" s="50"/>
      <c r="DN11" s="50"/>
      <c r="DO11" s="50"/>
      <c r="DP11" s="51"/>
      <c r="DQ11" s="51"/>
      <c r="DR11" s="50"/>
      <c r="DS11" s="50"/>
      <c r="DT11" s="54"/>
      <c r="DU11" s="53"/>
      <c r="DV11" s="54"/>
      <c r="DW11" s="54"/>
      <c r="DX11" s="50"/>
      <c r="DY11" s="50"/>
      <c r="DZ11" s="50"/>
      <c r="EA11" s="50"/>
      <c r="EB11" s="51"/>
      <c r="EC11" s="51"/>
      <c r="ED11" s="50"/>
      <c r="EE11" s="50"/>
      <c r="EF11" s="54"/>
      <c r="EG11" s="53"/>
      <c r="EH11" s="54"/>
      <c r="EI11" s="54"/>
      <c r="EJ11" s="50"/>
      <c r="EK11" s="50"/>
      <c r="EL11" s="50"/>
      <c r="EM11" s="50"/>
      <c r="EN11" s="30"/>
      <c r="EO11" s="30"/>
      <c r="EP11" s="50"/>
      <c r="EQ11" s="50"/>
      <c r="ER11" s="51"/>
      <c r="ES11" s="51"/>
      <c r="ET11" s="50"/>
      <c r="EU11" s="50"/>
      <c r="EV11" s="54"/>
      <c r="EW11" s="53"/>
      <c r="EX11" s="54"/>
      <c r="EY11" s="54"/>
      <c r="EZ11" s="50"/>
      <c r="FA11" s="50"/>
      <c r="FB11" s="50"/>
      <c r="FC11" s="50"/>
      <c r="FD11" s="51"/>
      <c r="FE11" s="51"/>
      <c r="FF11" s="50"/>
      <c r="FG11" s="50"/>
      <c r="FH11" s="54"/>
      <c r="FI11" s="53"/>
      <c r="FJ11" s="54"/>
      <c r="FK11" s="54"/>
      <c r="FL11" s="50"/>
      <c r="FM11" s="50"/>
      <c r="FN11" s="50"/>
      <c r="FO11" s="50"/>
      <c r="FP11" s="51"/>
      <c r="FQ11" s="51"/>
      <c r="FR11" s="50"/>
      <c r="FS11" s="50"/>
      <c r="FT11" s="54"/>
      <c r="FU11" s="53"/>
      <c r="FV11" s="54"/>
      <c r="FW11" s="54"/>
      <c r="FX11" s="50"/>
      <c r="FY11" s="50"/>
      <c r="FZ11" s="50"/>
      <c r="GA11" s="50"/>
      <c r="GB11" s="50"/>
      <c r="GC11" s="50"/>
      <c r="GD11" s="50"/>
      <c r="GE11" s="50"/>
      <c r="GF11" s="57"/>
    </row>
    <row r="12" ht="3.75" customHeight="1">
      <c r="A12" s="58"/>
      <c r="B12" s="58"/>
      <c r="C12" s="58"/>
      <c r="D12" s="59"/>
      <c r="E12" s="60"/>
      <c r="F12" s="61"/>
      <c r="G12" s="62"/>
      <c r="H12" s="63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5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4"/>
    </row>
    <row r="13" ht="39.0" customHeight="1">
      <c r="A13" s="67" t="s">
        <v>81</v>
      </c>
      <c r="B13" s="68"/>
      <c r="C13" s="69" t="s">
        <v>82</v>
      </c>
      <c r="D13" s="70"/>
      <c r="E13" s="71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5"/>
      <c r="DD13" s="74"/>
      <c r="DE13" s="74"/>
      <c r="DF13" s="74"/>
      <c r="DG13" s="74"/>
      <c r="DH13" s="74"/>
      <c r="DI13" s="74"/>
      <c r="DJ13" s="74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4"/>
      <c r="DX13" s="74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4"/>
      <c r="EM13" s="74"/>
      <c r="EN13" s="74"/>
      <c r="EO13" s="7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  <c r="FU13" s="74"/>
      <c r="FV13" s="74"/>
      <c r="FW13" s="74"/>
      <c r="FX13" s="74"/>
      <c r="FY13" s="74"/>
      <c r="FZ13" s="74"/>
      <c r="GA13" s="74"/>
      <c r="GB13" s="74"/>
      <c r="GC13" s="74"/>
      <c r="GD13" s="74"/>
      <c r="GE13" s="74"/>
      <c r="GF13" s="64"/>
    </row>
    <row r="14" ht="29.25" customHeight="1">
      <c r="A14" s="76">
        <v>1.0</v>
      </c>
      <c r="B14" s="77"/>
      <c r="C14" s="77" t="s">
        <v>83</v>
      </c>
      <c r="D14" s="78" t="s">
        <v>84</v>
      </c>
      <c r="E14" s="79">
        <v>24500.0</v>
      </c>
      <c r="F14" s="80" t="s">
        <v>85</v>
      </c>
      <c r="G14" s="81">
        <v>1.0</v>
      </c>
      <c r="H14" s="82">
        <v>24500.0</v>
      </c>
      <c r="I14" s="82"/>
      <c r="J14" s="82"/>
      <c r="K14" s="82">
        <f t="shared" ref="K14:K40" si="1">SUM(I14:J14)</f>
        <v>0</v>
      </c>
      <c r="L14" s="82">
        <f t="shared" ref="L14:L40" si="2">K14*E14</f>
        <v>0</v>
      </c>
      <c r="M14" s="83">
        <v>1.0</v>
      </c>
      <c r="N14" s="83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>
        <f t="shared" ref="AB14:AB40" si="3">SUM(M14:AA14)</f>
        <v>1</v>
      </c>
      <c r="AC14" s="82">
        <f t="shared" ref="AC14:AC40" si="4">AB14*E14</f>
        <v>24500</v>
      </c>
      <c r="AD14" s="82">
        <f t="shared" ref="AD14:AD15" si="5">G14+K14-AB14</f>
        <v>0</v>
      </c>
      <c r="AE14" s="82">
        <f t="shared" ref="AE14:AE15" si="6">AD14*E14</f>
        <v>0</v>
      </c>
      <c r="AF14" s="82"/>
      <c r="AG14" s="82"/>
      <c r="AH14" s="82">
        <f t="shared" ref="AH14:AH15" si="7">SUM(AF14:AG14)</f>
        <v>0</v>
      </c>
      <c r="AI14" s="82">
        <f t="shared" ref="AI14:AI15" si="8">AH14*E14</f>
        <v>0</v>
      </c>
      <c r="AJ14" s="82"/>
      <c r="AK14" s="82"/>
      <c r="AL14" s="82"/>
      <c r="AM14" s="82"/>
      <c r="AN14" s="82">
        <f t="shared" ref="AN14:AN15" si="9">SUM(AJ14:AM14)</f>
        <v>0</v>
      </c>
      <c r="AO14" s="82">
        <f t="shared" ref="AO14:AO15" si="10">AN14*E14</f>
        <v>0</v>
      </c>
      <c r="AP14" s="82">
        <f t="shared" ref="AP14:AP73" si="11">AD14+AH14-AN14</f>
        <v>0</v>
      </c>
      <c r="AQ14" s="82">
        <f t="shared" ref="AQ14:AQ40" si="12">AP14*E14</f>
        <v>0</v>
      </c>
      <c r="AR14" s="82"/>
      <c r="AS14" s="82"/>
      <c r="AT14" s="82"/>
      <c r="AU14" s="82">
        <f t="shared" ref="AU14:AU15" si="13">SUM(AS14:AT14)</f>
        <v>0</v>
      </c>
      <c r="AV14" s="82">
        <f t="shared" ref="AV14:AV15" si="14">AU14*AB14</f>
        <v>0</v>
      </c>
      <c r="AW14" s="82"/>
      <c r="AX14" s="82"/>
      <c r="AY14" s="82"/>
      <c r="AZ14" s="82"/>
      <c r="BA14" s="82">
        <f t="shared" ref="BA14:BA15" si="15">SUM(AW14:AZ14)</f>
        <v>0</v>
      </c>
      <c r="BB14" s="82">
        <f t="shared" ref="BB14:BB15" si="16">BA14*AB14</f>
        <v>0</v>
      </c>
      <c r="BC14" s="82">
        <f t="shared" ref="BC14:BC15" si="17">AP14+AU14-BA14</f>
        <v>0</v>
      </c>
      <c r="BD14" s="82">
        <f t="shared" ref="BD14:BD15" si="18">BC14*E14</f>
        <v>0</v>
      </c>
      <c r="BE14" s="82">
        <f t="shared" ref="BE14:BE15" si="19">K14+AH14+AU14</f>
        <v>0</v>
      </c>
      <c r="BF14" s="82">
        <f t="shared" ref="BF14:BF15" si="20">AB14+AN14+BA14</f>
        <v>1</v>
      </c>
      <c r="BG14" s="82">
        <f t="shared" ref="BG14:BG15" si="21">G14+BE14-BF14</f>
        <v>0</v>
      </c>
      <c r="BH14" s="82">
        <f t="shared" ref="BH14:BH15" si="22">BG14*E14</f>
        <v>0</v>
      </c>
      <c r="BI14" s="82"/>
      <c r="BJ14" s="83"/>
      <c r="BK14" s="82">
        <f t="shared" ref="BK14:BK15" si="23">SUM(BI14:BJ14)</f>
        <v>0</v>
      </c>
      <c r="BL14" s="82">
        <f t="shared" ref="BL14:BL15" si="24">BK14*E14</f>
        <v>0</v>
      </c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>
        <f t="shared" ref="BW14:BW15" si="25">SUM(BM14:BV14)</f>
        <v>0</v>
      </c>
      <c r="BX14" s="82">
        <f t="shared" ref="BX14:BX15" si="26">BW14*E14</f>
        <v>0</v>
      </c>
      <c r="BY14" s="82">
        <f t="shared" ref="BY14:BY15" si="27">BG14+BK14-BW14</f>
        <v>0</v>
      </c>
      <c r="BZ14" s="82">
        <f t="shared" ref="BZ14:BZ15" si="28">BY14*E14</f>
        <v>0</v>
      </c>
      <c r="CA14" s="82"/>
      <c r="CB14" s="82"/>
      <c r="CC14" s="82">
        <f t="shared" ref="CC14:CC15" si="29">sum(CA14:CB14)</f>
        <v>0</v>
      </c>
      <c r="CD14" s="82">
        <f t="shared" ref="CD14:CD15" si="30">CC14*E14</f>
        <v>0</v>
      </c>
      <c r="CE14" s="82"/>
      <c r="CF14" s="82"/>
      <c r="CG14" s="82"/>
      <c r="CH14" s="82"/>
      <c r="CI14" s="82">
        <f t="shared" ref="CI14:CI15" si="31">sum(CE14:CH14)</f>
        <v>0</v>
      </c>
      <c r="CJ14" s="82">
        <f t="shared" ref="CJ14:CJ15" si="32">CI14*E14</f>
        <v>0</v>
      </c>
      <c r="CK14" s="82">
        <f t="shared" ref="CK14:CK40" si="33">BY14+CC14-CI14</f>
        <v>0</v>
      </c>
      <c r="CL14" s="82">
        <f t="shared" ref="CL14:CL40" si="34">CK14*E14</f>
        <v>0</v>
      </c>
      <c r="CM14" s="82"/>
      <c r="CN14" s="82"/>
      <c r="CO14" s="82">
        <f t="shared" ref="CO14:CO153" si="35">SUM(CM14:CN14)</f>
        <v>0</v>
      </c>
      <c r="CP14" s="82">
        <f t="shared" ref="CP14:CP153" si="36">CO14*E14</f>
        <v>0</v>
      </c>
      <c r="CQ14" s="82"/>
      <c r="CR14" s="82"/>
      <c r="CS14" s="82"/>
      <c r="CT14" s="82"/>
      <c r="CU14" s="82">
        <f t="shared" ref="CU14:CU15" si="37">sum(CQ14:CT14)</f>
        <v>0</v>
      </c>
      <c r="CV14" s="82">
        <f t="shared" ref="CV14:CV15" si="38">CU14*E14</f>
        <v>0</v>
      </c>
      <c r="CW14" s="82">
        <f t="shared" ref="CW14:CW153" si="39">CK14+CO14-CU14</f>
        <v>0</v>
      </c>
      <c r="CX14" s="82">
        <f t="shared" ref="CX14:CX40" si="40">CW14*E14</f>
        <v>0</v>
      </c>
      <c r="CY14" s="82">
        <f t="shared" ref="CY14:CY153" si="41">BK14+CC14+CO14</f>
        <v>0</v>
      </c>
      <c r="CZ14" s="82">
        <f t="shared" ref="CZ14:CZ15" si="42">BW14+CI14+CU14</f>
        <v>0</v>
      </c>
      <c r="DA14" s="82">
        <f t="shared" ref="DA14:DA153" si="43">BG14+CY14-CZ14</f>
        <v>0</v>
      </c>
      <c r="DB14" s="82">
        <f t="shared" ref="DB14:DB154" si="44">DA14*E14</f>
        <v>0</v>
      </c>
      <c r="DC14" s="84">
        <v>0.0</v>
      </c>
      <c r="DD14" s="82"/>
      <c r="DE14" s="82"/>
      <c r="DF14" s="82">
        <f t="shared" ref="DF14:DF15" si="45">sum(DD14:DE14)</f>
        <v>0</v>
      </c>
      <c r="DG14" s="82">
        <f t="shared" ref="DG14:DG15" si="46">DF14*E14</f>
        <v>0</v>
      </c>
      <c r="DH14" s="82"/>
      <c r="DI14" s="82"/>
      <c r="DJ14" s="82"/>
      <c r="DK14" s="82"/>
      <c r="DL14" s="82">
        <f t="shared" ref="DL14:DL15" si="47">sum(DH14:DK14)</f>
        <v>0</v>
      </c>
      <c r="DM14" s="82">
        <f t="shared" ref="DM14:DM15" si="48">DL14*E14</f>
        <v>0</v>
      </c>
      <c r="DN14" s="82">
        <f t="shared" ref="DN14:DN15" si="49">DA14+DF14-DL14</f>
        <v>0</v>
      </c>
      <c r="DO14" s="82">
        <f t="shared" ref="DO14:DO15" si="50">DN14*E14</f>
        <v>0</v>
      </c>
      <c r="DP14" s="82"/>
      <c r="DQ14" s="82"/>
      <c r="DR14" s="82">
        <f t="shared" ref="DR14:DR15" si="51">sum(DP14:DQ14)</f>
        <v>0</v>
      </c>
      <c r="DS14" s="82">
        <f t="shared" ref="DS14:DS15" si="52">DR14*AB14</f>
        <v>0</v>
      </c>
      <c r="DT14" s="82"/>
      <c r="DU14" s="82"/>
      <c r="DV14" s="82"/>
      <c r="DW14" s="82"/>
      <c r="DX14" s="82">
        <f t="shared" ref="DX14:DX15" si="53">sum(DT14:DW14)</f>
        <v>0</v>
      </c>
      <c r="DY14" s="82">
        <f t="shared" ref="DY14:DY15" si="54">DX14*AB14</f>
        <v>0</v>
      </c>
      <c r="DZ14" s="82">
        <f t="shared" ref="DZ14:DZ15" si="55">DN14+DR14-DX14</f>
        <v>0</v>
      </c>
      <c r="EA14" s="82">
        <f t="shared" ref="EA14:EA15" si="56">DZ14*E14</f>
        <v>0</v>
      </c>
      <c r="EB14" s="82"/>
      <c r="EC14" s="82"/>
      <c r="ED14" s="82">
        <f t="shared" ref="ED14:ED15" si="57">sum(EB14:EC14)</f>
        <v>0</v>
      </c>
      <c r="EE14" s="82">
        <f t="shared" ref="EE14:EE15" si="58">ED14*AN14</f>
        <v>0</v>
      </c>
      <c r="EF14" s="82"/>
      <c r="EG14" s="82"/>
      <c r="EH14" s="82"/>
      <c r="EI14" s="82"/>
      <c r="EJ14" s="82">
        <f t="shared" ref="EJ14:EJ15" si="59">sum(EF14:EI14)</f>
        <v>0</v>
      </c>
      <c r="EK14" s="82">
        <f t="shared" ref="EK14:EK15" si="60">EJ14*AN14</f>
        <v>0</v>
      </c>
      <c r="EL14" s="82">
        <f t="shared" ref="EL14:EL15" si="61">DZ14+ED14-EJ14</f>
        <v>0</v>
      </c>
      <c r="EM14" s="82">
        <f t="shared" ref="EM14:EM15" si="62">EL14*E14</f>
        <v>0</v>
      </c>
      <c r="EN14" s="82">
        <f t="shared" ref="EN14:EN15" si="63">DF14+DR14+ED14</f>
        <v>0</v>
      </c>
      <c r="EO14" s="82">
        <f t="shared" ref="EO14:EO15" si="64">DL14+DX14+EJ14</f>
        <v>0</v>
      </c>
      <c r="EP14" s="82">
        <f t="shared" ref="EP14:EP15" si="65">DA14+EN14-EO14</f>
        <v>0</v>
      </c>
      <c r="EQ14" s="82">
        <f t="shared" ref="EQ14:EQ15" si="66">EP14*E14</f>
        <v>0</v>
      </c>
      <c r="ER14" s="82"/>
      <c r="ES14" s="82"/>
      <c r="ET14" s="82">
        <f t="shared" ref="ET14:ET15" si="67">sum(ER14:ES14)</f>
        <v>0</v>
      </c>
      <c r="EU14" s="82">
        <f t="shared" ref="EU14:EU15" si="68">ET14*BE14</f>
        <v>0</v>
      </c>
      <c r="EV14" s="82"/>
      <c r="EW14" s="82"/>
      <c r="EX14" s="82"/>
      <c r="EY14" s="82"/>
      <c r="EZ14" s="82">
        <f t="shared" ref="EZ14:EZ15" si="69">sum(EV14:EY14)</f>
        <v>0</v>
      </c>
      <c r="FA14" s="82">
        <f t="shared" ref="FA14:FA15" si="70">EZ14*BE14</f>
        <v>0</v>
      </c>
      <c r="FB14" s="82">
        <f t="shared" ref="FB14:FB15" si="71">EP14+ET14-EZ14</f>
        <v>0</v>
      </c>
      <c r="FC14" s="82">
        <f t="shared" ref="FC14:FC15" si="72">FB14*E14</f>
        <v>0</v>
      </c>
      <c r="FD14" s="82"/>
      <c r="FE14" s="82"/>
      <c r="FF14" s="82">
        <f t="shared" ref="FF14:FF15" si="73">sum(FD14:FE14)</f>
        <v>0</v>
      </c>
      <c r="FG14" s="82">
        <f t="shared" ref="FG14:FG15" si="74">FF14*BW14</f>
        <v>0</v>
      </c>
      <c r="FH14" s="82"/>
      <c r="FI14" s="82"/>
      <c r="FJ14" s="82"/>
      <c r="FK14" s="82"/>
      <c r="FL14" s="82">
        <f t="shared" ref="FL14:FL15" si="75">sum(FH14:FK14)</f>
        <v>0</v>
      </c>
      <c r="FM14" s="82">
        <f t="shared" ref="FM14:FM15" si="76">FL14*BW14</f>
        <v>0</v>
      </c>
      <c r="FN14" s="82">
        <f t="shared" ref="FN14:FN15" si="77">FB14+FF14-FL14</f>
        <v>0</v>
      </c>
      <c r="FO14" s="82">
        <f t="shared" ref="FO14:FO15" si="78">FN14*E14</f>
        <v>0</v>
      </c>
      <c r="FP14" s="82"/>
      <c r="FQ14" s="82"/>
      <c r="FR14" s="82">
        <f t="shared" ref="FR14:FR15" si="79">sum(FP14:FQ14)</f>
        <v>0</v>
      </c>
      <c r="FS14" s="82">
        <f t="shared" ref="FS14:FS15" si="80">FR14*CI14</f>
        <v>0</v>
      </c>
      <c r="FT14" s="83"/>
      <c r="FU14" s="82"/>
      <c r="FV14" s="82"/>
      <c r="FW14" s="82"/>
      <c r="FX14" s="82">
        <f t="shared" ref="FX14:FX15" si="81">sum(FT14:FW14)</f>
        <v>0</v>
      </c>
      <c r="FY14" s="82">
        <f t="shared" ref="FY14:FY15" si="82">FX14*CI14</f>
        <v>0</v>
      </c>
      <c r="FZ14" s="82">
        <f t="shared" ref="FZ14:FZ15" si="83">FN14+FR14-FX14</f>
        <v>0</v>
      </c>
      <c r="GA14" s="82">
        <f t="shared" ref="GA14:GA15" si="84">FZ14*E14</f>
        <v>0</v>
      </c>
      <c r="GB14" s="82">
        <f t="shared" ref="GB14:GB15" si="85">ET14+FF14+FR14</f>
        <v>0</v>
      </c>
      <c r="GC14" s="82">
        <f t="shared" ref="GC14:GC15" si="86">EZ14+FL14+FX14</f>
        <v>0</v>
      </c>
      <c r="GD14" s="82">
        <f t="shared" ref="GD14:GD15" si="87">EP14+GB14-GC14</f>
        <v>0</v>
      </c>
      <c r="GE14" s="82">
        <f t="shared" ref="GE14:GE15" si="88">GD14*E14</f>
        <v>0</v>
      </c>
      <c r="GF14" s="85"/>
    </row>
    <row r="15" ht="29.25" customHeight="1">
      <c r="A15" s="16"/>
      <c r="B15" s="16"/>
      <c r="C15" s="16"/>
      <c r="D15" s="78" t="s">
        <v>84</v>
      </c>
      <c r="E15" s="86">
        <v>19820.0</v>
      </c>
      <c r="F15" s="80" t="s">
        <v>86</v>
      </c>
      <c r="G15" s="81">
        <v>11.0</v>
      </c>
      <c r="H15" s="82">
        <v>218020.0</v>
      </c>
      <c r="I15" s="82"/>
      <c r="J15" s="82"/>
      <c r="K15" s="82">
        <f t="shared" si="1"/>
        <v>0</v>
      </c>
      <c r="L15" s="82">
        <f t="shared" si="2"/>
        <v>0</v>
      </c>
      <c r="M15" s="83">
        <v>2.0</v>
      </c>
      <c r="N15" s="83">
        <v>2.0</v>
      </c>
      <c r="O15" s="82"/>
      <c r="P15" s="82"/>
      <c r="Q15" s="82"/>
      <c r="R15" s="83">
        <v>2.0</v>
      </c>
      <c r="S15" s="82"/>
      <c r="T15" s="82"/>
      <c r="U15" s="82"/>
      <c r="V15" s="83">
        <v>1.0</v>
      </c>
      <c r="W15" s="82"/>
      <c r="X15" s="82"/>
      <c r="Y15" s="82"/>
      <c r="Z15" s="83">
        <v>1.0</v>
      </c>
      <c r="AA15" s="82"/>
      <c r="AB15" s="82">
        <f t="shared" si="3"/>
        <v>8</v>
      </c>
      <c r="AC15" s="82">
        <f t="shared" si="4"/>
        <v>158560</v>
      </c>
      <c r="AD15" s="82">
        <f t="shared" si="5"/>
        <v>3</v>
      </c>
      <c r="AE15" s="82">
        <f t="shared" si="6"/>
        <v>59460</v>
      </c>
      <c r="AF15" s="82"/>
      <c r="AG15" s="82"/>
      <c r="AH15" s="82">
        <f t="shared" si="7"/>
        <v>0</v>
      </c>
      <c r="AI15" s="82">
        <f t="shared" si="8"/>
        <v>0</v>
      </c>
      <c r="AJ15" s="82"/>
      <c r="AK15" s="82"/>
      <c r="AL15" s="82"/>
      <c r="AM15" s="82"/>
      <c r="AN15" s="82">
        <f t="shared" si="9"/>
        <v>0</v>
      </c>
      <c r="AO15" s="82">
        <f t="shared" si="10"/>
        <v>0</v>
      </c>
      <c r="AP15" s="82">
        <f t="shared" si="11"/>
        <v>3</v>
      </c>
      <c r="AQ15" s="82">
        <f t="shared" si="12"/>
        <v>59460</v>
      </c>
      <c r="AR15" s="82"/>
      <c r="AS15" s="82"/>
      <c r="AT15" s="82"/>
      <c r="AU15" s="82">
        <f t="shared" si="13"/>
        <v>0</v>
      </c>
      <c r="AV15" s="82">
        <f t="shared" si="14"/>
        <v>0</v>
      </c>
      <c r="AW15" s="82"/>
      <c r="AX15" s="82"/>
      <c r="AY15" s="82"/>
      <c r="AZ15" s="82"/>
      <c r="BA15" s="82">
        <f t="shared" si="15"/>
        <v>0</v>
      </c>
      <c r="BB15" s="82">
        <f t="shared" si="16"/>
        <v>0</v>
      </c>
      <c r="BC15" s="82">
        <f t="shared" si="17"/>
        <v>3</v>
      </c>
      <c r="BD15" s="82">
        <f t="shared" si="18"/>
        <v>59460</v>
      </c>
      <c r="BE15" s="82">
        <f t="shared" si="19"/>
        <v>0</v>
      </c>
      <c r="BF15" s="82">
        <f t="shared" si="20"/>
        <v>8</v>
      </c>
      <c r="BG15" s="82">
        <f t="shared" si="21"/>
        <v>3</v>
      </c>
      <c r="BH15" s="82">
        <f t="shared" si="22"/>
        <v>59460</v>
      </c>
      <c r="BI15" s="82"/>
      <c r="BJ15" s="83"/>
      <c r="BK15" s="82">
        <f t="shared" si="23"/>
        <v>0</v>
      </c>
      <c r="BL15" s="82">
        <f t="shared" si="24"/>
        <v>0</v>
      </c>
      <c r="BM15" s="82"/>
      <c r="BN15" s="82"/>
      <c r="BO15" s="82"/>
      <c r="BP15" s="82"/>
      <c r="BQ15" s="82"/>
      <c r="BR15" s="82"/>
      <c r="BS15" s="82"/>
      <c r="BT15" s="82"/>
      <c r="BU15" s="83"/>
      <c r="BV15" s="82"/>
      <c r="BW15" s="82">
        <f t="shared" si="25"/>
        <v>0</v>
      </c>
      <c r="BX15" s="82">
        <f t="shared" si="26"/>
        <v>0</v>
      </c>
      <c r="BY15" s="82">
        <f t="shared" si="27"/>
        <v>3</v>
      </c>
      <c r="BZ15" s="82">
        <f t="shared" si="28"/>
        <v>59460</v>
      </c>
      <c r="CA15" s="82"/>
      <c r="CB15" s="82"/>
      <c r="CC15" s="82">
        <f t="shared" si="29"/>
        <v>0</v>
      </c>
      <c r="CD15" s="82">
        <f t="shared" si="30"/>
        <v>0</v>
      </c>
      <c r="CE15" s="82"/>
      <c r="CF15" s="82"/>
      <c r="CG15" s="82"/>
      <c r="CH15" s="82"/>
      <c r="CI15" s="82">
        <f t="shared" si="31"/>
        <v>0</v>
      </c>
      <c r="CJ15" s="82">
        <f t="shared" si="32"/>
        <v>0</v>
      </c>
      <c r="CK15" s="82">
        <f t="shared" si="33"/>
        <v>3</v>
      </c>
      <c r="CL15" s="82">
        <f t="shared" si="34"/>
        <v>59460</v>
      </c>
      <c r="CM15" s="82"/>
      <c r="CN15" s="82"/>
      <c r="CO15" s="82">
        <f t="shared" si="35"/>
        <v>0</v>
      </c>
      <c r="CP15" s="82">
        <f t="shared" si="36"/>
        <v>0</v>
      </c>
      <c r="CQ15" s="82"/>
      <c r="CR15" s="82"/>
      <c r="CS15" s="82"/>
      <c r="CT15" s="82"/>
      <c r="CU15" s="82">
        <f t="shared" si="37"/>
        <v>0</v>
      </c>
      <c r="CV15" s="82">
        <f t="shared" si="38"/>
        <v>0</v>
      </c>
      <c r="CW15" s="82">
        <f t="shared" si="39"/>
        <v>3</v>
      </c>
      <c r="CX15" s="82">
        <f t="shared" si="40"/>
        <v>59460</v>
      </c>
      <c r="CY15" s="82">
        <f t="shared" si="41"/>
        <v>0</v>
      </c>
      <c r="CZ15" s="82">
        <f t="shared" si="42"/>
        <v>0</v>
      </c>
      <c r="DA15" s="82">
        <f t="shared" si="43"/>
        <v>3</v>
      </c>
      <c r="DB15" s="82">
        <f t="shared" si="44"/>
        <v>59460</v>
      </c>
      <c r="DC15" s="84">
        <v>0.0</v>
      </c>
      <c r="DD15" s="82"/>
      <c r="DE15" s="82"/>
      <c r="DF15" s="82">
        <f t="shared" si="45"/>
        <v>0</v>
      </c>
      <c r="DG15" s="82">
        <f t="shared" si="46"/>
        <v>0</v>
      </c>
      <c r="DH15" s="82"/>
      <c r="DI15" s="82"/>
      <c r="DJ15" s="82"/>
      <c r="DK15" s="82"/>
      <c r="DL15" s="82">
        <f t="shared" si="47"/>
        <v>0</v>
      </c>
      <c r="DM15" s="82">
        <f t="shared" si="48"/>
        <v>0</v>
      </c>
      <c r="DN15" s="82">
        <f t="shared" si="49"/>
        <v>3</v>
      </c>
      <c r="DO15" s="82">
        <f t="shared" si="50"/>
        <v>59460</v>
      </c>
      <c r="DP15" s="82"/>
      <c r="DQ15" s="82"/>
      <c r="DR15" s="82">
        <f t="shared" si="51"/>
        <v>0</v>
      </c>
      <c r="DS15" s="82">
        <f t="shared" si="52"/>
        <v>0</v>
      </c>
      <c r="DT15" s="82"/>
      <c r="DU15" s="82"/>
      <c r="DV15" s="82"/>
      <c r="DW15" s="82"/>
      <c r="DX15" s="82">
        <f t="shared" si="53"/>
        <v>0</v>
      </c>
      <c r="DY15" s="82">
        <f t="shared" si="54"/>
        <v>0</v>
      </c>
      <c r="DZ15" s="82">
        <f t="shared" si="55"/>
        <v>3</v>
      </c>
      <c r="EA15" s="82">
        <f t="shared" si="56"/>
        <v>59460</v>
      </c>
      <c r="EB15" s="82"/>
      <c r="EC15" s="82"/>
      <c r="ED15" s="82">
        <f t="shared" si="57"/>
        <v>0</v>
      </c>
      <c r="EE15" s="82">
        <f t="shared" si="58"/>
        <v>0</v>
      </c>
      <c r="EF15" s="82"/>
      <c r="EG15" s="82"/>
      <c r="EH15" s="82"/>
      <c r="EI15" s="82"/>
      <c r="EJ15" s="82">
        <f t="shared" si="59"/>
        <v>0</v>
      </c>
      <c r="EK15" s="82">
        <f t="shared" si="60"/>
        <v>0</v>
      </c>
      <c r="EL15" s="82">
        <f t="shared" si="61"/>
        <v>3</v>
      </c>
      <c r="EM15" s="82">
        <f t="shared" si="62"/>
        <v>59460</v>
      </c>
      <c r="EN15" s="82">
        <f t="shared" si="63"/>
        <v>0</v>
      </c>
      <c r="EO15" s="82">
        <f t="shared" si="64"/>
        <v>0</v>
      </c>
      <c r="EP15" s="82">
        <f t="shared" si="65"/>
        <v>3</v>
      </c>
      <c r="EQ15" s="82">
        <f t="shared" si="66"/>
        <v>59460</v>
      </c>
      <c r="ER15" s="82"/>
      <c r="ES15" s="82"/>
      <c r="ET15" s="82">
        <f t="shared" si="67"/>
        <v>0</v>
      </c>
      <c r="EU15" s="82">
        <f t="shared" si="68"/>
        <v>0</v>
      </c>
      <c r="EV15" s="82"/>
      <c r="EW15" s="82"/>
      <c r="EX15" s="82"/>
      <c r="EY15" s="82"/>
      <c r="EZ15" s="82">
        <f t="shared" si="69"/>
        <v>0</v>
      </c>
      <c r="FA15" s="82">
        <f t="shared" si="70"/>
        <v>0</v>
      </c>
      <c r="FB15" s="82">
        <f t="shared" si="71"/>
        <v>3</v>
      </c>
      <c r="FC15" s="82">
        <f t="shared" si="72"/>
        <v>59460</v>
      </c>
      <c r="FD15" s="82"/>
      <c r="FE15" s="82"/>
      <c r="FF15" s="82">
        <f t="shared" si="73"/>
        <v>0</v>
      </c>
      <c r="FG15" s="82">
        <f t="shared" si="74"/>
        <v>0</v>
      </c>
      <c r="FH15" s="82"/>
      <c r="FI15" s="82"/>
      <c r="FJ15" s="82"/>
      <c r="FK15" s="82"/>
      <c r="FL15" s="82">
        <f t="shared" si="75"/>
        <v>0</v>
      </c>
      <c r="FM15" s="82">
        <f t="shared" si="76"/>
        <v>0</v>
      </c>
      <c r="FN15" s="82">
        <f t="shared" si="77"/>
        <v>3</v>
      </c>
      <c r="FO15" s="82">
        <f t="shared" si="78"/>
        <v>59460</v>
      </c>
      <c r="FP15" s="82"/>
      <c r="FQ15" s="82"/>
      <c r="FR15" s="82">
        <f t="shared" si="79"/>
        <v>0</v>
      </c>
      <c r="FS15" s="82">
        <f t="shared" si="80"/>
        <v>0</v>
      </c>
      <c r="FT15" s="82"/>
      <c r="FU15" s="82"/>
      <c r="FV15" s="82"/>
      <c r="FW15" s="82"/>
      <c r="FX15" s="82">
        <f t="shared" si="81"/>
        <v>0</v>
      </c>
      <c r="FY15" s="82">
        <f t="shared" si="82"/>
        <v>0</v>
      </c>
      <c r="FZ15" s="82">
        <f t="shared" si="83"/>
        <v>3</v>
      </c>
      <c r="GA15" s="82">
        <f t="shared" si="84"/>
        <v>59460</v>
      </c>
      <c r="GB15" s="82">
        <f t="shared" si="85"/>
        <v>0</v>
      </c>
      <c r="GC15" s="82">
        <f t="shared" si="86"/>
        <v>0</v>
      </c>
      <c r="GD15" s="82">
        <f t="shared" si="87"/>
        <v>3</v>
      </c>
      <c r="GE15" s="82">
        <f t="shared" si="88"/>
        <v>59460</v>
      </c>
      <c r="GF15" s="85"/>
    </row>
    <row r="16" ht="29.25" customHeight="1">
      <c r="A16" s="76"/>
      <c r="B16" s="87"/>
      <c r="C16" s="88" t="s">
        <v>87</v>
      </c>
      <c r="D16" s="89" t="s">
        <v>88</v>
      </c>
      <c r="E16" s="83">
        <v>94350.0</v>
      </c>
      <c r="F16" s="80" t="s">
        <v>89</v>
      </c>
      <c r="G16" s="90">
        <v>50.0</v>
      </c>
      <c r="H16" s="83">
        <v>94350.0</v>
      </c>
      <c r="I16" s="82"/>
      <c r="J16" s="82"/>
      <c r="K16" s="82">
        <f t="shared" si="1"/>
        <v>0</v>
      </c>
      <c r="L16" s="82">
        <f t="shared" si="2"/>
        <v>0</v>
      </c>
      <c r="M16" s="82"/>
      <c r="N16" s="82"/>
      <c r="O16" s="82"/>
      <c r="P16" s="82"/>
      <c r="Q16" s="82"/>
      <c r="R16" s="82"/>
      <c r="S16" s="82"/>
      <c r="T16" s="82"/>
      <c r="U16" s="82"/>
      <c r="V16" s="83"/>
      <c r="W16" s="82"/>
      <c r="X16" s="82"/>
      <c r="Y16" s="82"/>
      <c r="Z16" s="82"/>
      <c r="AA16" s="82"/>
      <c r="AB16" s="82">
        <f t="shared" si="3"/>
        <v>0</v>
      </c>
      <c r="AC16" s="82">
        <f t="shared" si="4"/>
        <v>0</v>
      </c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>
        <f t="shared" si="11"/>
        <v>0</v>
      </c>
      <c r="AQ16" s="82">
        <f t="shared" si="12"/>
        <v>0</v>
      </c>
      <c r="AR16" s="82"/>
      <c r="AS16" s="83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3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3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>
        <f t="shared" si="33"/>
        <v>0</v>
      </c>
      <c r="CL16" s="82">
        <f t="shared" si="34"/>
        <v>0</v>
      </c>
      <c r="CM16" s="83">
        <v>50.0</v>
      </c>
      <c r="CN16" s="82"/>
      <c r="CO16" s="82">
        <f t="shared" si="35"/>
        <v>50</v>
      </c>
      <c r="CP16" s="82">
        <f t="shared" si="36"/>
        <v>4717500</v>
      </c>
      <c r="CQ16" s="82"/>
      <c r="CR16" s="82"/>
      <c r="CS16" s="82"/>
      <c r="CT16" s="82"/>
      <c r="CU16" s="82"/>
      <c r="CV16" s="82"/>
      <c r="CW16" s="82">
        <f t="shared" si="39"/>
        <v>50</v>
      </c>
      <c r="CX16" s="82">
        <f t="shared" si="40"/>
        <v>4717500</v>
      </c>
      <c r="CY16" s="82">
        <f t="shared" si="41"/>
        <v>50</v>
      </c>
      <c r="CZ16" s="82"/>
      <c r="DA16" s="82">
        <f t="shared" si="43"/>
        <v>50</v>
      </c>
      <c r="DB16" s="82">
        <f t="shared" si="44"/>
        <v>4717500</v>
      </c>
      <c r="DC16" s="91">
        <f>5*9+1</f>
        <v>46</v>
      </c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82"/>
      <c r="DT16" s="82"/>
      <c r="DU16" s="82"/>
      <c r="DV16" s="82"/>
      <c r="DW16" s="82"/>
      <c r="DX16" s="82"/>
      <c r="DY16" s="82"/>
      <c r="DZ16" s="82"/>
      <c r="EA16" s="82"/>
      <c r="EB16" s="82"/>
      <c r="EC16" s="82"/>
      <c r="ED16" s="82"/>
      <c r="EE16" s="82"/>
      <c r="EF16" s="82"/>
      <c r="EG16" s="82"/>
      <c r="EH16" s="82"/>
      <c r="EI16" s="82"/>
      <c r="EJ16" s="82"/>
      <c r="EK16" s="82"/>
      <c r="EL16" s="82"/>
      <c r="EM16" s="82"/>
      <c r="EN16" s="82"/>
      <c r="EO16" s="82"/>
      <c r="EP16" s="82"/>
      <c r="EQ16" s="82"/>
      <c r="ER16" s="82"/>
      <c r="ES16" s="82"/>
      <c r="ET16" s="82"/>
      <c r="EU16" s="82"/>
      <c r="EV16" s="82"/>
      <c r="EW16" s="82"/>
      <c r="EX16" s="82"/>
      <c r="EY16" s="82"/>
      <c r="EZ16" s="82"/>
      <c r="FA16" s="82"/>
      <c r="FB16" s="82"/>
      <c r="FC16" s="82"/>
      <c r="FD16" s="82"/>
      <c r="FE16" s="82"/>
      <c r="FF16" s="82"/>
      <c r="FG16" s="82"/>
      <c r="FH16" s="82"/>
      <c r="FI16" s="82"/>
      <c r="FJ16" s="82"/>
      <c r="FK16" s="82"/>
      <c r="FL16" s="82"/>
      <c r="FM16" s="82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82"/>
      <c r="GF16" s="85"/>
    </row>
    <row r="17" ht="29.25" customHeight="1">
      <c r="A17" s="76">
        <v>2.0</v>
      </c>
      <c r="B17" s="87"/>
      <c r="C17" s="77" t="s">
        <v>90</v>
      </c>
      <c r="D17" s="92" t="s">
        <v>91</v>
      </c>
      <c r="E17" s="79">
        <v>62160.0</v>
      </c>
      <c r="F17" s="61" t="s">
        <v>92</v>
      </c>
      <c r="G17" s="81">
        <v>19.0</v>
      </c>
      <c r="H17" s="82">
        <v>1181040.0</v>
      </c>
      <c r="I17" s="82"/>
      <c r="J17" s="82"/>
      <c r="K17" s="82">
        <f t="shared" si="1"/>
        <v>0</v>
      </c>
      <c r="L17" s="82">
        <f t="shared" si="2"/>
        <v>0</v>
      </c>
      <c r="M17" s="82"/>
      <c r="N17" s="82"/>
      <c r="O17" s="82"/>
      <c r="P17" s="82"/>
      <c r="Q17" s="82"/>
      <c r="R17" s="82"/>
      <c r="S17" s="82"/>
      <c r="T17" s="82"/>
      <c r="U17" s="82"/>
      <c r="V17" s="83">
        <v>1.0</v>
      </c>
      <c r="W17" s="82"/>
      <c r="X17" s="82"/>
      <c r="Y17" s="82"/>
      <c r="Z17" s="82"/>
      <c r="AA17" s="82"/>
      <c r="AB17" s="82">
        <f t="shared" si="3"/>
        <v>1</v>
      </c>
      <c r="AC17" s="82">
        <f t="shared" si="4"/>
        <v>62160</v>
      </c>
      <c r="AD17" s="82">
        <f t="shared" ref="AD17:AD73" si="89">G17+K17-AB17</f>
        <v>18</v>
      </c>
      <c r="AE17" s="82">
        <f t="shared" ref="AE17:AE40" si="90">AD17*E17</f>
        <v>1118880</v>
      </c>
      <c r="AF17" s="82"/>
      <c r="AG17" s="82"/>
      <c r="AH17" s="82">
        <f t="shared" ref="AH17:AH40" si="91">SUM(AF17:AG17)</f>
        <v>0</v>
      </c>
      <c r="AI17" s="82">
        <f t="shared" ref="AI17:AI40" si="92">AH17*E17</f>
        <v>0</v>
      </c>
      <c r="AJ17" s="82"/>
      <c r="AK17" s="82"/>
      <c r="AL17" s="82"/>
      <c r="AM17" s="82"/>
      <c r="AN17" s="82">
        <f t="shared" ref="AN17:AN40" si="93">SUM(AJ17:AM17)</f>
        <v>0</v>
      </c>
      <c r="AO17" s="82">
        <f t="shared" ref="AO17:AO40" si="94">AN17*E17</f>
        <v>0</v>
      </c>
      <c r="AP17" s="82">
        <f t="shared" si="11"/>
        <v>18</v>
      </c>
      <c r="AQ17" s="82">
        <f t="shared" si="12"/>
        <v>1118880</v>
      </c>
      <c r="AR17" s="82"/>
      <c r="AS17" s="82"/>
      <c r="AT17" s="82"/>
      <c r="AU17" s="82">
        <f t="shared" ref="AU17:AU40" si="95">SUM(AS17:AT17)</f>
        <v>0</v>
      </c>
      <c r="AV17" s="82">
        <f t="shared" ref="AV17:AV40" si="96">AU17*AB17</f>
        <v>0</v>
      </c>
      <c r="AW17" s="82"/>
      <c r="AX17" s="82"/>
      <c r="AY17" s="82"/>
      <c r="AZ17" s="82"/>
      <c r="BA17" s="82">
        <f t="shared" ref="BA17:BA40" si="97">SUM(AW17:AZ17)</f>
        <v>0</v>
      </c>
      <c r="BB17" s="82">
        <f t="shared" ref="BB17:BB40" si="98">BA17*AB17</f>
        <v>0</v>
      </c>
      <c r="BC17" s="82">
        <f t="shared" ref="BC17:BC73" si="99">AP17+AU17-BA17</f>
        <v>18</v>
      </c>
      <c r="BD17" s="82">
        <f t="shared" ref="BD17:BD40" si="100">BC17*E17</f>
        <v>1118880</v>
      </c>
      <c r="BE17" s="82">
        <f t="shared" ref="BE17:BE40" si="101">K17+AH17+AU17</f>
        <v>0</v>
      </c>
      <c r="BF17" s="82">
        <f t="shared" ref="BF17:BF40" si="102">AB17+AN17+BA17</f>
        <v>1</v>
      </c>
      <c r="BG17" s="82">
        <f t="shared" ref="BG17:BG73" si="103">G17+BE17-BF17</f>
        <v>18</v>
      </c>
      <c r="BH17" s="82">
        <f t="shared" ref="BH17:BH40" si="104">BG17*E17</f>
        <v>1118880</v>
      </c>
      <c r="BI17" s="82"/>
      <c r="BJ17" s="83"/>
      <c r="BK17" s="82">
        <f t="shared" ref="BK17:BK40" si="105">SUM(BI17:BJ17)</f>
        <v>0</v>
      </c>
      <c r="BL17" s="82">
        <f t="shared" ref="BL17:BL40" si="106">BK17*E17</f>
        <v>0</v>
      </c>
      <c r="BM17" s="82"/>
      <c r="BN17" s="82"/>
      <c r="BO17" s="82"/>
      <c r="BP17" s="82"/>
      <c r="BQ17" s="82"/>
      <c r="BR17" s="82"/>
      <c r="BS17" s="82"/>
      <c r="BT17" s="82"/>
      <c r="BU17" s="82"/>
      <c r="BV17" s="83"/>
      <c r="BW17" s="82">
        <f t="shared" ref="BW17:BW40" si="107">SUM(BM17:BV17)</f>
        <v>0</v>
      </c>
      <c r="BX17" s="82">
        <f t="shared" ref="BX17:BX40" si="108">BW17*E17</f>
        <v>0</v>
      </c>
      <c r="BY17" s="82">
        <f t="shared" ref="BY17:BY73" si="109">BG17+BK17-BW17</f>
        <v>18</v>
      </c>
      <c r="BZ17" s="82">
        <f t="shared" ref="BZ17:BZ40" si="110">BY17*E17</f>
        <v>1118880</v>
      </c>
      <c r="CA17" s="82"/>
      <c r="CB17" s="82"/>
      <c r="CC17" s="82">
        <f t="shared" ref="CC17:CC40" si="111">sum(CA17:CB17)</f>
        <v>0</v>
      </c>
      <c r="CD17" s="82">
        <f t="shared" ref="CD17:CD40" si="112">CC17*E17</f>
        <v>0</v>
      </c>
      <c r="CE17" s="82"/>
      <c r="CF17" s="82"/>
      <c r="CG17" s="82"/>
      <c r="CH17" s="82"/>
      <c r="CI17" s="82">
        <f t="shared" ref="CI17:CI40" si="113">sum(CE17:CH17)</f>
        <v>0</v>
      </c>
      <c r="CJ17" s="82">
        <f t="shared" ref="CJ17:CJ40" si="114">CI17*E17</f>
        <v>0</v>
      </c>
      <c r="CK17" s="82">
        <f t="shared" si="33"/>
        <v>18</v>
      </c>
      <c r="CL17" s="82">
        <f t="shared" si="34"/>
        <v>1118880</v>
      </c>
      <c r="CM17" s="82"/>
      <c r="CN17" s="82"/>
      <c r="CO17" s="82">
        <f t="shared" si="35"/>
        <v>0</v>
      </c>
      <c r="CP17" s="82">
        <f t="shared" si="36"/>
        <v>0</v>
      </c>
      <c r="CQ17" s="82"/>
      <c r="CR17" s="82"/>
      <c r="CS17" s="82"/>
      <c r="CT17" s="82"/>
      <c r="CU17" s="82">
        <f t="shared" ref="CU17:CU40" si="115">sum(CQ17:CT17)</f>
        <v>0</v>
      </c>
      <c r="CV17" s="82">
        <f t="shared" ref="CV17:CV40" si="116">CU17*E17</f>
        <v>0</v>
      </c>
      <c r="CW17" s="82">
        <f t="shared" si="39"/>
        <v>18</v>
      </c>
      <c r="CX17" s="82">
        <f t="shared" si="40"/>
        <v>1118880</v>
      </c>
      <c r="CY17" s="82">
        <f t="shared" si="41"/>
        <v>0</v>
      </c>
      <c r="CZ17" s="82">
        <f t="shared" ref="CZ17:CZ40" si="117">BW17+CI17+CU17</f>
        <v>0</v>
      </c>
      <c r="DA17" s="82">
        <f t="shared" si="43"/>
        <v>18</v>
      </c>
      <c r="DB17" s="82">
        <f t="shared" si="44"/>
        <v>1118880</v>
      </c>
      <c r="DC17" s="84">
        <v>20.0</v>
      </c>
      <c r="DD17" s="82"/>
      <c r="DE17" s="82"/>
      <c r="DF17" s="82">
        <f t="shared" ref="DF17:DF40" si="118">sum(DD17:DE17)</f>
        <v>0</v>
      </c>
      <c r="DG17" s="82">
        <f t="shared" ref="DG17:DG40" si="119">DF17*E17</f>
        <v>0</v>
      </c>
      <c r="DH17" s="82"/>
      <c r="DI17" s="82"/>
      <c r="DJ17" s="82"/>
      <c r="DK17" s="82"/>
      <c r="DL17" s="82">
        <f t="shared" ref="DL17:DL40" si="120">sum(DH17:DK17)</f>
        <v>0</v>
      </c>
      <c r="DM17" s="82">
        <f t="shared" ref="DM17:DM40" si="121">DL17*E17</f>
        <v>0</v>
      </c>
      <c r="DN17" s="82">
        <f t="shared" ref="DN17:DN40" si="122">DA17+DF17-DL17</f>
        <v>18</v>
      </c>
      <c r="DO17" s="82">
        <f t="shared" ref="DO17:DO40" si="123">DN17*E17</f>
        <v>1118880</v>
      </c>
      <c r="DP17" s="82"/>
      <c r="DQ17" s="82"/>
      <c r="DR17" s="82">
        <f t="shared" ref="DR17:DR40" si="124">sum(DP17:DQ17)</f>
        <v>0</v>
      </c>
      <c r="DS17" s="82">
        <f t="shared" ref="DS17:DS40" si="125">DR17*AB17</f>
        <v>0</v>
      </c>
      <c r="DT17" s="82"/>
      <c r="DU17" s="82"/>
      <c r="DV17" s="82"/>
      <c r="DW17" s="82"/>
      <c r="DX17" s="82">
        <f t="shared" ref="DX17:DX40" si="126">sum(DT17:DW17)</f>
        <v>0</v>
      </c>
      <c r="DY17" s="82">
        <f t="shared" ref="DY17:DY40" si="127">DX17*AB17</f>
        <v>0</v>
      </c>
      <c r="DZ17" s="82">
        <f t="shared" ref="DZ17:DZ40" si="128">DN17+DR17-DX17</f>
        <v>18</v>
      </c>
      <c r="EA17" s="82">
        <f t="shared" ref="EA17:EA40" si="129">DZ17*E17</f>
        <v>1118880</v>
      </c>
      <c r="EB17" s="82"/>
      <c r="EC17" s="82"/>
      <c r="ED17" s="82">
        <f t="shared" ref="ED17:ED40" si="130">sum(EB17:EC17)</f>
        <v>0</v>
      </c>
      <c r="EE17" s="82">
        <f t="shared" ref="EE17:EE40" si="131">ED17*AN17</f>
        <v>0</v>
      </c>
      <c r="EF17" s="82"/>
      <c r="EG17" s="82"/>
      <c r="EH17" s="82"/>
      <c r="EI17" s="82"/>
      <c r="EJ17" s="82">
        <f t="shared" ref="EJ17:EJ40" si="132">sum(EF17:EI17)</f>
        <v>0</v>
      </c>
      <c r="EK17" s="82">
        <f t="shared" ref="EK17:EK40" si="133">EJ17*AN17</f>
        <v>0</v>
      </c>
      <c r="EL17" s="82">
        <f t="shared" ref="EL17:EL40" si="134">DZ17+ED17-EJ17</f>
        <v>18</v>
      </c>
      <c r="EM17" s="82">
        <f t="shared" ref="EM17:EM40" si="135">EL17*E17</f>
        <v>1118880</v>
      </c>
      <c r="EN17" s="82">
        <f t="shared" ref="EN17:EN40" si="136">DF17+DR17+ED17</f>
        <v>0</v>
      </c>
      <c r="EO17" s="82">
        <f t="shared" ref="EO17:EO40" si="137">DL17+DX17+EJ17</f>
        <v>0</v>
      </c>
      <c r="EP17" s="82">
        <f t="shared" ref="EP17:EP40" si="138">DA17+EN17-EO17</f>
        <v>18</v>
      </c>
      <c r="EQ17" s="82">
        <f t="shared" ref="EQ17:EQ40" si="139">EP17*E17</f>
        <v>1118880</v>
      </c>
      <c r="ER17" s="82"/>
      <c r="ES17" s="82"/>
      <c r="ET17" s="82">
        <f t="shared" ref="ET17:ET40" si="140">sum(ER17:ES17)</f>
        <v>0</v>
      </c>
      <c r="EU17" s="82">
        <f t="shared" ref="EU17:EU40" si="141">ET17*BE17</f>
        <v>0</v>
      </c>
      <c r="EV17" s="82"/>
      <c r="EW17" s="82"/>
      <c r="EX17" s="82"/>
      <c r="EY17" s="82"/>
      <c r="EZ17" s="82">
        <f t="shared" ref="EZ17:EZ40" si="142">sum(EV17:EY17)</f>
        <v>0</v>
      </c>
      <c r="FA17" s="82">
        <f t="shared" ref="FA17:FA40" si="143">EZ17*BE17</f>
        <v>0</v>
      </c>
      <c r="FB17" s="82">
        <f t="shared" ref="FB17:FB40" si="144">EP17+ET17-EZ17</f>
        <v>18</v>
      </c>
      <c r="FC17" s="82">
        <f t="shared" ref="FC17:FC40" si="145">FB17*E17</f>
        <v>1118880</v>
      </c>
      <c r="FD17" s="82"/>
      <c r="FE17" s="82"/>
      <c r="FF17" s="82">
        <f t="shared" ref="FF17:FF40" si="146">sum(FD17:FE17)</f>
        <v>0</v>
      </c>
      <c r="FG17" s="82">
        <f t="shared" ref="FG17:FG40" si="147">FF17*BW17</f>
        <v>0</v>
      </c>
      <c r="FH17" s="82"/>
      <c r="FI17" s="82"/>
      <c r="FJ17" s="82"/>
      <c r="FK17" s="82"/>
      <c r="FL17" s="82">
        <f t="shared" ref="FL17:FL40" si="148">sum(FH17:FK17)</f>
        <v>0</v>
      </c>
      <c r="FM17" s="82">
        <f t="shared" ref="FM17:FM40" si="149">FL17*BW17</f>
        <v>0</v>
      </c>
      <c r="FN17" s="82">
        <f t="shared" ref="FN17:FN40" si="150">FB17+FF17-FL17</f>
        <v>18</v>
      </c>
      <c r="FO17" s="82">
        <f t="shared" ref="FO17:FO40" si="151">FN17*E17</f>
        <v>1118880</v>
      </c>
      <c r="FP17" s="82"/>
      <c r="FQ17" s="82"/>
      <c r="FR17" s="82">
        <f t="shared" ref="FR17:FR40" si="152">sum(FP17:FQ17)</f>
        <v>0</v>
      </c>
      <c r="FS17" s="82">
        <f t="shared" ref="FS17:FS40" si="153">FR17*CI17</f>
        <v>0</v>
      </c>
      <c r="FT17" s="82"/>
      <c r="FU17" s="82"/>
      <c r="FV17" s="82"/>
      <c r="FW17" s="82"/>
      <c r="FX17" s="82">
        <f t="shared" ref="FX17:FX40" si="154">sum(FT17:FW17)</f>
        <v>0</v>
      </c>
      <c r="FY17" s="82">
        <f t="shared" ref="FY17:FY40" si="155">FX17*CI17</f>
        <v>0</v>
      </c>
      <c r="FZ17" s="82">
        <f t="shared" ref="FZ17:FZ40" si="156">FN17+FR17-FX17</f>
        <v>18</v>
      </c>
      <c r="GA17" s="82">
        <f t="shared" ref="GA17:GA40" si="157">FZ17*E17</f>
        <v>1118880</v>
      </c>
      <c r="GB17" s="82">
        <f t="shared" ref="GB17:GB40" si="158">ET17+FF17+FR17</f>
        <v>0</v>
      </c>
      <c r="GC17" s="82">
        <f t="shared" ref="GC17:GC40" si="159">EZ17+FL17+FX17</f>
        <v>0</v>
      </c>
      <c r="GD17" s="82">
        <f t="shared" ref="GD17:GD40" si="160">EP17+GB17-GC17</f>
        <v>18</v>
      </c>
      <c r="GE17" s="82">
        <f t="shared" ref="GE17:GE40" si="161">GD17*E17</f>
        <v>1118880</v>
      </c>
      <c r="GF17" s="85"/>
    </row>
    <row r="18" ht="29.25" customHeight="1">
      <c r="A18" s="76">
        <v>3.0</v>
      </c>
      <c r="B18" s="87"/>
      <c r="C18" s="77" t="s">
        <v>93</v>
      </c>
      <c r="D18" s="78" t="s">
        <v>84</v>
      </c>
      <c r="E18" s="79">
        <v>16500.0</v>
      </c>
      <c r="F18" s="80" t="s">
        <v>85</v>
      </c>
      <c r="G18" s="81">
        <v>5.0</v>
      </c>
      <c r="H18" s="82">
        <v>82500.0</v>
      </c>
      <c r="I18" s="82"/>
      <c r="J18" s="82"/>
      <c r="K18" s="82">
        <f t="shared" si="1"/>
        <v>0</v>
      </c>
      <c r="L18" s="82">
        <f t="shared" si="2"/>
        <v>0</v>
      </c>
      <c r="M18" s="83">
        <v>3.0</v>
      </c>
      <c r="N18" s="82"/>
      <c r="O18" s="82"/>
      <c r="P18" s="82"/>
      <c r="Q18" s="82"/>
      <c r="R18" s="82"/>
      <c r="S18" s="82"/>
      <c r="T18" s="82"/>
      <c r="U18" s="82"/>
      <c r="V18" s="83">
        <v>2.0</v>
      </c>
      <c r="W18" s="82"/>
      <c r="X18" s="82"/>
      <c r="Y18" s="82"/>
      <c r="Z18" s="83">
        <v>0.0</v>
      </c>
      <c r="AA18" s="82"/>
      <c r="AB18" s="82">
        <f t="shared" si="3"/>
        <v>5</v>
      </c>
      <c r="AC18" s="82">
        <f t="shared" si="4"/>
        <v>82500</v>
      </c>
      <c r="AD18" s="82">
        <f t="shared" si="89"/>
        <v>0</v>
      </c>
      <c r="AE18" s="82">
        <f t="shared" si="90"/>
        <v>0</v>
      </c>
      <c r="AF18" s="82"/>
      <c r="AG18" s="82"/>
      <c r="AH18" s="82">
        <f t="shared" si="91"/>
        <v>0</v>
      </c>
      <c r="AI18" s="82">
        <f t="shared" si="92"/>
        <v>0</v>
      </c>
      <c r="AJ18" s="82"/>
      <c r="AK18" s="82"/>
      <c r="AL18" s="82"/>
      <c r="AM18" s="82"/>
      <c r="AN18" s="82">
        <f t="shared" si="93"/>
        <v>0</v>
      </c>
      <c r="AO18" s="82">
        <f t="shared" si="94"/>
        <v>0</v>
      </c>
      <c r="AP18" s="82">
        <f t="shared" si="11"/>
        <v>0</v>
      </c>
      <c r="AQ18" s="82">
        <f t="shared" si="12"/>
        <v>0</v>
      </c>
      <c r="AR18" s="82"/>
      <c r="AS18" s="82"/>
      <c r="AT18" s="82"/>
      <c r="AU18" s="82">
        <f t="shared" si="95"/>
        <v>0</v>
      </c>
      <c r="AV18" s="82">
        <f t="shared" si="96"/>
        <v>0</v>
      </c>
      <c r="AW18" s="82"/>
      <c r="AX18" s="82"/>
      <c r="AY18" s="82"/>
      <c r="AZ18" s="82"/>
      <c r="BA18" s="82">
        <f t="shared" si="97"/>
        <v>0</v>
      </c>
      <c r="BB18" s="82">
        <f t="shared" si="98"/>
        <v>0</v>
      </c>
      <c r="BC18" s="82">
        <f t="shared" si="99"/>
        <v>0</v>
      </c>
      <c r="BD18" s="82">
        <f t="shared" si="100"/>
        <v>0</v>
      </c>
      <c r="BE18" s="82">
        <f t="shared" si="101"/>
        <v>0</v>
      </c>
      <c r="BF18" s="82">
        <f t="shared" si="102"/>
        <v>5</v>
      </c>
      <c r="BG18" s="82">
        <f t="shared" si="103"/>
        <v>0</v>
      </c>
      <c r="BH18" s="82">
        <f t="shared" si="104"/>
        <v>0</v>
      </c>
      <c r="BI18" s="82"/>
      <c r="BJ18" s="83"/>
      <c r="BK18" s="82">
        <f t="shared" si="105"/>
        <v>0</v>
      </c>
      <c r="BL18" s="82">
        <f t="shared" si="106"/>
        <v>0</v>
      </c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>
        <f t="shared" si="107"/>
        <v>0</v>
      </c>
      <c r="BX18" s="82">
        <f t="shared" si="108"/>
        <v>0</v>
      </c>
      <c r="BY18" s="82">
        <f t="shared" si="109"/>
        <v>0</v>
      </c>
      <c r="BZ18" s="82">
        <f t="shared" si="110"/>
        <v>0</v>
      </c>
      <c r="CA18" s="82"/>
      <c r="CB18" s="82"/>
      <c r="CC18" s="82">
        <f t="shared" si="111"/>
        <v>0</v>
      </c>
      <c r="CD18" s="82">
        <f t="shared" si="112"/>
        <v>0</v>
      </c>
      <c r="CE18" s="82"/>
      <c r="CF18" s="82"/>
      <c r="CG18" s="82"/>
      <c r="CH18" s="82"/>
      <c r="CI18" s="82">
        <f t="shared" si="113"/>
        <v>0</v>
      </c>
      <c r="CJ18" s="82">
        <f t="shared" si="114"/>
        <v>0</v>
      </c>
      <c r="CK18" s="82">
        <f t="shared" si="33"/>
        <v>0</v>
      </c>
      <c r="CL18" s="82">
        <f t="shared" si="34"/>
        <v>0</v>
      </c>
      <c r="CM18" s="82"/>
      <c r="CN18" s="82"/>
      <c r="CO18" s="82">
        <f t="shared" si="35"/>
        <v>0</v>
      </c>
      <c r="CP18" s="82">
        <f t="shared" si="36"/>
        <v>0</v>
      </c>
      <c r="CQ18" s="82"/>
      <c r="CR18" s="82"/>
      <c r="CS18" s="82"/>
      <c r="CT18" s="82"/>
      <c r="CU18" s="82">
        <f t="shared" si="115"/>
        <v>0</v>
      </c>
      <c r="CV18" s="82">
        <f t="shared" si="116"/>
        <v>0</v>
      </c>
      <c r="CW18" s="82">
        <f t="shared" si="39"/>
        <v>0</v>
      </c>
      <c r="CX18" s="82">
        <f t="shared" si="40"/>
        <v>0</v>
      </c>
      <c r="CY18" s="82">
        <f t="shared" si="41"/>
        <v>0</v>
      </c>
      <c r="CZ18" s="82">
        <f t="shared" si="117"/>
        <v>0</v>
      </c>
      <c r="DA18" s="82">
        <f t="shared" si="43"/>
        <v>0</v>
      </c>
      <c r="DB18" s="82">
        <f t="shared" si="44"/>
        <v>0</v>
      </c>
      <c r="DC18" s="84">
        <v>0.0</v>
      </c>
      <c r="DD18" s="82"/>
      <c r="DE18" s="82"/>
      <c r="DF18" s="82">
        <f t="shared" si="118"/>
        <v>0</v>
      </c>
      <c r="DG18" s="82">
        <f t="shared" si="119"/>
        <v>0</v>
      </c>
      <c r="DH18" s="82"/>
      <c r="DI18" s="82"/>
      <c r="DJ18" s="82"/>
      <c r="DK18" s="82"/>
      <c r="DL18" s="82">
        <f t="shared" si="120"/>
        <v>0</v>
      </c>
      <c r="DM18" s="82">
        <f t="shared" si="121"/>
        <v>0</v>
      </c>
      <c r="DN18" s="82">
        <f t="shared" si="122"/>
        <v>0</v>
      </c>
      <c r="DO18" s="82">
        <f t="shared" si="123"/>
        <v>0</v>
      </c>
      <c r="DP18" s="82"/>
      <c r="DQ18" s="82"/>
      <c r="DR18" s="82">
        <f t="shared" si="124"/>
        <v>0</v>
      </c>
      <c r="DS18" s="82">
        <f t="shared" si="125"/>
        <v>0</v>
      </c>
      <c r="DT18" s="82"/>
      <c r="DU18" s="82"/>
      <c r="DV18" s="82"/>
      <c r="DW18" s="82"/>
      <c r="DX18" s="82">
        <f t="shared" si="126"/>
        <v>0</v>
      </c>
      <c r="DY18" s="82">
        <f t="shared" si="127"/>
        <v>0</v>
      </c>
      <c r="DZ18" s="82">
        <f t="shared" si="128"/>
        <v>0</v>
      </c>
      <c r="EA18" s="82">
        <f t="shared" si="129"/>
        <v>0</v>
      </c>
      <c r="EB18" s="82"/>
      <c r="EC18" s="82"/>
      <c r="ED18" s="82">
        <f t="shared" si="130"/>
        <v>0</v>
      </c>
      <c r="EE18" s="82">
        <f t="shared" si="131"/>
        <v>0</v>
      </c>
      <c r="EF18" s="82"/>
      <c r="EG18" s="82"/>
      <c r="EH18" s="82"/>
      <c r="EI18" s="82"/>
      <c r="EJ18" s="82">
        <f t="shared" si="132"/>
        <v>0</v>
      </c>
      <c r="EK18" s="82">
        <f t="shared" si="133"/>
        <v>0</v>
      </c>
      <c r="EL18" s="82">
        <f t="shared" si="134"/>
        <v>0</v>
      </c>
      <c r="EM18" s="82">
        <f t="shared" si="135"/>
        <v>0</v>
      </c>
      <c r="EN18" s="82">
        <f t="shared" si="136"/>
        <v>0</v>
      </c>
      <c r="EO18" s="82">
        <f t="shared" si="137"/>
        <v>0</v>
      </c>
      <c r="EP18" s="82">
        <f t="shared" si="138"/>
        <v>0</v>
      </c>
      <c r="EQ18" s="82">
        <f t="shared" si="139"/>
        <v>0</v>
      </c>
      <c r="ER18" s="82"/>
      <c r="ES18" s="82"/>
      <c r="ET18" s="82">
        <f t="shared" si="140"/>
        <v>0</v>
      </c>
      <c r="EU18" s="82">
        <f t="shared" si="141"/>
        <v>0</v>
      </c>
      <c r="EV18" s="82"/>
      <c r="EW18" s="82"/>
      <c r="EX18" s="82"/>
      <c r="EY18" s="82"/>
      <c r="EZ18" s="82">
        <f t="shared" si="142"/>
        <v>0</v>
      </c>
      <c r="FA18" s="82">
        <f t="shared" si="143"/>
        <v>0</v>
      </c>
      <c r="FB18" s="82">
        <f t="shared" si="144"/>
        <v>0</v>
      </c>
      <c r="FC18" s="82">
        <f t="shared" si="145"/>
        <v>0</v>
      </c>
      <c r="FD18" s="82"/>
      <c r="FE18" s="82"/>
      <c r="FF18" s="82">
        <f t="shared" si="146"/>
        <v>0</v>
      </c>
      <c r="FG18" s="82">
        <f t="shared" si="147"/>
        <v>0</v>
      </c>
      <c r="FH18" s="82"/>
      <c r="FI18" s="82"/>
      <c r="FJ18" s="82"/>
      <c r="FK18" s="82"/>
      <c r="FL18" s="82">
        <f t="shared" si="148"/>
        <v>0</v>
      </c>
      <c r="FM18" s="82">
        <f t="shared" si="149"/>
        <v>0</v>
      </c>
      <c r="FN18" s="82">
        <f t="shared" si="150"/>
        <v>0</v>
      </c>
      <c r="FO18" s="82">
        <f t="shared" si="151"/>
        <v>0</v>
      </c>
      <c r="FP18" s="82"/>
      <c r="FQ18" s="82"/>
      <c r="FR18" s="82">
        <f t="shared" si="152"/>
        <v>0</v>
      </c>
      <c r="FS18" s="82">
        <f t="shared" si="153"/>
        <v>0</v>
      </c>
      <c r="FT18" s="82"/>
      <c r="FU18" s="82"/>
      <c r="FV18" s="82"/>
      <c r="FW18" s="82"/>
      <c r="FX18" s="82">
        <f t="shared" si="154"/>
        <v>0</v>
      </c>
      <c r="FY18" s="82">
        <f t="shared" si="155"/>
        <v>0</v>
      </c>
      <c r="FZ18" s="82">
        <f t="shared" si="156"/>
        <v>0</v>
      </c>
      <c r="GA18" s="82">
        <f t="shared" si="157"/>
        <v>0</v>
      </c>
      <c r="GB18" s="82">
        <f t="shared" si="158"/>
        <v>0</v>
      </c>
      <c r="GC18" s="82">
        <f t="shared" si="159"/>
        <v>0</v>
      </c>
      <c r="GD18" s="82">
        <f t="shared" si="160"/>
        <v>0</v>
      </c>
      <c r="GE18" s="82">
        <f t="shared" si="161"/>
        <v>0</v>
      </c>
      <c r="GF18" s="85"/>
    </row>
    <row r="19" ht="29.25" customHeight="1">
      <c r="A19" s="16"/>
      <c r="B19" s="16"/>
      <c r="C19" s="77" t="s">
        <v>93</v>
      </c>
      <c r="D19" s="78" t="s">
        <v>84</v>
      </c>
      <c r="E19" s="86">
        <v>16872.0</v>
      </c>
      <c r="F19" s="80" t="s">
        <v>94</v>
      </c>
      <c r="G19" s="93">
        <v>85.0</v>
      </c>
      <c r="H19" s="94">
        <v>1434120.0</v>
      </c>
      <c r="I19" s="82"/>
      <c r="J19" s="82"/>
      <c r="K19" s="82">
        <f t="shared" si="1"/>
        <v>0</v>
      </c>
      <c r="L19" s="82">
        <f t="shared" si="2"/>
        <v>0</v>
      </c>
      <c r="M19" s="82"/>
      <c r="N19" s="83">
        <v>5.0</v>
      </c>
      <c r="O19" s="82"/>
      <c r="P19" s="82"/>
      <c r="Q19" s="82"/>
      <c r="R19" s="82"/>
      <c r="S19" s="82"/>
      <c r="T19" s="82"/>
      <c r="U19" s="82"/>
      <c r="V19" s="83">
        <v>1.0</v>
      </c>
      <c r="W19" s="82"/>
      <c r="X19" s="82"/>
      <c r="Y19" s="82"/>
      <c r="Z19" s="83">
        <v>3.0</v>
      </c>
      <c r="AA19" s="82"/>
      <c r="AB19" s="82">
        <f t="shared" si="3"/>
        <v>9</v>
      </c>
      <c r="AC19" s="82">
        <f t="shared" si="4"/>
        <v>151848</v>
      </c>
      <c r="AD19" s="82">
        <f t="shared" si="89"/>
        <v>76</v>
      </c>
      <c r="AE19" s="82">
        <f t="shared" si="90"/>
        <v>1282272</v>
      </c>
      <c r="AF19" s="82"/>
      <c r="AG19" s="82"/>
      <c r="AH19" s="82">
        <f t="shared" si="91"/>
        <v>0</v>
      </c>
      <c r="AI19" s="82">
        <f t="shared" si="92"/>
        <v>0</v>
      </c>
      <c r="AJ19" s="82"/>
      <c r="AK19" s="82"/>
      <c r="AL19" s="82"/>
      <c r="AM19" s="82"/>
      <c r="AN19" s="82">
        <f t="shared" si="93"/>
        <v>0</v>
      </c>
      <c r="AO19" s="82">
        <f t="shared" si="94"/>
        <v>0</v>
      </c>
      <c r="AP19" s="82">
        <f t="shared" si="11"/>
        <v>76</v>
      </c>
      <c r="AQ19" s="82">
        <f t="shared" si="12"/>
        <v>1282272</v>
      </c>
      <c r="AR19" s="82"/>
      <c r="AS19" s="82"/>
      <c r="AT19" s="82"/>
      <c r="AU19" s="82">
        <f t="shared" si="95"/>
        <v>0</v>
      </c>
      <c r="AV19" s="82">
        <f t="shared" si="96"/>
        <v>0</v>
      </c>
      <c r="AW19" s="82"/>
      <c r="AX19" s="82"/>
      <c r="AY19" s="82"/>
      <c r="AZ19" s="82"/>
      <c r="BA19" s="82">
        <f t="shared" si="97"/>
        <v>0</v>
      </c>
      <c r="BB19" s="82">
        <f t="shared" si="98"/>
        <v>0</v>
      </c>
      <c r="BC19" s="82">
        <f t="shared" si="99"/>
        <v>76</v>
      </c>
      <c r="BD19" s="82">
        <f t="shared" si="100"/>
        <v>1282272</v>
      </c>
      <c r="BE19" s="82">
        <f t="shared" si="101"/>
        <v>0</v>
      </c>
      <c r="BF19" s="82">
        <f t="shared" si="102"/>
        <v>9</v>
      </c>
      <c r="BG19" s="82">
        <f t="shared" si="103"/>
        <v>76</v>
      </c>
      <c r="BH19" s="82">
        <f t="shared" si="104"/>
        <v>1282272</v>
      </c>
      <c r="BI19" s="82"/>
      <c r="BJ19" s="83"/>
      <c r="BK19" s="82">
        <f t="shared" si="105"/>
        <v>0</v>
      </c>
      <c r="BL19" s="82">
        <f t="shared" si="106"/>
        <v>0</v>
      </c>
      <c r="BM19" s="82"/>
      <c r="BN19" s="83">
        <v>5.0</v>
      </c>
      <c r="BO19" s="83">
        <v>2.0</v>
      </c>
      <c r="BP19" s="82"/>
      <c r="BQ19" s="83">
        <v>2.0</v>
      </c>
      <c r="BR19" s="82"/>
      <c r="BS19" s="83">
        <v>20.0</v>
      </c>
      <c r="BT19" s="83"/>
      <c r="BU19" s="83"/>
      <c r="BV19" s="83">
        <v>3.0</v>
      </c>
      <c r="BW19" s="82">
        <f t="shared" si="107"/>
        <v>32</v>
      </c>
      <c r="BX19" s="82">
        <f t="shared" si="108"/>
        <v>539904</v>
      </c>
      <c r="BY19" s="82">
        <f t="shared" si="109"/>
        <v>44</v>
      </c>
      <c r="BZ19" s="82">
        <f t="shared" si="110"/>
        <v>742368</v>
      </c>
      <c r="CA19" s="82"/>
      <c r="CB19" s="82"/>
      <c r="CC19" s="82">
        <f t="shared" si="111"/>
        <v>0</v>
      </c>
      <c r="CD19" s="82">
        <f t="shared" si="112"/>
        <v>0</v>
      </c>
      <c r="CE19" s="82"/>
      <c r="CF19" s="82"/>
      <c r="CG19" s="82"/>
      <c r="CH19" s="82"/>
      <c r="CI19" s="82">
        <f t="shared" si="113"/>
        <v>0</v>
      </c>
      <c r="CJ19" s="82">
        <f t="shared" si="114"/>
        <v>0</v>
      </c>
      <c r="CK19" s="82">
        <f t="shared" si="33"/>
        <v>44</v>
      </c>
      <c r="CL19" s="82">
        <f t="shared" si="34"/>
        <v>742368</v>
      </c>
      <c r="CM19" s="82"/>
      <c r="CN19" s="82"/>
      <c r="CO19" s="82">
        <f t="shared" si="35"/>
        <v>0</v>
      </c>
      <c r="CP19" s="82">
        <f t="shared" si="36"/>
        <v>0</v>
      </c>
      <c r="CQ19" s="82"/>
      <c r="CR19" s="82"/>
      <c r="CS19" s="82"/>
      <c r="CT19" s="82"/>
      <c r="CU19" s="82">
        <f t="shared" si="115"/>
        <v>0</v>
      </c>
      <c r="CV19" s="82">
        <f t="shared" si="116"/>
        <v>0</v>
      </c>
      <c r="CW19" s="82">
        <f t="shared" si="39"/>
        <v>44</v>
      </c>
      <c r="CX19" s="82">
        <f t="shared" si="40"/>
        <v>742368</v>
      </c>
      <c r="CY19" s="82">
        <f t="shared" si="41"/>
        <v>0</v>
      </c>
      <c r="CZ19" s="82">
        <f t="shared" si="117"/>
        <v>32</v>
      </c>
      <c r="DA19" s="82">
        <f t="shared" si="43"/>
        <v>44</v>
      </c>
      <c r="DB19" s="82">
        <f t="shared" si="44"/>
        <v>742368</v>
      </c>
      <c r="DC19" s="84">
        <v>42.0</v>
      </c>
      <c r="DD19" s="82"/>
      <c r="DE19" s="82"/>
      <c r="DF19" s="82">
        <f t="shared" si="118"/>
        <v>0</v>
      </c>
      <c r="DG19" s="82">
        <f t="shared" si="119"/>
        <v>0</v>
      </c>
      <c r="DH19" s="82"/>
      <c r="DI19" s="82"/>
      <c r="DJ19" s="82"/>
      <c r="DK19" s="82"/>
      <c r="DL19" s="82">
        <f t="shared" si="120"/>
        <v>0</v>
      </c>
      <c r="DM19" s="82">
        <f t="shared" si="121"/>
        <v>0</v>
      </c>
      <c r="DN19" s="82">
        <f t="shared" si="122"/>
        <v>44</v>
      </c>
      <c r="DO19" s="82">
        <f t="shared" si="123"/>
        <v>742368</v>
      </c>
      <c r="DP19" s="82"/>
      <c r="DQ19" s="82"/>
      <c r="DR19" s="82">
        <f t="shared" si="124"/>
        <v>0</v>
      </c>
      <c r="DS19" s="82">
        <f t="shared" si="125"/>
        <v>0</v>
      </c>
      <c r="DT19" s="82"/>
      <c r="DU19" s="82"/>
      <c r="DV19" s="82"/>
      <c r="DW19" s="82"/>
      <c r="DX19" s="82">
        <f t="shared" si="126"/>
        <v>0</v>
      </c>
      <c r="DY19" s="82">
        <f t="shared" si="127"/>
        <v>0</v>
      </c>
      <c r="DZ19" s="82">
        <f t="shared" si="128"/>
        <v>44</v>
      </c>
      <c r="EA19" s="82">
        <f t="shared" si="129"/>
        <v>742368</v>
      </c>
      <c r="EB19" s="82"/>
      <c r="EC19" s="82"/>
      <c r="ED19" s="82">
        <f t="shared" si="130"/>
        <v>0</v>
      </c>
      <c r="EE19" s="82">
        <f t="shared" si="131"/>
        <v>0</v>
      </c>
      <c r="EF19" s="82"/>
      <c r="EG19" s="82"/>
      <c r="EH19" s="82"/>
      <c r="EI19" s="82"/>
      <c r="EJ19" s="82">
        <f t="shared" si="132"/>
        <v>0</v>
      </c>
      <c r="EK19" s="82">
        <f t="shared" si="133"/>
        <v>0</v>
      </c>
      <c r="EL19" s="82">
        <f t="shared" si="134"/>
        <v>44</v>
      </c>
      <c r="EM19" s="82">
        <f t="shared" si="135"/>
        <v>742368</v>
      </c>
      <c r="EN19" s="82">
        <f t="shared" si="136"/>
        <v>0</v>
      </c>
      <c r="EO19" s="82">
        <f t="shared" si="137"/>
        <v>0</v>
      </c>
      <c r="EP19" s="82">
        <f t="shared" si="138"/>
        <v>44</v>
      </c>
      <c r="EQ19" s="82">
        <f t="shared" si="139"/>
        <v>742368</v>
      </c>
      <c r="ER19" s="82"/>
      <c r="ES19" s="82"/>
      <c r="ET19" s="82">
        <f t="shared" si="140"/>
        <v>0</v>
      </c>
      <c r="EU19" s="82">
        <f t="shared" si="141"/>
        <v>0</v>
      </c>
      <c r="EV19" s="82"/>
      <c r="EW19" s="82"/>
      <c r="EX19" s="82"/>
      <c r="EY19" s="82"/>
      <c r="EZ19" s="82">
        <f t="shared" si="142"/>
        <v>0</v>
      </c>
      <c r="FA19" s="82">
        <f t="shared" si="143"/>
        <v>0</v>
      </c>
      <c r="FB19" s="82">
        <f t="shared" si="144"/>
        <v>44</v>
      </c>
      <c r="FC19" s="82">
        <f t="shared" si="145"/>
        <v>742368</v>
      </c>
      <c r="FD19" s="82"/>
      <c r="FE19" s="82"/>
      <c r="FF19" s="82">
        <f t="shared" si="146"/>
        <v>0</v>
      </c>
      <c r="FG19" s="82">
        <f t="shared" si="147"/>
        <v>0</v>
      </c>
      <c r="FH19" s="82"/>
      <c r="FI19" s="82"/>
      <c r="FJ19" s="82"/>
      <c r="FK19" s="82"/>
      <c r="FL19" s="82">
        <f t="shared" si="148"/>
        <v>0</v>
      </c>
      <c r="FM19" s="82">
        <f t="shared" si="149"/>
        <v>0</v>
      </c>
      <c r="FN19" s="82">
        <f t="shared" si="150"/>
        <v>44</v>
      </c>
      <c r="FO19" s="82">
        <f t="shared" si="151"/>
        <v>742368</v>
      </c>
      <c r="FP19" s="82"/>
      <c r="FQ19" s="82"/>
      <c r="FR19" s="82">
        <f t="shared" si="152"/>
        <v>0</v>
      </c>
      <c r="FS19" s="82">
        <f t="shared" si="153"/>
        <v>0</v>
      </c>
      <c r="FT19" s="82"/>
      <c r="FU19" s="82"/>
      <c r="FV19" s="82"/>
      <c r="FW19" s="82"/>
      <c r="FX19" s="82">
        <f t="shared" si="154"/>
        <v>0</v>
      </c>
      <c r="FY19" s="82">
        <f t="shared" si="155"/>
        <v>0</v>
      </c>
      <c r="FZ19" s="82">
        <f t="shared" si="156"/>
        <v>44</v>
      </c>
      <c r="GA19" s="82">
        <f t="shared" si="157"/>
        <v>742368</v>
      </c>
      <c r="GB19" s="82">
        <f t="shared" si="158"/>
        <v>0</v>
      </c>
      <c r="GC19" s="82">
        <f t="shared" si="159"/>
        <v>0</v>
      </c>
      <c r="GD19" s="82">
        <f t="shared" si="160"/>
        <v>44</v>
      </c>
      <c r="GE19" s="82">
        <f t="shared" si="161"/>
        <v>742368</v>
      </c>
      <c r="GF19" s="95"/>
    </row>
    <row r="20" ht="29.25" customHeight="1">
      <c r="A20" s="76">
        <v>4.0</v>
      </c>
      <c r="B20" s="87"/>
      <c r="C20" s="77" t="s">
        <v>95</v>
      </c>
      <c r="D20" s="78" t="s">
        <v>96</v>
      </c>
      <c r="E20" s="79">
        <v>33300.0</v>
      </c>
      <c r="F20" s="61" t="s">
        <v>97</v>
      </c>
      <c r="G20" s="81">
        <v>8.0</v>
      </c>
      <c r="H20" s="82">
        <v>266400.0</v>
      </c>
      <c r="I20" s="82"/>
      <c r="J20" s="82"/>
      <c r="K20" s="82">
        <f t="shared" si="1"/>
        <v>0</v>
      </c>
      <c r="L20" s="82">
        <f t="shared" si="2"/>
        <v>0</v>
      </c>
      <c r="M20" s="82"/>
      <c r="N20" s="82"/>
      <c r="O20" s="82"/>
      <c r="P20" s="82"/>
      <c r="Q20" s="82"/>
      <c r="R20" s="82"/>
      <c r="S20" s="82"/>
      <c r="T20" s="82"/>
      <c r="U20" s="83">
        <v>3.0</v>
      </c>
      <c r="V20" s="82"/>
      <c r="W20" s="82"/>
      <c r="X20" s="83">
        <v>2.0</v>
      </c>
      <c r="Y20" s="83"/>
      <c r="Z20" s="82"/>
      <c r="AA20" s="82"/>
      <c r="AB20" s="82">
        <f t="shared" si="3"/>
        <v>5</v>
      </c>
      <c r="AC20" s="82">
        <f t="shared" si="4"/>
        <v>166500</v>
      </c>
      <c r="AD20" s="82">
        <f t="shared" si="89"/>
        <v>3</v>
      </c>
      <c r="AE20" s="82">
        <f t="shared" si="90"/>
        <v>99900</v>
      </c>
      <c r="AF20" s="82"/>
      <c r="AG20" s="82"/>
      <c r="AH20" s="82">
        <f t="shared" si="91"/>
        <v>0</v>
      </c>
      <c r="AI20" s="82">
        <f t="shared" si="92"/>
        <v>0</v>
      </c>
      <c r="AJ20" s="82"/>
      <c r="AK20" s="82"/>
      <c r="AL20" s="82"/>
      <c r="AM20" s="82"/>
      <c r="AN20" s="82">
        <f t="shared" si="93"/>
        <v>0</v>
      </c>
      <c r="AO20" s="82">
        <f t="shared" si="94"/>
        <v>0</v>
      </c>
      <c r="AP20" s="82">
        <f t="shared" si="11"/>
        <v>3</v>
      </c>
      <c r="AQ20" s="82">
        <f t="shared" si="12"/>
        <v>99900</v>
      </c>
      <c r="AR20" s="82"/>
      <c r="AS20" s="82"/>
      <c r="AT20" s="82"/>
      <c r="AU20" s="82">
        <f t="shared" si="95"/>
        <v>0</v>
      </c>
      <c r="AV20" s="82">
        <f t="shared" si="96"/>
        <v>0</v>
      </c>
      <c r="AW20" s="82"/>
      <c r="AX20" s="82"/>
      <c r="AY20" s="82"/>
      <c r="AZ20" s="82"/>
      <c r="BA20" s="82">
        <f t="shared" si="97"/>
        <v>0</v>
      </c>
      <c r="BB20" s="82">
        <f t="shared" si="98"/>
        <v>0</v>
      </c>
      <c r="BC20" s="82">
        <f t="shared" si="99"/>
        <v>3</v>
      </c>
      <c r="BD20" s="82">
        <f t="shared" si="100"/>
        <v>99900</v>
      </c>
      <c r="BE20" s="82">
        <f t="shared" si="101"/>
        <v>0</v>
      </c>
      <c r="BF20" s="82">
        <f t="shared" si="102"/>
        <v>5</v>
      </c>
      <c r="BG20" s="82">
        <f t="shared" si="103"/>
        <v>3</v>
      </c>
      <c r="BH20" s="82">
        <f t="shared" si="104"/>
        <v>99900</v>
      </c>
      <c r="BI20" s="82"/>
      <c r="BJ20" s="83"/>
      <c r="BK20" s="82">
        <f t="shared" si="105"/>
        <v>0</v>
      </c>
      <c r="BL20" s="82">
        <f t="shared" si="106"/>
        <v>0</v>
      </c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>
        <f t="shared" si="107"/>
        <v>0</v>
      </c>
      <c r="BX20" s="82">
        <f t="shared" si="108"/>
        <v>0</v>
      </c>
      <c r="BY20" s="82">
        <f t="shared" si="109"/>
        <v>3</v>
      </c>
      <c r="BZ20" s="82">
        <f t="shared" si="110"/>
        <v>99900</v>
      </c>
      <c r="CA20" s="82"/>
      <c r="CB20" s="82"/>
      <c r="CC20" s="82">
        <f t="shared" si="111"/>
        <v>0</v>
      </c>
      <c r="CD20" s="82">
        <f t="shared" si="112"/>
        <v>0</v>
      </c>
      <c r="CE20" s="82"/>
      <c r="CF20" s="82"/>
      <c r="CG20" s="82"/>
      <c r="CH20" s="82"/>
      <c r="CI20" s="82">
        <f t="shared" si="113"/>
        <v>0</v>
      </c>
      <c r="CJ20" s="82">
        <f t="shared" si="114"/>
        <v>0</v>
      </c>
      <c r="CK20" s="82">
        <f t="shared" si="33"/>
        <v>3</v>
      </c>
      <c r="CL20" s="82">
        <f t="shared" si="34"/>
        <v>99900</v>
      </c>
      <c r="CM20" s="82"/>
      <c r="CN20" s="82"/>
      <c r="CO20" s="82">
        <f t="shared" si="35"/>
        <v>0</v>
      </c>
      <c r="CP20" s="82">
        <f t="shared" si="36"/>
        <v>0</v>
      </c>
      <c r="CQ20" s="82"/>
      <c r="CR20" s="82"/>
      <c r="CS20" s="82"/>
      <c r="CT20" s="82"/>
      <c r="CU20" s="82">
        <f t="shared" si="115"/>
        <v>0</v>
      </c>
      <c r="CV20" s="82">
        <f t="shared" si="116"/>
        <v>0</v>
      </c>
      <c r="CW20" s="82">
        <f t="shared" si="39"/>
        <v>3</v>
      </c>
      <c r="CX20" s="82">
        <f t="shared" si="40"/>
        <v>99900</v>
      </c>
      <c r="CY20" s="82">
        <f t="shared" si="41"/>
        <v>0</v>
      </c>
      <c r="CZ20" s="82">
        <f t="shared" si="117"/>
        <v>0</v>
      </c>
      <c r="DA20" s="82">
        <f t="shared" si="43"/>
        <v>3</v>
      </c>
      <c r="DB20" s="82">
        <f t="shared" si="44"/>
        <v>99900</v>
      </c>
      <c r="DC20" s="84">
        <v>28.0</v>
      </c>
      <c r="DD20" s="82"/>
      <c r="DE20" s="82"/>
      <c r="DF20" s="82">
        <f t="shared" si="118"/>
        <v>0</v>
      </c>
      <c r="DG20" s="82">
        <f t="shared" si="119"/>
        <v>0</v>
      </c>
      <c r="DH20" s="82"/>
      <c r="DI20" s="82"/>
      <c r="DJ20" s="82"/>
      <c r="DK20" s="82"/>
      <c r="DL20" s="82">
        <f t="shared" si="120"/>
        <v>0</v>
      </c>
      <c r="DM20" s="82">
        <f t="shared" si="121"/>
        <v>0</v>
      </c>
      <c r="DN20" s="82">
        <f t="shared" si="122"/>
        <v>3</v>
      </c>
      <c r="DO20" s="82">
        <f t="shared" si="123"/>
        <v>99900</v>
      </c>
      <c r="DP20" s="82"/>
      <c r="DQ20" s="82"/>
      <c r="DR20" s="82">
        <f t="shared" si="124"/>
        <v>0</v>
      </c>
      <c r="DS20" s="82">
        <f t="shared" si="125"/>
        <v>0</v>
      </c>
      <c r="DT20" s="82"/>
      <c r="DU20" s="82"/>
      <c r="DV20" s="82"/>
      <c r="DW20" s="82"/>
      <c r="DX20" s="82">
        <f t="shared" si="126"/>
        <v>0</v>
      </c>
      <c r="DY20" s="82">
        <f t="shared" si="127"/>
        <v>0</v>
      </c>
      <c r="DZ20" s="82">
        <f t="shared" si="128"/>
        <v>3</v>
      </c>
      <c r="EA20" s="82">
        <f t="shared" si="129"/>
        <v>99900</v>
      </c>
      <c r="EB20" s="82"/>
      <c r="EC20" s="82"/>
      <c r="ED20" s="82">
        <f t="shared" si="130"/>
        <v>0</v>
      </c>
      <c r="EE20" s="82">
        <f t="shared" si="131"/>
        <v>0</v>
      </c>
      <c r="EF20" s="82"/>
      <c r="EG20" s="82"/>
      <c r="EH20" s="82"/>
      <c r="EI20" s="82"/>
      <c r="EJ20" s="82">
        <f t="shared" si="132"/>
        <v>0</v>
      </c>
      <c r="EK20" s="82">
        <f t="shared" si="133"/>
        <v>0</v>
      </c>
      <c r="EL20" s="82">
        <f t="shared" si="134"/>
        <v>3</v>
      </c>
      <c r="EM20" s="82">
        <f t="shared" si="135"/>
        <v>99900</v>
      </c>
      <c r="EN20" s="82">
        <f t="shared" si="136"/>
        <v>0</v>
      </c>
      <c r="EO20" s="82">
        <f t="shared" si="137"/>
        <v>0</v>
      </c>
      <c r="EP20" s="82">
        <f t="shared" si="138"/>
        <v>3</v>
      </c>
      <c r="EQ20" s="82">
        <f t="shared" si="139"/>
        <v>99900</v>
      </c>
      <c r="ER20" s="82"/>
      <c r="ES20" s="82"/>
      <c r="ET20" s="82">
        <f t="shared" si="140"/>
        <v>0</v>
      </c>
      <c r="EU20" s="82">
        <f t="shared" si="141"/>
        <v>0</v>
      </c>
      <c r="EV20" s="82"/>
      <c r="EW20" s="82"/>
      <c r="EX20" s="82"/>
      <c r="EY20" s="82"/>
      <c r="EZ20" s="82">
        <f t="shared" si="142"/>
        <v>0</v>
      </c>
      <c r="FA20" s="82">
        <f t="shared" si="143"/>
        <v>0</v>
      </c>
      <c r="FB20" s="82">
        <f t="shared" si="144"/>
        <v>3</v>
      </c>
      <c r="FC20" s="82">
        <f t="shared" si="145"/>
        <v>99900</v>
      </c>
      <c r="FD20" s="82"/>
      <c r="FE20" s="82"/>
      <c r="FF20" s="82">
        <f t="shared" si="146"/>
        <v>0</v>
      </c>
      <c r="FG20" s="82">
        <f t="shared" si="147"/>
        <v>0</v>
      </c>
      <c r="FH20" s="82"/>
      <c r="FI20" s="82"/>
      <c r="FJ20" s="82"/>
      <c r="FK20" s="82"/>
      <c r="FL20" s="82">
        <f t="shared" si="148"/>
        <v>0</v>
      </c>
      <c r="FM20" s="82">
        <f t="shared" si="149"/>
        <v>0</v>
      </c>
      <c r="FN20" s="82">
        <f t="shared" si="150"/>
        <v>3</v>
      </c>
      <c r="FO20" s="82">
        <f t="shared" si="151"/>
        <v>99900</v>
      </c>
      <c r="FP20" s="82"/>
      <c r="FQ20" s="82"/>
      <c r="FR20" s="82">
        <f t="shared" si="152"/>
        <v>0</v>
      </c>
      <c r="FS20" s="82">
        <f t="shared" si="153"/>
        <v>0</v>
      </c>
      <c r="FT20" s="82"/>
      <c r="FU20" s="82"/>
      <c r="FV20" s="82"/>
      <c r="FW20" s="82"/>
      <c r="FX20" s="82">
        <f t="shared" si="154"/>
        <v>0</v>
      </c>
      <c r="FY20" s="82">
        <f t="shared" si="155"/>
        <v>0</v>
      </c>
      <c r="FZ20" s="82">
        <f t="shared" si="156"/>
        <v>3</v>
      </c>
      <c r="GA20" s="82">
        <f t="shared" si="157"/>
        <v>99900</v>
      </c>
      <c r="GB20" s="82">
        <f t="shared" si="158"/>
        <v>0</v>
      </c>
      <c r="GC20" s="82">
        <f t="shared" si="159"/>
        <v>0</v>
      </c>
      <c r="GD20" s="82">
        <f t="shared" si="160"/>
        <v>3</v>
      </c>
      <c r="GE20" s="82">
        <f t="shared" si="161"/>
        <v>99900</v>
      </c>
      <c r="GF20" s="85"/>
    </row>
    <row r="21" ht="29.25" customHeight="1">
      <c r="A21" s="50"/>
      <c r="B21" s="50"/>
      <c r="C21" s="50"/>
      <c r="D21" s="78" t="s">
        <v>96</v>
      </c>
      <c r="E21" s="79">
        <v>39960.0</v>
      </c>
      <c r="F21" s="80" t="s">
        <v>94</v>
      </c>
      <c r="G21" s="93">
        <v>34.0</v>
      </c>
      <c r="H21" s="94">
        <v>1358640.0</v>
      </c>
      <c r="I21" s="82"/>
      <c r="J21" s="82"/>
      <c r="K21" s="82">
        <f t="shared" si="1"/>
        <v>0</v>
      </c>
      <c r="L21" s="82">
        <f t="shared" si="2"/>
        <v>0</v>
      </c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>
        <f t="shared" si="3"/>
        <v>0</v>
      </c>
      <c r="AC21" s="82">
        <f t="shared" si="4"/>
        <v>0</v>
      </c>
      <c r="AD21" s="82">
        <f t="shared" si="89"/>
        <v>34</v>
      </c>
      <c r="AE21" s="82">
        <f t="shared" si="90"/>
        <v>1358640</v>
      </c>
      <c r="AF21" s="82"/>
      <c r="AG21" s="82"/>
      <c r="AH21" s="82">
        <f t="shared" si="91"/>
        <v>0</v>
      </c>
      <c r="AI21" s="82">
        <f t="shared" si="92"/>
        <v>0</v>
      </c>
      <c r="AJ21" s="82"/>
      <c r="AK21" s="82"/>
      <c r="AL21" s="82"/>
      <c r="AM21" s="82"/>
      <c r="AN21" s="82">
        <f t="shared" si="93"/>
        <v>0</v>
      </c>
      <c r="AO21" s="82">
        <f t="shared" si="94"/>
        <v>0</v>
      </c>
      <c r="AP21" s="82">
        <f t="shared" si="11"/>
        <v>34</v>
      </c>
      <c r="AQ21" s="82">
        <f t="shared" si="12"/>
        <v>1358640</v>
      </c>
      <c r="AR21" s="82"/>
      <c r="AS21" s="82"/>
      <c r="AT21" s="82"/>
      <c r="AU21" s="82">
        <f t="shared" si="95"/>
        <v>0</v>
      </c>
      <c r="AV21" s="82">
        <f t="shared" si="96"/>
        <v>0</v>
      </c>
      <c r="AW21" s="82"/>
      <c r="AX21" s="82"/>
      <c r="AY21" s="82"/>
      <c r="AZ21" s="82"/>
      <c r="BA21" s="82">
        <f t="shared" si="97"/>
        <v>0</v>
      </c>
      <c r="BB21" s="82">
        <f t="shared" si="98"/>
        <v>0</v>
      </c>
      <c r="BC21" s="82">
        <f t="shared" si="99"/>
        <v>34</v>
      </c>
      <c r="BD21" s="82">
        <f t="shared" si="100"/>
        <v>1358640</v>
      </c>
      <c r="BE21" s="82">
        <f t="shared" si="101"/>
        <v>0</v>
      </c>
      <c r="BF21" s="82">
        <f t="shared" si="102"/>
        <v>0</v>
      </c>
      <c r="BG21" s="82">
        <f t="shared" si="103"/>
        <v>34</v>
      </c>
      <c r="BH21" s="82">
        <f t="shared" si="104"/>
        <v>1358640</v>
      </c>
      <c r="BI21" s="82"/>
      <c r="BJ21" s="83"/>
      <c r="BK21" s="82">
        <f t="shared" si="105"/>
        <v>0</v>
      </c>
      <c r="BL21" s="82">
        <f t="shared" si="106"/>
        <v>0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>
        <f t="shared" si="107"/>
        <v>0</v>
      </c>
      <c r="BX21" s="82">
        <f t="shared" si="108"/>
        <v>0</v>
      </c>
      <c r="BY21" s="82">
        <f t="shared" si="109"/>
        <v>34</v>
      </c>
      <c r="BZ21" s="82">
        <f t="shared" si="110"/>
        <v>1358640</v>
      </c>
      <c r="CA21" s="82"/>
      <c r="CB21" s="82"/>
      <c r="CC21" s="82">
        <f t="shared" si="111"/>
        <v>0</v>
      </c>
      <c r="CD21" s="82">
        <f t="shared" si="112"/>
        <v>0</v>
      </c>
      <c r="CE21" s="82"/>
      <c r="CF21" s="82"/>
      <c r="CG21" s="82"/>
      <c r="CH21" s="82"/>
      <c r="CI21" s="82">
        <f t="shared" si="113"/>
        <v>0</v>
      </c>
      <c r="CJ21" s="82">
        <f t="shared" si="114"/>
        <v>0</v>
      </c>
      <c r="CK21" s="82">
        <f t="shared" si="33"/>
        <v>34</v>
      </c>
      <c r="CL21" s="82">
        <f t="shared" si="34"/>
        <v>1358640</v>
      </c>
      <c r="CM21" s="82"/>
      <c r="CN21" s="82"/>
      <c r="CO21" s="82">
        <f t="shared" si="35"/>
        <v>0</v>
      </c>
      <c r="CP21" s="82">
        <f t="shared" si="36"/>
        <v>0</v>
      </c>
      <c r="CQ21" s="82"/>
      <c r="CR21" s="82"/>
      <c r="CS21" s="82"/>
      <c r="CT21" s="82"/>
      <c r="CU21" s="82">
        <f t="shared" si="115"/>
        <v>0</v>
      </c>
      <c r="CV21" s="82">
        <f t="shared" si="116"/>
        <v>0</v>
      </c>
      <c r="CW21" s="82">
        <f t="shared" si="39"/>
        <v>34</v>
      </c>
      <c r="CX21" s="82">
        <f t="shared" si="40"/>
        <v>1358640</v>
      </c>
      <c r="CY21" s="82">
        <f t="shared" si="41"/>
        <v>0</v>
      </c>
      <c r="CZ21" s="82">
        <f t="shared" si="117"/>
        <v>0</v>
      </c>
      <c r="DA21" s="82">
        <f t="shared" si="43"/>
        <v>34</v>
      </c>
      <c r="DB21" s="82">
        <f t="shared" si="44"/>
        <v>1358640</v>
      </c>
      <c r="DC21" s="91"/>
      <c r="DD21" s="82"/>
      <c r="DE21" s="82"/>
      <c r="DF21" s="82">
        <f t="shared" si="118"/>
        <v>0</v>
      </c>
      <c r="DG21" s="82">
        <f t="shared" si="119"/>
        <v>0</v>
      </c>
      <c r="DH21" s="82"/>
      <c r="DI21" s="82"/>
      <c r="DJ21" s="82"/>
      <c r="DK21" s="82"/>
      <c r="DL21" s="82">
        <f t="shared" si="120"/>
        <v>0</v>
      </c>
      <c r="DM21" s="82">
        <f t="shared" si="121"/>
        <v>0</v>
      </c>
      <c r="DN21" s="82">
        <f t="shared" si="122"/>
        <v>34</v>
      </c>
      <c r="DO21" s="82">
        <f t="shared" si="123"/>
        <v>1358640</v>
      </c>
      <c r="DP21" s="82"/>
      <c r="DQ21" s="82"/>
      <c r="DR21" s="82">
        <f t="shared" si="124"/>
        <v>0</v>
      </c>
      <c r="DS21" s="82">
        <f t="shared" si="125"/>
        <v>0</v>
      </c>
      <c r="DT21" s="82"/>
      <c r="DU21" s="82"/>
      <c r="DV21" s="82"/>
      <c r="DW21" s="82"/>
      <c r="DX21" s="82">
        <f t="shared" si="126"/>
        <v>0</v>
      </c>
      <c r="DY21" s="82">
        <f t="shared" si="127"/>
        <v>0</v>
      </c>
      <c r="DZ21" s="82">
        <f t="shared" si="128"/>
        <v>34</v>
      </c>
      <c r="EA21" s="82">
        <f t="shared" si="129"/>
        <v>1358640</v>
      </c>
      <c r="EB21" s="82"/>
      <c r="EC21" s="82"/>
      <c r="ED21" s="82">
        <f t="shared" si="130"/>
        <v>0</v>
      </c>
      <c r="EE21" s="82">
        <f t="shared" si="131"/>
        <v>0</v>
      </c>
      <c r="EF21" s="82"/>
      <c r="EG21" s="82"/>
      <c r="EH21" s="82"/>
      <c r="EI21" s="82"/>
      <c r="EJ21" s="82">
        <f t="shared" si="132"/>
        <v>0</v>
      </c>
      <c r="EK21" s="82">
        <f t="shared" si="133"/>
        <v>0</v>
      </c>
      <c r="EL21" s="82">
        <f t="shared" si="134"/>
        <v>34</v>
      </c>
      <c r="EM21" s="82">
        <f t="shared" si="135"/>
        <v>1358640</v>
      </c>
      <c r="EN21" s="82">
        <f t="shared" si="136"/>
        <v>0</v>
      </c>
      <c r="EO21" s="82">
        <f t="shared" si="137"/>
        <v>0</v>
      </c>
      <c r="EP21" s="82">
        <f t="shared" si="138"/>
        <v>34</v>
      </c>
      <c r="EQ21" s="82">
        <f t="shared" si="139"/>
        <v>1358640</v>
      </c>
      <c r="ER21" s="82"/>
      <c r="ES21" s="82"/>
      <c r="ET21" s="82">
        <f t="shared" si="140"/>
        <v>0</v>
      </c>
      <c r="EU21" s="82">
        <f t="shared" si="141"/>
        <v>0</v>
      </c>
      <c r="EV21" s="82"/>
      <c r="EW21" s="82"/>
      <c r="EX21" s="82"/>
      <c r="EY21" s="82"/>
      <c r="EZ21" s="82">
        <f t="shared" si="142"/>
        <v>0</v>
      </c>
      <c r="FA21" s="82">
        <f t="shared" si="143"/>
        <v>0</v>
      </c>
      <c r="FB21" s="82">
        <f t="shared" si="144"/>
        <v>34</v>
      </c>
      <c r="FC21" s="82">
        <f t="shared" si="145"/>
        <v>1358640</v>
      </c>
      <c r="FD21" s="82"/>
      <c r="FE21" s="82"/>
      <c r="FF21" s="82">
        <f t="shared" si="146"/>
        <v>0</v>
      </c>
      <c r="FG21" s="82">
        <f t="shared" si="147"/>
        <v>0</v>
      </c>
      <c r="FH21" s="82"/>
      <c r="FI21" s="82"/>
      <c r="FJ21" s="82"/>
      <c r="FK21" s="82"/>
      <c r="FL21" s="82">
        <f t="shared" si="148"/>
        <v>0</v>
      </c>
      <c r="FM21" s="82">
        <f t="shared" si="149"/>
        <v>0</v>
      </c>
      <c r="FN21" s="82">
        <f t="shared" si="150"/>
        <v>34</v>
      </c>
      <c r="FO21" s="82">
        <f t="shared" si="151"/>
        <v>1358640</v>
      </c>
      <c r="FP21" s="82"/>
      <c r="FQ21" s="82"/>
      <c r="FR21" s="82">
        <f t="shared" si="152"/>
        <v>0</v>
      </c>
      <c r="FS21" s="82">
        <f t="shared" si="153"/>
        <v>0</v>
      </c>
      <c r="FT21" s="82"/>
      <c r="FU21" s="82"/>
      <c r="FV21" s="82"/>
      <c r="FW21" s="82"/>
      <c r="FX21" s="82">
        <f t="shared" si="154"/>
        <v>0</v>
      </c>
      <c r="FY21" s="82">
        <f t="shared" si="155"/>
        <v>0</v>
      </c>
      <c r="FZ21" s="82">
        <f t="shared" si="156"/>
        <v>34</v>
      </c>
      <c r="GA21" s="82">
        <f t="shared" si="157"/>
        <v>1358640</v>
      </c>
      <c r="GB21" s="82">
        <f t="shared" si="158"/>
        <v>0</v>
      </c>
      <c r="GC21" s="82">
        <f t="shared" si="159"/>
        <v>0</v>
      </c>
      <c r="GD21" s="82">
        <f t="shared" si="160"/>
        <v>34</v>
      </c>
      <c r="GE21" s="82">
        <f t="shared" si="161"/>
        <v>1358640</v>
      </c>
      <c r="GF21" s="95"/>
    </row>
    <row r="22" ht="29.25" customHeight="1">
      <c r="A22" s="76">
        <v>5.0</v>
      </c>
      <c r="B22" s="87"/>
      <c r="C22" s="77" t="s">
        <v>98</v>
      </c>
      <c r="D22" s="78" t="s">
        <v>99</v>
      </c>
      <c r="E22" s="79">
        <v>11655.0</v>
      </c>
      <c r="F22" s="61" t="s">
        <v>100</v>
      </c>
      <c r="G22" s="81">
        <v>16.0</v>
      </c>
      <c r="H22" s="82">
        <v>186480.0</v>
      </c>
      <c r="I22" s="82"/>
      <c r="J22" s="82"/>
      <c r="K22" s="82">
        <f t="shared" si="1"/>
        <v>0</v>
      </c>
      <c r="L22" s="82">
        <f t="shared" si="2"/>
        <v>0</v>
      </c>
      <c r="M22" s="82"/>
      <c r="N22" s="82"/>
      <c r="O22" s="82"/>
      <c r="P22" s="82"/>
      <c r="Q22" s="82"/>
      <c r="R22" s="82"/>
      <c r="S22" s="82"/>
      <c r="T22" s="82"/>
      <c r="U22" s="83">
        <v>3.0</v>
      </c>
      <c r="V22" s="82"/>
      <c r="W22" s="82"/>
      <c r="X22" s="82"/>
      <c r="Y22" s="82"/>
      <c r="Z22" s="82"/>
      <c r="AA22" s="82"/>
      <c r="AB22" s="82">
        <f t="shared" si="3"/>
        <v>3</v>
      </c>
      <c r="AC22" s="82">
        <f t="shared" si="4"/>
        <v>34965</v>
      </c>
      <c r="AD22" s="82">
        <f t="shared" si="89"/>
        <v>13</v>
      </c>
      <c r="AE22" s="82">
        <f t="shared" si="90"/>
        <v>151515</v>
      </c>
      <c r="AF22" s="82"/>
      <c r="AG22" s="82"/>
      <c r="AH22" s="82">
        <f t="shared" si="91"/>
        <v>0</v>
      </c>
      <c r="AI22" s="82">
        <f t="shared" si="92"/>
        <v>0</v>
      </c>
      <c r="AJ22" s="82"/>
      <c r="AK22" s="82"/>
      <c r="AL22" s="82"/>
      <c r="AM22" s="82"/>
      <c r="AN22" s="82">
        <f t="shared" si="93"/>
        <v>0</v>
      </c>
      <c r="AO22" s="82">
        <f t="shared" si="94"/>
        <v>0</v>
      </c>
      <c r="AP22" s="82">
        <f t="shared" si="11"/>
        <v>13</v>
      </c>
      <c r="AQ22" s="82">
        <f t="shared" si="12"/>
        <v>151515</v>
      </c>
      <c r="AR22" s="82"/>
      <c r="AS22" s="82"/>
      <c r="AT22" s="82"/>
      <c r="AU22" s="82">
        <f t="shared" si="95"/>
        <v>0</v>
      </c>
      <c r="AV22" s="82">
        <f t="shared" si="96"/>
        <v>0</v>
      </c>
      <c r="AW22" s="82"/>
      <c r="AX22" s="82"/>
      <c r="AY22" s="82"/>
      <c r="AZ22" s="82"/>
      <c r="BA22" s="82">
        <f t="shared" si="97"/>
        <v>0</v>
      </c>
      <c r="BB22" s="82">
        <f t="shared" si="98"/>
        <v>0</v>
      </c>
      <c r="BC22" s="82">
        <f t="shared" si="99"/>
        <v>13</v>
      </c>
      <c r="BD22" s="82">
        <f t="shared" si="100"/>
        <v>151515</v>
      </c>
      <c r="BE22" s="82">
        <f t="shared" si="101"/>
        <v>0</v>
      </c>
      <c r="BF22" s="82">
        <f t="shared" si="102"/>
        <v>3</v>
      </c>
      <c r="BG22" s="82">
        <f t="shared" si="103"/>
        <v>13</v>
      </c>
      <c r="BH22" s="82">
        <f t="shared" si="104"/>
        <v>151515</v>
      </c>
      <c r="BI22" s="82"/>
      <c r="BJ22" s="83"/>
      <c r="BK22" s="82">
        <f t="shared" si="105"/>
        <v>0</v>
      </c>
      <c r="BL22" s="82">
        <f t="shared" si="106"/>
        <v>0</v>
      </c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>
        <f t="shared" si="107"/>
        <v>0</v>
      </c>
      <c r="BX22" s="82">
        <f t="shared" si="108"/>
        <v>0</v>
      </c>
      <c r="BY22" s="82">
        <f t="shared" si="109"/>
        <v>13</v>
      </c>
      <c r="BZ22" s="82">
        <f t="shared" si="110"/>
        <v>151515</v>
      </c>
      <c r="CA22" s="82"/>
      <c r="CB22" s="82"/>
      <c r="CC22" s="82">
        <f t="shared" si="111"/>
        <v>0</v>
      </c>
      <c r="CD22" s="82">
        <f t="shared" si="112"/>
        <v>0</v>
      </c>
      <c r="CE22" s="82"/>
      <c r="CF22" s="82"/>
      <c r="CG22" s="82"/>
      <c r="CH22" s="82"/>
      <c r="CI22" s="82">
        <f t="shared" si="113"/>
        <v>0</v>
      </c>
      <c r="CJ22" s="82">
        <f t="shared" si="114"/>
        <v>0</v>
      </c>
      <c r="CK22" s="82">
        <f t="shared" si="33"/>
        <v>13</v>
      </c>
      <c r="CL22" s="82">
        <f t="shared" si="34"/>
        <v>151515</v>
      </c>
      <c r="CM22" s="82"/>
      <c r="CN22" s="82"/>
      <c r="CO22" s="82">
        <f t="shared" si="35"/>
        <v>0</v>
      </c>
      <c r="CP22" s="82">
        <f t="shared" si="36"/>
        <v>0</v>
      </c>
      <c r="CQ22" s="82"/>
      <c r="CR22" s="82"/>
      <c r="CS22" s="82"/>
      <c r="CT22" s="82"/>
      <c r="CU22" s="82">
        <f t="shared" si="115"/>
        <v>0</v>
      </c>
      <c r="CV22" s="82">
        <f t="shared" si="116"/>
        <v>0</v>
      </c>
      <c r="CW22" s="82">
        <f t="shared" si="39"/>
        <v>13</v>
      </c>
      <c r="CX22" s="82">
        <f t="shared" si="40"/>
        <v>151515</v>
      </c>
      <c r="CY22" s="82">
        <f t="shared" si="41"/>
        <v>0</v>
      </c>
      <c r="CZ22" s="82">
        <f t="shared" si="117"/>
        <v>0</v>
      </c>
      <c r="DA22" s="82">
        <f t="shared" si="43"/>
        <v>13</v>
      </c>
      <c r="DB22" s="82">
        <f t="shared" si="44"/>
        <v>151515</v>
      </c>
      <c r="DC22" s="84">
        <v>7.0</v>
      </c>
      <c r="DD22" s="82"/>
      <c r="DE22" s="82"/>
      <c r="DF22" s="82">
        <f t="shared" si="118"/>
        <v>0</v>
      </c>
      <c r="DG22" s="82">
        <f t="shared" si="119"/>
        <v>0</v>
      </c>
      <c r="DH22" s="82"/>
      <c r="DI22" s="82"/>
      <c r="DJ22" s="82"/>
      <c r="DK22" s="82"/>
      <c r="DL22" s="82">
        <f t="shared" si="120"/>
        <v>0</v>
      </c>
      <c r="DM22" s="82">
        <f t="shared" si="121"/>
        <v>0</v>
      </c>
      <c r="DN22" s="82">
        <f t="shared" si="122"/>
        <v>13</v>
      </c>
      <c r="DO22" s="82">
        <f t="shared" si="123"/>
        <v>151515</v>
      </c>
      <c r="DP22" s="82"/>
      <c r="DQ22" s="82"/>
      <c r="DR22" s="82">
        <f t="shared" si="124"/>
        <v>0</v>
      </c>
      <c r="DS22" s="82">
        <f t="shared" si="125"/>
        <v>0</v>
      </c>
      <c r="DT22" s="82"/>
      <c r="DU22" s="82"/>
      <c r="DV22" s="82"/>
      <c r="DW22" s="82"/>
      <c r="DX22" s="82">
        <f t="shared" si="126"/>
        <v>0</v>
      </c>
      <c r="DY22" s="82">
        <f t="shared" si="127"/>
        <v>0</v>
      </c>
      <c r="DZ22" s="82">
        <f t="shared" si="128"/>
        <v>13</v>
      </c>
      <c r="EA22" s="82">
        <f t="shared" si="129"/>
        <v>151515</v>
      </c>
      <c r="EB22" s="82"/>
      <c r="EC22" s="82"/>
      <c r="ED22" s="82">
        <f t="shared" si="130"/>
        <v>0</v>
      </c>
      <c r="EE22" s="82">
        <f t="shared" si="131"/>
        <v>0</v>
      </c>
      <c r="EF22" s="82"/>
      <c r="EG22" s="82"/>
      <c r="EH22" s="82"/>
      <c r="EI22" s="82"/>
      <c r="EJ22" s="82">
        <f t="shared" si="132"/>
        <v>0</v>
      </c>
      <c r="EK22" s="82">
        <f t="shared" si="133"/>
        <v>0</v>
      </c>
      <c r="EL22" s="82">
        <f t="shared" si="134"/>
        <v>13</v>
      </c>
      <c r="EM22" s="82">
        <f t="shared" si="135"/>
        <v>151515</v>
      </c>
      <c r="EN22" s="82">
        <f t="shared" si="136"/>
        <v>0</v>
      </c>
      <c r="EO22" s="82">
        <f t="shared" si="137"/>
        <v>0</v>
      </c>
      <c r="EP22" s="82">
        <f t="shared" si="138"/>
        <v>13</v>
      </c>
      <c r="EQ22" s="82">
        <f t="shared" si="139"/>
        <v>151515</v>
      </c>
      <c r="ER22" s="82"/>
      <c r="ES22" s="82"/>
      <c r="ET22" s="82">
        <f t="shared" si="140"/>
        <v>0</v>
      </c>
      <c r="EU22" s="82">
        <f t="shared" si="141"/>
        <v>0</v>
      </c>
      <c r="EV22" s="82"/>
      <c r="EW22" s="82"/>
      <c r="EX22" s="82"/>
      <c r="EY22" s="82"/>
      <c r="EZ22" s="82">
        <f t="shared" si="142"/>
        <v>0</v>
      </c>
      <c r="FA22" s="82">
        <f t="shared" si="143"/>
        <v>0</v>
      </c>
      <c r="FB22" s="82">
        <f t="shared" si="144"/>
        <v>13</v>
      </c>
      <c r="FC22" s="82">
        <f t="shared" si="145"/>
        <v>151515</v>
      </c>
      <c r="FD22" s="82"/>
      <c r="FE22" s="82"/>
      <c r="FF22" s="82">
        <f t="shared" si="146"/>
        <v>0</v>
      </c>
      <c r="FG22" s="82">
        <f t="shared" si="147"/>
        <v>0</v>
      </c>
      <c r="FH22" s="82"/>
      <c r="FI22" s="82"/>
      <c r="FJ22" s="82"/>
      <c r="FK22" s="82"/>
      <c r="FL22" s="82">
        <f t="shared" si="148"/>
        <v>0</v>
      </c>
      <c r="FM22" s="82">
        <f t="shared" si="149"/>
        <v>0</v>
      </c>
      <c r="FN22" s="82">
        <f t="shared" si="150"/>
        <v>13</v>
      </c>
      <c r="FO22" s="82">
        <f t="shared" si="151"/>
        <v>151515</v>
      </c>
      <c r="FP22" s="82"/>
      <c r="FQ22" s="82"/>
      <c r="FR22" s="82">
        <f t="shared" si="152"/>
        <v>0</v>
      </c>
      <c r="FS22" s="82">
        <f t="shared" si="153"/>
        <v>0</v>
      </c>
      <c r="FT22" s="82"/>
      <c r="FU22" s="82"/>
      <c r="FV22" s="82"/>
      <c r="FW22" s="82"/>
      <c r="FX22" s="82">
        <f t="shared" si="154"/>
        <v>0</v>
      </c>
      <c r="FY22" s="82">
        <f t="shared" si="155"/>
        <v>0</v>
      </c>
      <c r="FZ22" s="82">
        <f t="shared" si="156"/>
        <v>13</v>
      </c>
      <c r="GA22" s="82">
        <f t="shared" si="157"/>
        <v>151515</v>
      </c>
      <c r="GB22" s="82">
        <f t="shared" si="158"/>
        <v>0</v>
      </c>
      <c r="GC22" s="82">
        <f t="shared" si="159"/>
        <v>0</v>
      </c>
      <c r="GD22" s="82">
        <f t="shared" si="160"/>
        <v>13</v>
      </c>
      <c r="GE22" s="82">
        <f t="shared" si="161"/>
        <v>151515</v>
      </c>
      <c r="GF22" s="85"/>
    </row>
    <row r="23" ht="29.25" customHeight="1">
      <c r="A23" s="76">
        <v>6.0</v>
      </c>
      <c r="B23" s="87"/>
      <c r="C23" s="77" t="s">
        <v>101</v>
      </c>
      <c r="D23" s="78" t="s">
        <v>96</v>
      </c>
      <c r="E23" s="79">
        <v>17760.0</v>
      </c>
      <c r="F23" s="61" t="s">
        <v>92</v>
      </c>
      <c r="G23" s="81">
        <v>1.0</v>
      </c>
      <c r="H23" s="82">
        <v>17760.0</v>
      </c>
      <c r="I23" s="82"/>
      <c r="J23" s="82"/>
      <c r="K23" s="82">
        <f t="shared" si="1"/>
        <v>0</v>
      </c>
      <c r="L23" s="82">
        <f t="shared" si="2"/>
        <v>0</v>
      </c>
      <c r="M23" s="82"/>
      <c r="N23" s="83">
        <v>1.0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>
        <f t="shared" si="3"/>
        <v>1</v>
      </c>
      <c r="AC23" s="82">
        <f t="shared" si="4"/>
        <v>17760</v>
      </c>
      <c r="AD23" s="82">
        <f t="shared" si="89"/>
        <v>0</v>
      </c>
      <c r="AE23" s="82">
        <f t="shared" si="90"/>
        <v>0</v>
      </c>
      <c r="AF23" s="82"/>
      <c r="AG23" s="82"/>
      <c r="AH23" s="82">
        <f t="shared" si="91"/>
        <v>0</v>
      </c>
      <c r="AI23" s="82">
        <f t="shared" si="92"/>
        <v>0</v>
      </c>
      <c r="AJ23" s="82"/>
      <c r="AK23" s="82"/>
      <c r="AL23" s="82"/>
      <c r="AM23" s="82"/>
      <c r="AN23" s="82">
        <f t="shared" si="93"/>
        <v>0</v>
      </c>
      <c r="AO23" s="82">
        <f t="shared" si="94"/>
        <v>0</v>
      </c>
      <c r="AP23" s="82">
        <f t="shared" si="11"/>
        <v>0</v>
      </c>
      <c r="AQ23" s="82">
        <f t="shared" si="12"/>
        <v>0</v>
      </c>
      <c r="AR23" s="82"/>
      <c r="AS23" s="82"/>
      <c r="AT23" s="82"/>
      <c r="AU23" s="82">
        <f t="shared" si="95"/>
        <v>0</v>
      </c>
      <c r="AV23" s="82">
        <f t="shared" si="96"/>
        <v>0</v>
      </c>
      <c r="AW23" s="82"/>
      <c r="AX23" s="82"/>
      <c r="AY23" s="82"/>
      <c r="AZ23" s="82"/>
      <c r="BA23" s="82">
        <f t="shared" si="97"/>
        <v>0</v>
      </c>
      <c r="BB23" s="82">
        <f t="shared" si="98"/>
        <v>0</v>
      </c>
      <c r="BC23" s="82">
        <f t="shared" si="99"/>
        <v>0</v>
      </c>
      <c r="BD23" s="82">
        <f t="shared" si="100"/>
        <v>0</v>
      </c>
      <c r="BE23" s="82">
        <f t="shared" si="101"/>
        <v>0</v>
      </c>
      <c r="BF23" s="82">
        <f t="shared" si="102"/>
        <v>1</v>
      </c>
      <c r="BG23" s="82">
        <f t="shared" si="103"/>
        <v>0</v>
      </c>
      <c r="BH23" s="82">
        <f t="shared" si="104"/>
        <v>0</v>
      </c>
      <c r="BI23" s="82"/>
      <c r="BJ23" s="83"/>
      <c r="BK23" s="82">
        <f t="shared" si="105"/>
        <v>0</v>
      </c>
      <c r="BL23" s="82">
        <f t="shared" si="106"/>
        <v>0</v>
      </c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>
        <f t="shared" si="107"/>
        <v>0</v>
      </c>
      <c r="BX23" s="82">
        <f t="shared" si="108"/>
        <v>0</v>
      </c>
      <c r="BY23" s="82">
        <f t="shared" si="109"/>
        <v>0</v>
      </c>
      <c r="BZ23" s="82">
        <f t="shared" si="110"/>
        <v>0</v>
      </c>
      <c r="CA23" s="82"/>
      <c r="CB23" s="82"/>
      <c r="CC23" s="82">
        <f t="shared" si="111"/>
        <v>0</v>
      </c>
      <c r="CD23" s="82">
        <f t="shared" si="112"/>
        <v>0</v>
      </c>
      <c r="CE23" s="82"/>
      <c r="CF23" s="82"/>
      <c r="CG23" s="82"/>
      <c r="CH23" s="82"/>
      <c r="CI23" s="82">
        <f t="shared" si="113"/>
        <v>0</v>
      </c>
      <c r="CJ23" s="82">
        <f t="shared" si="114"/>
        <v>0</v>
      </c>
      <c r="CK23" s="82">
        <f t="shared" si="33"/>
        <v>0</v>
      </c>
      <c r="CL23" s="82">
        <f t="shared" si="34"/>
        <v>0</v>
      </c>
      <c r="CM23" s="82"/>
      <c r="CN23" s="82"/>
      <c r="CO23" s="82">
        <f t="shared" si="35"/>
        <v>0</v>
      </c>
      <c r="CP23" s="82">
        <f t="shared" si="36"/>
        <v>0</v>
      </c>
      <c r="CQ23" s="82"/>
      <c r="CR23" s="82"/>
      <c r="CS23" s="82"/>
      <c r="CT23" s="82"/>
      <c r="CU23" s="82">
        <f t="shared" si="115"/>
        <v>0</v>
      </c>
      <c r="CV23" s="82">
        <f t="shared" si="116"/>
        <v>0</v>
      </c>
      <c r="CW23" s="82">
        <f t="shared" si="39"/>
        <v>0</v>
      </c>
      <c r="CX23" s="82">
        <f t="shared" si="40"/>
        <v>0</v>
      </c>
      <c r="CY23" s="82">
        <f t="shared" si="41"/>
        <v>0</v>
      </c>
      <c r="CZ23" s="82">
        <f t="shared" si="117"/>
        <v>0</v>
      </c>
      <c r="DA23" s="82">
        <f t="shared" si="43"/>
        <v>0</v>
      </c>
      <c r="DB23" s="82">
        <f t="shared" si="44"/>
        <v>0</v>
      </c>
      <c r="DC23" s="91"/>
      <c r="DD23" s="82"/>
      <c r="DE23" s="82"/>
      <c r="DF23" s="82">
        <f t="shared" si="118"/>
        <v>0</v>
      </c>
      <c r="DG23" s="82">
        <f t="shared" si="119"/>
        <v>0</v>
      </c>
      <c r="DH23" s="82"/>
      <c r="DI23" s="82"/>
      <c r="DJ23" s="82"/>
      <c r="DK23" s="82"/>
      <c r="DL23" s="82">
        <f t="shared" si="120"/>
        <v>0</v>
      </c>
      <c r="DM23" s="82">
        <f t="shared" si="121"/>
        <v>0</v>
      </c>
      <c r="DN23" s="82">
        <f t="shared" si="122"/>
        <v>0</v>
      </c>
      <c r="DO23" s="82">
        <f t="shared" si="123"/>
        <v>0</v>
      </c>
      <c r="DP23" s="82"/>
      <c r="DQ23" s="82"/>
      <c r="DR23" s="82">
        <f t="shared" si="124"/>
        <v>0</v>
      </c>
      <c r="DS23" s="82">
        <f t="shared" si="125"/>
        <v>0</v>
      </c>
      <c r="DT23" s="82"/>
      <c r="DU23" s="82"/>
      <c r="DV23" s="82"/>
      <c r="DW23" s="82"/>
      <c r="DX23" s="82">
        <f t="shared" si="126"/>
        <v>0</v>
      </c>
      <c r="DY23" s="82">
        <f t="shared" si="127"/>
        <v>0</v>
      </c>
      <c r="DZ23" s="82">
        <f t="shared" si="128"/>
        <v>0</v>
      </c>
      <c r="EA23" s="82">
        <f t="shared" si="129"/>
        <v>0</v>
      </c>
      <c r="EB23" s="82"/>
      <c r="EC23" s="82"/>
      <c r="ED23" s="82">
        <f t="shared" si="130"/>
        <v>0</v>
      </c>
      <c r="EE23" s="82">
        <f t="shared" si="131"/>
        <v>0</v>
      </c>
      <c r="EF23" s="82"/>
      <c r="EG23" s="82"/>
      <c r="EH23" s="82"/>
      <c r="EI23" s="82"/>
      <c r="EJ23" s="82">
        <f t="shared" si="132"/>
        <v>0</v>
      </c>
      <c r="EK23" s="82">
        <f t="shared" si="133"/>
        <v>0</v>
      </c>
      <c r="EL23" s="82">
        <f t="shared" si="134"/>
        <v>0</v>
      </c>
      <c r="EM23" s="82">
        <f t="shared" si="135"/>
        <v>0</v>
      </c>
      <c r="EN23" s="82">
        <f t="shared" si="136"/>
        <v>0</v>
      </c>
      <c r="EO23" s="82">
        <f t="shared" si="137"/>
        <v>0</v>
      </c>
      <c r="EP23" s="82">
        <f t="shared" si="138"/>
        <v>0</v>
      </c>
      <c r="EQ23" s="82">
        <f t="shared" si="139"/>
        <v>0</v>
      </c>
      <c r="ER23" s="82"/>
      <c r="ES23" s="82"/>
      <c r="ET23" s="82">
        <f t="shared" si="140"/>
        <v>0</v>
      </c>
      <c r="EU23" s="82">
        <f t="shared" si="141"/>
        <v>0</v>
      </c>
      <c r="EV23" s="82"/>
      <c r="EW23" s="82"/>
      <c r="EX23" s="82"/>
      <c r="EY23" s="82"/>
      <c r="EZ23" s="82">
        <f t="shared" si="142"/>
        <v>0</v>
      </c>
      <c r="FA23" s="82">
        <f t="shared" si="143"/>
        <v>0</v>
      </c>
      <c r="FB23" s="82">
        <f t="shared" si="144"/>
        <v>0</v>
      </c>
      <c r="FC23" s="82">
        <f t="shared" si="145"/>
        <v>0</v>
      </c>
      <c r="FD23" s="82"/>
      <c r="FE23" s="82"/>
      <c r="FF23" s="82">
        <f t="shared" si="146"/>
        <v>0</v>
      </c>
      <c r="FG23" s="82">
        <f t="shared" si="147"/>
        <v>0</v>
      </c>
      <c r="FH23" s="82"/>
      <c r="FI23" s="82"/>
      <c r="FJ23" s="82"/>
      <c r="FK23" s="82"/>
      <c r="FL23" s="82">
        <f t="shared" si="148"/>
        <v>0</v>
      </c>
      <c r="FM23" s="82">
        <f t="shared" si="149"/>
        <v>0</v>
      </c>
      <c r="FN23" s="82">
        <f t="shared" si="150"/>
        <v>0</v>
      </c>
      <c r="FO23" s="82">
        <f t="shared" si="151"/>
        <v>0</v>
      </c>
      <c r="FP23" s="82"/>
      <c r="FQ23" s="82"/>
      <c r="FR23" s="82">
        <f t="shared" si="152"/>
        <v>0</v>
      </c>
      <c r="FS23" s="82">
        <f t="shared" si="153"/>
        <v>0</v>
      </c>
      <c r="FT23" s="82"/>
      <c r="FU23" s="82"/>
      <c r="FV23" s="82"/>
      <c r="FW23" s="82"/>
      <c r="FX23" s="82">
        <f t="shared" si="154"/>
        <v>0</v>
      </c>
      <c r="FY23" s="82">
        <f t="shared" si="155"/>
        <v>0</v>
      </c>
      <c r="FZ23" s="82">
        <f t="shared" si="156"/>
        <v>0</v>
      </c>
      <c r="GA23" s="82">
        <f t="shared" si="157"/>
        <v>0</v>
      </c>
      <c r="GB23" s="82">
        <f t="shared" si="158"/>
        <v>0</v>
      </c>
      <c r="GC23" s="82">
        <f t="shared" si="159"/>
        <v>0</v>
      </c>
      <c r="GD23" s="82">
        <f t="shared" si="160"/>
        <v>0</v>
      </c>
      <c r="GE23" s="82">
        <f t="shared" si="161"/>
        <v>0</v>
      </c>
      <c r="GF23" s="85"/>
    </row>
    <row r="24" ht="29.25" customHeight="1">
      <c r="A24" s="16"/>
      <c r="B24" s="16"/>
      <c r="C24" s="16"/>
      <c r="D24" s="78" t="s">
        <v>96</v>
      </c>
      <c r="E24" s="86">
        <v>18018.0</v>
      </c>
      <c r="F24" s="80" t="s">
        <v>86</v>
      </c>
      <c r="G24" s="81">
        <v>26.0</v>
      </c>
      <c r="H24" s="82">
        <v>468468.0</v>
      </c>
      <c r="I24" s="82"/>
      <c r="J24" s="82"/>
      <c r="K24" s="82">
        <f t="shared" si="1"/>
        <v>0</v>
      </c>
      <c r="L24" s="82">
        <f t="shared" si="2"/>
        <v>0</v>
      </c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>
        <f t="shared" si="3"/>
        <v>0</v>
      </c>
      <c r="AC24" s="82">
        <f t="shared" si="4"/>
        <v>0</v>
      </c>
      <c r="AD24" s="82">
        <f t="shared" si="89"/>
        <v>26</v>
      </c>
      <c r="AE24" s="82">
        <f t="shared" si="90"/>
        <v>468468</v>
      </c>
      <c r="AF24" s="82"/>
      <c r="AG24" s="82"/>
      <c r="AH24" s="82">
        <f t="shared" si="91"/>
        <v>0</v>
      </c>
      <c r="AI24" s="82">
        <f t="shared" si="92"/>
        <v>0</v>
      </c>
      <c r="AJ24" s="82"/>
      <c r="AK24" s="82"/>
      <c r="AL24" s="82"/>
      <c r="AM24" s="82"/>
      <c r="AN24" s="82">
        <f t="shared" si="93"/>
        <v>0</v>
      </c>
      <c r="AO24" s="82">
        <f t="shared" si="94"/>
        <v>0</v>
      </c>
      <c r="AP24" s="82">
        <f t="shared" si="11"/>
        <v>26</v>
      </c>
      <c r="AQ24" s="82">
        <f t="shared" si="12"/>
        <v>468468</v>
      </c>
      <c r="AR24" s="82"/>
      <c r="AS24" s="82"/>
      <c r="AT24" s="82"/>
      <c r="AU24" s="82">
        <f t="shared" si="95"/>
        <v>0</v>
      </c>
      <c r="AV24" s="82">
        <f t="shared" si="96"/>
        <v>0</v>
      </c>
      <c r="AW24" s="82"/>
      <c r="AX24" s="82"/>
      <c r="AY24" s="82"/>
      <c r="AZ24" s="82"/>
      <c r="BA24" s="82">
        <f t="shared" si="97"/>
        <v>0</v>
      </c>
      <c r="BB24" s="82">
        <f t="shared" si="98"/>
        <v>0</v>
      </c>
      <c r="BC24" s="82">
        <f t="shared" si="99"/>
        <v>26</v>
      </c>
      <c r="BD24" s="82">
        <f t="shared" si="100"/>
        <v>468468</v>
      </c>
      <c r="BE24" s="82">
        <f t="shared" si="101"/>
        <v>0</v>
      </c>
      <c r="BF24" s="82">
        <f t="shared" si="102"/>
        <v>0</v>
      </c>
      <c r="BG24" s="82">
        <f t="shared" si="103"/>
        <v>26</v>
      </c>
      <c r="BH24" s="82">
        <f t="shared" si="104"/>
        <v>468468</v>
      </c>
      <c r="BI24" s="82"/>
      <c r="BJ24" s="83"/>
      <c r="BK24" s="82">
        <f t="shared" si="105"/>
        <v>0</v>
      </c>
      <c r="BL24" s="82">
        <f t="shared" si="106"/>
        <v>0</v>
      </c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>
        <f t="shared" si="107"/>
        <v>0</v>
      </c>
      <c r="BX24" s="82">
        <f t="shared" si="108"/>
        <v>0</v>
      </c>
      <c r="BY24" s="82">
        <f t="shared" si="109"/>
        <v>26</v>
      </c>
      <c r="BZ24" s="82">
        <f t="shared" si="110"/>
        <v>468468</v>
      </c>
      <c r="CA24" s="82"/>
      <c r="CB24" s="82"/>
      <c r="CC24" s="82">
        <f t="shared" si="111"/>
        <v>0</v>
      </c>
      <c r="CD24" s="82">
        <f t="shared" si="112"/>
        <v>0</v>
      </c>
      <c r="CE24" s="82"/>
      <c r="CF24" s="82"/>
      <c r="CG24" s="82"/>
      <c r="CH24" s="82"/>
      <c r="CI24" s="82">
        <f t="shared" si="113"/>
        <v>0</v>
      </c>
      <c r="CJ24" s="82">
        <f t="shared" si="114"/>
        <v>0</v>
      </c>
      <c r="CK24" s="82">
        <f t="shared" si="33"/>
        <v>26</v>
      </c>
      <c r="CL24" s="82">
        <f t="shared" si="34"/>
        <v>468468</v>
      </c>
      <c r="CM24" s="82"/>
      <c r="CN24" s="82"/>
      <c r="CO24" s="82">
        <f t="shared" si="35"/>
        <v>0</v>
      </c>
      <c r="CP24" s="82">
        <f t="shared" si="36"/>
        <v>0</v>
      </c>
      <c r="CQ24" s="82"/>
      <c r="CR24" s="82"/>
      <c r="CS24" s="82"/>
      <c r="CT24" s="82"/>
      <c r="CU24" s="82">
        <f t="shared" si="115"/>
        <v>0</v>
      </c>
      <c r="CV24" s="82">
        <f t="shared" si="116"/>
        <v>0</v>
      </c>
      <c r="CW24" s="82">
        <f t="shared" si="39"/>
        <v>26</v>
      </c>
      <c r="CX24" s="82">
        <f t="shared" si="40"/>
        <v>468468</v>
      </c>
      <c r="CY24" s="82">
        <f t="shared" si="41"/>
        <v>0</v>
      </c>
      <c r="CZ24" s="82">
        <f t="shared" si="117"/>
        <v>0</v>
      </c>
      <c r="DA24" s="82">
        <f t="shared" si="43"/>
        <v>26</v>
      </c>
      <c r="DB24" s="82">
        <f t="shared" si="44"/>
        <v>468468</v>
      </c>
      <c r="DC24" s="84">
        <v>20.0</v>
      </c>
      <c r="DD24" s="82"/>
      <c r="DE24" s="82"/>
      <c r="DF24" s="82">
        <f t="shared" si="118"/>
        <v>0</v>
      </c>
      <c r="DG24" s="82">
        <f t="shared" si="119"/>
        <v>0</v>
      </c>
      <c r="DH24" s="82"/>
      <c r="DI24" s="82"/>
      <c r="DJ24" s="82"/>
      <c r="DK24" s="82"/>
      <c r="DL24" s="82">
        <f t="shared" si="120"/>
        <v>0</v>
      </c>
      <c r="DM24" s="82">
        <f t="shared" si="121"/>
        <v>0</v>
      </c>
      <c r="DN24" s="82">
        <f t="shared" si="122"/>
        <v>26</v>
      </c>
      <c r="DO24" s="82">
        <f t="shared" si="123"/>
        <v>468468</v>
      </c>
      <c r="DP24" s="82"/>
      <c r="DQ24" s="82"/>
      <c r="DR24" s="82">
        <f t="shared" si="124"/>
        <v>0</v>
      </c>
      <c r="DS24" s="82">
        <f t="shared" si="125"/>
        <v>0</v>
      </c>
      <c r="DT24" s="82"/>
      <c r="DU24" s="82"/>
      <c r="DV24" s="82"/>
      <c r="DW24" s="82"/>
      <c r="DX24" s="82">
        <f t="shared" si="126"/>
        <v>0</v>
      </c>
      <c r="DY24" s="82">
        <f t="shared" si="127"/>
        <v>0</v>
      </c>
      <c r="DZ24" s="82">
        <f t="shared" si="128"/>
        <v>26</v>
      </c>
      <c r="EA24" s="82">
        <f t="shared" si="129"/>
        <v>468468</v>
      </c>
      <c r="EB24" s="82"/>
      <c r="EC24" s="82"/>
      <c r="ED24" s="82">
        <f t="shared" si="130"/>
        <v>0</v>
      </c>
      <c r="EE24" s="82">
        <f t="shared" si="131"/>
        <v>0</v>
      </c>
      <c r="EF24" s="82"/>
      <c r="EG24" s="82"/>
      <c r="EH24" s="82"/>
      <c r="EI24" s="82"/>
      <c r="EJ24" s="82">
        <f t="shared" si="132"/>
        <v>0</v>
      </c>
      <c r="EK24" s="82">
        <f t="shared" si="133"/>
        <v>0</v>
      </c>
      <c r="EL24" s="82">
        <f t="shared" si="134"/>
        <v>26</v>
      </c>
      <c r="EM24" s="82">
        <f t="shared" si="135"/>
        <v>468468</v>
      </c>
      <c r="EN24" s="82">
        <f t="shared" si="136"/>
        <v>0</v>
      </c>
      <c r="EO24" s="82">
        <f t="shared" si="137"/>
        <v>0</v>
      </c>
      <c r="EP24" s="82">
        <f t="shared" si="138"/>
        <v>26</v>
      </c>
      <c r="EQ24" s="82">
        <f t="shared" si="139"/>
        <v>468468</v>
      </c>
      <c r="ER24" s="82"/>
      <c r="ES24" s="82"/>
      <c r="ET24" s="82">
        <f t="shared" si="140"/>
        <v>0</v>
      </c>
      <c r="EU24" s="82">
        <f t="shared" si="141"/>
        <v>0</v>
      </c>
      <c r="EV24" s="82"/>
      <c r="EW24" s="82"/>
      <c r="EX24" s="82"/>
      <c r="EY24" s="82"/>
      <c r="EZ24" s="82">
        <f t="shared" si="142"/>
        <v>0</v>
      </c>
      <c r="FA24" s="82">
        <f t="shared" si="143"/>
        <v>0</v>
      </c>
      <c r="FB24" s="82">
        <f t="shared" si="144"/>
        <v>26</v>
      </c>
      <c r="FC24" s="82">
        <f t="shared" si="145"/>
        <v>468468</v>
      </c>
      <c r="FD24" s="82"/>
      <c r="FE24" s="82"/>
      <c r="FF24" s="82">
        <f t="shared" si="146"/>
        <v>0</v>
      </c>
      <c r="FG24" s="82">
        <f t="shared" si="147"/>
        <v>0</v>
      </c>
      <c r="FH24" s="82"/>
      <c r="FI24" s="82"/>
      <c r="FJ24" s="82"/>
      <c r="FK24" s="82"/>
      <c r="FL24" s="82">
        <f t="shared" si="148"/>
        <v>0</v>
      </c>
      <c r="FM24" s="82">
        <f t="shared" si="149"/>
        <v>0</v>
      </c>
      <c r="FN24" s="82">
        <f t="shared" si="150"/>
        <v>26</v>
      </c>
      <c r="FO24" s="82">
        <f t="shared" si="151"/>
        <v>468468</v>
      </c>
      <c r="FP24" s="82"/>
      <c r="FQ24" s="82"/>
      <c r="FR24" s="82">
        <f t="shared" si="152"/>
        <v>0</v>
      </c>
      <c r="FS24" s="82">
        <f t="shared" si="153"/>
        <v>0</v>
      </c>
      <c r="FT24" s="82"/>
      <c r="FU24" s="82"/>
      <c r="FV24" s="82"/>
      <c r="FW24" s="82"/>
      <c r="FX24" s="82">
        <f t="shared" si="154"/>
        <v>0</v>
      </c>
      <c r="FY24" s="82">
        <f t="shared" si="155"/>
        <v>0</v>
      </c>
      <c r="FZ24" s="82">
        <f t="shared" si="156"/>
        <v>26</v>
      </c>
      <c r="GA24" s="82">
        <f t="shared" si="157"/>
        <v>468468</v>
      </c>
      <c r="GB24" s="82">
        <f t="shared" si="158"/>
        <v>0</v>
      </c>
      <c r="GC24" s="82">
        <f t="shared" si="159"/>
        <v>0</v>
      </c>
      <c r="GD24" s="82">
        <f t="shared" si="160"/>
        <v>26</v>
      </c>
      <c r="GE24" s="82">
        <f t="shared" si="161"/>
        <v>468468</v>
      </c>
      <c r="GF24" s="85"/>
    </row>
    <row r="25" ht="29.25" customHeight="1">
      <c r="A25" s="76">
        <v>7.0</v>
      </c>
      <c r="B25" s="87"/>
      <c r="C25" s="77" t="s">
        <v>102</v>
      </c>
      <c r="D25" s="78" t="s">
        <v>96</v>
      </c>
      <c r="E25" s="86">
        <v>9910.0</v>
      </c>
      <c r="F25" s="80" t="s">
        <v>86</v>
      </c>
      <c r="G25" s="81">
        <v>21.0</v>
      </c>
      <c r="H25" s="82">
        <v>208110.0</v>
      </c>
      <c r="I25" s="82"/>
      <c r="J25" s="82"/>
      <c r="K25" s="82">
        <f t="shared" si="1"/>
        <v>0</v>
      </c>
      <c r="L25" s="82">
        <f t="shared" si="2"/>
        <v>0</v>
      </c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>
        <f t="shared" si="3"/>
        <v>0</v>
      </c>
      <c r="AC25" s="82">
        <f t="shared" si="4"/>
        <v>0</v>
      </c>
      <c r="AD25" s="82">
        <f t="shared" si="89"/>
        <v>21</v>
      </c>
      <c r="AE25" s="82">
        <f t="shared" si="90"/>
        <v>208110</v>
      </c>
      <c r="AF25" s="82"/>
      <c r="AG25" s="82"/>
      <c r="AH25" s="82">
        <f t="shared" si="91"/>
        <v>0</v>
      </c>
      <c r="AI25" s="82">
        <f t="shared" si="92"/>
        <v>0</v>
      </c>
      <c r="AJ25" s="82"/>
      <c r="AK25" s="82"/>
      <c r="AL25" s="82"/>
      <c r="AM25" s="82"/>
      <c r="AN25" s="82">
        <f t="shared" si="93"/>
        <v>0</v>
      </c>
      <c r="AO25" s="82">
        <f t="shared" si="94"/>
        <v>0</v>
      </c>
      <c r="AP25" s="82">
        <f t="shared" si="11"/>
        <v>21</v>
      </c>
      <c r="AQ25" s="82">
        <f t="shared" si="12"/>
        <v>208110</v>
      </c>
      <c r="AR25" s="82"/>
      <c r="AS25" s="82"/>
      <c r="AT25" s="82"/>
      <c r="AU25" s="82">
        <f t="shared" si="95"/>
        <v>0</v>
      </c>
      <c r="AV25" s="82">
        <f t="shared" si="96"/>
        <v>0</v>
      </c>
      <c r="AW25" s="82"/>
      <c r="AX25" s="82"/>
      <c r="AY25" s="82"/>
      <c r="AZ25" s="82"/>
      <c r="BA25" s="82">
        <f t="shared" si="97"/>
        <v>0</v>
      </c>
      <c r="BB25" s="82">
        <f t="shared" si="98"/>
        <v>0</v>
      </c>
      <c r="BC25" s="82">
        <f t="shared" si="99"/>
        <v>21</v>
      </c>
      <c r="BD25" s="82">
        <f t="shared" si="100"/>
        <v>208110</v>
      </c>
      <c r="BE25" s="82">
        <f t="shared" si="101"/>
        <v>0</v>
      </c>
      <c r="BF25" s="82">
        <f t="shared" si="102"/>
        <v>0</v>
      </c>
      <c r="BG25" s="82">
        <f t="shared" si="103"/>
        <v>21</v>
      </c>
      <c r="BH25" s="82">
        <f t="shared" si="104"/>
        <v>208110</v>
      </c>
      <c r="BI25" s="82"/>
      <c r="BJ25" s="83"/>
      <c r="BK25" s="82">
        <f t="shared" si="105"/>
        <v>0</v>
      </c>
      <c r="BL25" s="82">
        <f t="shared" si="106"/>
        <v>0</v>
      </c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>
        <f t="shared" si="107"/>
        <v>0</v>
      </c>
      <c r="BX25" s="82">
        <f t="shared" si="108"/>
        <v>0</v>
      </c>
      <c r="BY25" s="82">
        <f t="shared" si="109"/>
        <v>21</v>
      </c>
      <c r="BZ25" s="82">
        <f t="shared" si="110"/>
        <v>208110</v>
      </c>
      <c r="CA25" s="82"/>
      <c r="CB25" s="82"/>
      <c r="CC25" s="82">
        <f t="shared" si="111"/>
        <v>0</v>
      </c>
      <c r="CD25" s="82">
        <f t="shared" si="112"/>
        <v>0</v>
      </c>
      <c r="CE25" s="83">
        <v>1.0</v>
      </c>
      <c r="CF25" s="82"/>
      <c r="CG25" s="82"/>
      <c r="CH25" s="82"/>
      <c r="CI25" s="82">
        <f t="shared" si="113"/>
        <v>1</v>
      </c>
      <c r="CJ25" s="82">
        <f t="shared" si="114"/>
        <v>9910</v>
      </c>
      <c r="CK25" s="82">
        <f t="shared" si="33"/>
        <v>20</v>
      </c>
      <c r="CL25" s="82">
        <f t="shared" si="34"/>
        <v>198200</v>
      </c>
      <c r="CM25" s="82"/>
      <c r="CN25" s="82"/>
      <c r="CO25" s="82">
        <f t="shared" si="35"/>
        <v>0</v>
      </c>
      <c r="CP25" s="82">
        <f t="shared" si="36"/>
        <v>0</v>
      </c>
      <c r="CQ25" s="82"/>
      <c r="CR25" s="82"/>
      <c r="CS25" s="82"/>
      <c r="CT25" s="82"/>
      <c r="CU25" s="82">
        <f t="shared" si="115"/>
        <v>0</v>
      </c>
      <c r="CV25" s="82">
        <f t="shared" si="116"/>
        <v>0</v>
      </c>
      <c r="CW25" s="82">
        <f t="shared" si="39"/>
        <v>20</v>
      </c>
      <c r="CX25" s="82">
        <f t="shared" si="40"/>
        <v>198200</v>
      </c>
      <c r="CY25" s="82">
        <f t="shared" si="41"/>
        <v>0</v>
      </c>
      <c r="CZ25" s="82">
        <f t="shared" si="117"/>
        <v>1</v>
      </c>
      <c r="DA25" s="82">
        <f t="shared" si="43"/>
        <v>20</v>
      </c>
      <c r="DB25" s="82">
        <f t="shared" si="44"/>
        <v>198200</v>
      </c>
      <c r="DC25" s="84">
        <v>9.0</v>
      </c>
      <c r="DD25" s="82"/>
      <c r="DE25" s="82"/>
      <c r="DF25" s="82">
        <f t="shared" si="118"/>
        <v>0</v>
      </c>
      <c r="DG25" s="82">
        <f t="shared" si="119"/>
        <v>0</v>
      </c>
      <c r="DH25" s="82"/>
      <c r="DI25" s="82"/>
      <c r="DJ25" s="82"/>
      <c r="DK25" s="82"/>
      <c r="DL25" s="82">
        <f t="shared" si="120"/>
        <v>0</v>
      </c>
      <c r="DM25" s="82">
        <f t="shared" si="121"/>
        <v>0</v>
      </c>
      <c r="DN25" s="82">
        <f t="shared" si="122"/>
        <v>20</v>
      </c>
      <c r="DO25" s="82">
        <f t="shared" si="123"/>
        <v>198200</v>
      </c>
      <c r="DP25" s="82"/>
      <c r="DQ25" s="82"/>
      <c r="DR25" s="82">
        <f t="shared" si="124"/>
        <v>0</v>
      </c>
      <c r="DS25" s="82">
        <f t="shared" si="125"/>
        <v>0</v>
      </c>
      <c r="DT25" s="82"/>
      <c r="DU25" s="82"/>
      <c r="DV25" s="82"/>
      <c r="DW25" s="82"/>
      <c r="DX25" s="82">
        <f t="shared" si="126"/>
        <v>0</v>
      </c>
      <c r="DY25" s="82">
        <f t="shared" si="127"/>
        <v>0</v>
      </c>
      <c r="DZ25" s="82">
        <f t="shared" si="128"/>
        <v>20</v>
      </c>
      <c r="EA25" s="82">
        <f t="shared" si="129"/>
        <v>198200</v>
      </c>
      <c r="EB25" s="82"/>
      <c r="EC25" s="82"/>
      <c r="ED25" s="82">
        <f t="shared" si="130"/>
        <v>0</v>
      </c>
      <c r="EE25" s="82">
        <f t="shared" si="131"/>
        <v>0</v>
      </c>
      <c r="EF25" s="82"/>
      <c r="EG25" s="82"/>
      <c r="EH25" s="82"/>
      <c r="EI25" s="82"/>
      <c r="EJ25" s="82">
        <f t="shared" si="132"/>
        <v>0</v>
      </c>
      <c r="EK25" s="82">
        <f t="shared" si="133"/>
        <v>0</v>
      </c>
      <c r="EL25" s="82">
        <f t="shared" si="134"/>
        <v>20</v>
      </c>
      <c r="EM25" s="82">
        <f t="shared" si="135"/>
        <v>198200</v>
      </c>
      <c r="EN25" s="82">
        <f t="shared" si="136"/>
        <v>0</v>
      </c>
      <c r="EO25" s="82">
        <f t="shared" si="137"/>
        <v>0</v>
      </c>
      <c r="EP25" s="82">
        <f t="shared" si="138"/>
        <v>20</v>
      </c>
      <c r="EQ25" s="82">
        <f t="shared" si="139"/>
        <v>198200</v>
      </c>
      <c r="ER25" s="82"/>
      <c r="ES25" s="82"/>
      <c r="ET25" s="82">
        <f t="shared" si="140"/>
        <v>0</v>
      </c>
      <c r="EU25" s="82">
        <f t="shared" si="141"/>
        <v>0</v>
      </c>
      <c r="EV25" s="82"/>
      <c r="EW25" s="82"/>
      <c r="EX25" s="82"/>
      <c r="EY25" s="82"/>
      <c r="EZ25" s="82">
        <f t="shared" si="142"/>
        <v>0</v>
      </c>
      <c r="FA25" s="82">
        <f t="shared" si="143"/>
        <v>0</v>
      </c>
      <c r="FB25" s="82">
        <f t="shared" si="144"/>
        <v>20</v>
      </c>
      <c r="FC25" s="82">
        <f t="shared" si="145"/>
        <v>198200</v>
      </c>
      <c r="FD25" s="82"/>
      <c r="FE25" s="82"/>
      <c r="FF25" s="82">
        <f t="shared" si="146"/>
        <v>0</v>
      </c>
      <c r="FG25" s="82">
        <f t="shared" si="147"/>
        <v>0</v>
      </c>
      <c r="FH25" s="82"/>
      <c r="FI25" s="82"/>
      <c r="FJ25" s="82"/>
      <c r="FK25" s="82"/>
      <c r="FL25" s="82">
        <f t="shared" si="148"/>
        <v>0</v>
      </c>
      <c r="FM25" s="82">
        <f t="shared" si="149"/>
        <v>0</v>
      </c>
      <c r="FN25" s="82">
        <f t="shared" si="150"/>
        <v>20</v>
      </c>
      <c r="FO25" s="82">
        <f t="shared" si="151"/>
        <v>198200</v>
      </c>
      <c r="FP25" s="82"/>
      <c r="FQ25" s="82"/>
      <c r="FR25" s="82">
        <f t="shared" si="152"/>
        <v>0</v>
      </c>
      <c r="FS25" s="82">
        <f t="shared" si="153"/>
        <v>0</v>
      </c>
      <c r="FT25" s="82"/>
      <c r="FU25" s="82"/>
      <c r="FV25" s="82"/>
      <c r="FW25" s="82"/>
      <c r="FX25" s="82">
        <f t="shared" si="154"/>
        <v>0</v>
      </c>
      <c r="FY25" s="82">
        <f t="shared" si="155"/>
        <v>0</v>
      </c>
      <c r="FZ25" s="82">
        <f t="shared" si="156"/>
        <v>20</v>
      </c>
      <c r="GA25" s="82">
        <f t="shared" si="157"/>
        <v>198200</v>
      </c>
      <c r="GB25" s="82">
        <f t="shared" si="158"/>
        <v>0</v>
      </c>
      <c r="GC25" s="82">
        <f t="shared" si="159"/>
        <v>0</v>
      </c>
      <c r="GD25" s="82">
        <f t="shared" si="160"/>
        <v>20</v>
      </c>
      <c r="GE25" s="82">
        <f t="shared" si="161"/>
        <v>198200</v>
      </c>
      <c r="GF25" s="85"/>
    </row>
    <row r="26" ht="29.25" customHeight="1">
      <c r="A26" s="96">
        <v>8.0</v>
      </c>
      <c r="B26" s="97"/>
      <c r="C26" s="58" t="s">
        <v>103</v>
      </c>
      <c r="D26" s="92" t="s">
        <v>96</v>
      </c>
      <c r="E26" s="79">
        <v>16983.0</v>
      </c>
      <c r="F26" s="61" t="s">
        <v>97</v>
      </c>
      <c r="G26" s="81">
        <v>19.0</v>
      </c>
      <c r="H26" s="82">
        <v>322677.0</v>
      </c>
      <c r="I26" s="82"/>
      <c r="J26" s="82"/>
      <c r="K26" s="82">
        <f t="shared" si="1"/>
        <v>0</v>
      </c>
      <c r="L26" s="82">
        <f t="shared" si="2"/>
        <v>0</v>
      </c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>
        <f t="shared" si="3"/>
        <v>0</v>
      </c>
      <c r="AC26" s="82">
        <f t="shared" si="4"/>
        <v>0</v>
      </c>
      <c r="AD26" s="82">
        <f t="shared" si="89"/>
        <v>19</v>
      </c>
      <c r="AE26" s="82">
        <f t="shared" si="90"/>
        <v>322677</v>
      </c>
      <c r="AF26" s="82"/>
      <c r="AG26" s="82"/>
      <c r="AH26" s="82">
        <f t="shared" si="91"/>
        <v>0</v>
      </c>
      <c r="AI26" s="82">
        <f t="shared" si="92"/>
        <v>0</v>
      </c>
      <c r="AJ26" s="82"/>
      <c r="AK26" s="82"/>
      <c r="AL26" s="82"/>
      <c r="AM26" s="82"/>
      <c r="AN26" s="82">
        <f t="shared" si="93"/>
        <v>0</v>
      </c>
      <c r="AO26" s="82">
        <f t="shared" si="94"/>
        <v>0</v>
      </c>
      <c r="AP26" s="82">
        <f t="shared" si="11"/>
        <v>19</v>
      </c>
      <c r="AQ26" s="82">
        <f t="shared" si="12"/>
        <v>322677</v>
      </c>
      <c r="AR26" s="82"/>
      <c r="AS26" s="82"/>
      <c r="AT26" s="82"/>
      <c r="AU26" s="82">
        <f t="shared" si="95"/>
        <v>0</v>
      </c>
      <c r="AV26" s="82">
        <f t="shared" si="96"/>
        <v>0</v>
      </c>
      <c r="AW26" s="82"/>
      <c r="AX26" s="82"/>
      <c r="AY26" s="82"/>
      <c r="AZ26" s="82"/>
      <c r="BA26" s="82">
        <f t="shared" si="97"/>
        <v>0</v>
      </c>
      <c r="BB26" s="82">
        <f t="shared" si="98"/>
        <v>0</v>
      </c>
      <c r="BC26" s="82">
        <f t="shared" si="99"/>
        <v>19</v>
      </c>
      <c r="BD26" s="82">
        <f t="shared" si="100"/>
        <v>322677</v>
      </c>
      <c r="BE26" s="82">
        <f t="shared" si="101"/>
        <v>0</v>
      </c>
      <c r="BF26" s="82">
        <f t="shared" si="102"/>
        <v>0</v>
      </c>
      <c r="BG26" s="82">
        <f t="shared" si="103"/>
        <v>19</v>
      </c>
      <c r="BH26" s="82">
        <f t="shared" si="104"/>
        <v>322677</v>
      </c>
      <c r="BI26" s="82"/>
      <c r="BJ26" s="83"/>
      <c r="BK26" s="82">
        <f t="shared" si="105"/>
        <v>0</v>
      </c>
      <c r="BL26" s="82">
        <f t="shared" si="106"/>
        <v>0</v>
      </c>
      <c r="BM26" s="82"/>
      <c r="BN26" s="82"/>
      <c r="BO26" s="82"/>
      <c r="BP26" s="82"/>
      <c r="BQ26" s="82"/>
      <c r="BR26" s="82"/>
      <c r="BS26" s="82"/>
      <c r="BT26" s="82"/>
      <c r="BU26" s="82"/>
      <c r="BV26" s="83"/>
      <c r="BW26" s="82">
        <f t="shared" si="107"/>
        <v>0</v>
      </c>
      <c r="BX26" s="82">
        <f t="shared" si="108"/>
        <v>0</v>
      </c>
      <c r="BY26" s="82">
        <f t="shared" si="109"/>
        <v>19</v>
      </c>
      <c r="BZ26" s="82">
        <f t="shared" si="110"/>
        <v>322677</v>
      </c>
      <c r="CA26" s="82"/>
      <c r="CB26" s="82"/>
      <c r="CC26" s="82">
        <f t="shared" si="111"/>
        <v>0</v>
      </c>
      <c r="CD26" s="82">
        <f t="shared" si="112"/>
        <v>0</v>
      </c>
      <c r="CE26" s="82"/>
      <c r="CF26" s="82"/>
      <c r="CG26" s="82"/>
      <c r="CH26" s="82"/>
      <c r="CI26" s="82">
        <f t="shared" si="113"/>
        <v>0</v>
      </c>
      <c r="CJ26" s="82">
        <f t="shared" si="114"/>
        <v>0</v>
      </c>
      <c r="CK26" s="82">
        <f t="shared" si="33"/>
        <v>19</v>
      </c>
      <c r="CL26" s="82">
        <f t="shared" si="34"/>
        <v>322677</v>
      </c>
      <c r="CM26" s="82"/>
      <c r="CN26" s="82"/>
      <c r="CO26" s="82">
        <f t="shared" si="35"/>
        <v>0</v>
      </c>
      <c r="CP26" s="82">
        <f t="shared" si="36"/>
        <v>0</v>
      </c>
      <c r="CQ26" s="82"/>
      <c r="CR26" s="82"/>
      <c r="CS26" s="82"/>
      <c r="CT26" s="82"/>
      <c r="CU26" s="82">
        <f t="shared" si="115"/>
        <v>0</v>
      </c>
      <c r="CV26" s="82">
        <f t="shared" si="116"/>
        <v>0</v>
      </c>
      <c r="CW26" s="82">
        <f t="shared" si="39"/>
        <v>19</v>
      </c>
      <c r="CX26" s="82">
        <f t="shared" si="40"/>
        <v>322677</v>
      </c>
      <c r="CY26" s="82">
        <f t="shared" si="41"/>
        <v>0</v>
      </c>
      <c r="CZ26" s="82">
        <f t="shared" si="117"/>
        <v>0</v>
      </c>
      <c r="DA26" s="82">
        <f t="shared" si="43"/>
        <v>19</v>
      </c>
      <c r="DB26" s="82">
        <f t="shared" si="44"/>
        <v>322677</v>
      </c>
      <c r="DC26" s="84">
        <v>21.0</v>
      </c>
      <c r="DD26" s="83">
        <v>1.0</v>
      </c>
      <c r="DE26" s="82"/>
      <c r="DF26" s="82">
        <f t="shared" si="118"/>
        <v>1</v>
      </c>
      <c r="DG26" s="82">
        <f t="shared" si="119"/>
        <v>16983</v>
      </c>
      <c r="DH26" s="82"/>
      <c r="DI26" s="82"/>
      <c r="DJ26" s="82"/>
      <c r="DK26" s="82"/>
      <c r="DL26" s="82">
        <f t="shared" si="120"/>
        <v>0</v>
      </c>
      <c r="DM26" s="82">
        <f t="shared" si="121"/>
        <v>0</v>
      </c>
      <c r="DN26" s="82">
        <f t="shared" si="122"/>
        <v>20</v>
      </c>
      <c r="DO26" s="82">
        <f t="shared" si="123"/>
        <v>339660</v>
      </c>
      <c r="DP26" s="82"/>
      <c r="DQ26" s="82"/>
      <c r="DR26" s="82">
        <f t="shared" si="124"/>
        <v>0</v>
      </c>
      <c r="DS26" s="82">
        <f t="shared" si="125"/>
        <v>0</v>
      </c>
      <c r="DT26" s="82"/>
      <c r="DU26" s="82"/>
      <c r="DV26" s="82"/>
      <c r="DW26" s="82"/>
      <c r="DX26" s="82">
        <f t="shared" si="126"/>
        <v>0</v>
      </c>
      <c r="DY26" s="82">
        <f t="shared" si="127"/>
        <v>0</v>
      </c>
      <c r="DZ26" s="82">
        <f t="shared" si="128"/>
        <v>20</v>
      </c>
      <c r="EA26" s="82">
        <f t="shared" si="129"/>
        <v>339660</v>
      </c>
      <c r="EB26" s="82"/>
      <c r="EC26" s="82"/>
      <c r="ED26" s="82">
        <f t="shared" si="130"/>
        <v>0</v>
      </c>
      <c r="EE26" s="82">
        <f t="shared" si="131"/>
        <v>0</v>
      </c>
      <c r="EF26" s="82"/>
      <c r="EG26" s="82"/>
      <c r="EH26" s="82"/>
      <c r="EI26" s="82"/>
      <c r="EJ26" s="82">
        <f t="shared" si="132"/>
        <v>0</v>
      </c>
      <c r="EK26" s="82">
        <f t="shared" si="133"/>
        <v>0</v>
      </c>
      <c r="EL26" s="82">
        <f t="shared" si="134"/>
        <v>20</v>
      </c>
      <c r="EM26" s="82">
        <f t="shared" si="135"/>
        <v>339660</v>
      </c>
      <c r="EN26" s="82">
        <f t="shared" si="136"/>
        <v>1</v>
      </c>
      <c r="EO26" s="82">
        <f t="shared" si="137"/>
        <v>0</v>
      </c>
      <c r="EP26" s="82">
        <f t="shared" si="138"/>
        <v>20</v>
      </c>
      <c r="EQ26" s="82">
        <f t="shared" si="139"/>
        <v>339660</v>
      </c>
      <c r="ER26" s="82"/>
      <c r="ES26" s="82"/>
      <c r="ET26" s="82">
        <f t="shared" si="140"/>
        <v>0</v>
      </c>
      <c r="EU26" s="82">
        <f t="shared" si="141"/>
        <v>0</v>
      </c>
      <c r="EV26" s="82"/>
      <c r="EW26" s="82"/>
      <c r="EX26" s="82"/>
      <c r="EY26" s="82"/>
      <c r="EZ26" s="82">
        <f t="shared" si="142"/>
        <v>0</v>
      </c>
      <c r="FA26" s="82">
        <f t="shared" si="143"/>
        <v>0</v>
      </c>
      <c r="FB26" s="82">
        <f t="shared" si="144"/>
        <v>20</v>
      </c>
      <c r="FC26" s="82">
        <f t="shared" si="145"/>
        <v>339660</v>
      </c>
      <c r="FD26" s="82"/>
      <c r="FE26" s="82"/>
      <c r="FF26" s="82">
        <f t="shared" si="146"/>
        <v>0</v>
      </c>
      <c r="FG26" s="82">
        <f t="shared" si="147"/>
        <v>0</v>
      </c>
      <c r="FH26" s="82"/>
      <c r="FI26" s="82"/>
      <c r="FJ26" s="82"/>
      <c r="FK26" s="82"/>
      <c r="FL26" s="82">
        <f t="shared" si="148"/>
        <v>0</v>
      </c>
      <c r="FM26" s="82">
        <f t="shared" si="149"/>
        <v>0</v>
      </c>
      <c r="FN26" s="82">
        <f t="shared" si="150"/>
        <v>20</v>
      </c>
      <c r="FO26" s="82">
        <f t="shared" si="151"/>
        <v>339660</v>
      </c>
      <c r="FP26" s="82"/>
      <c r="FQ26" s="82"/>
      <c r="FR26" s="82">
        <f t="shared" si="152"/>
        <v>0</v>
      </c>
      <c r="FS26" s="82">
        <f t="shared" si="153"/>
        <v>0</v>
      </c>
      <c r="FT26" s="82"/>
      <c r="FU26" s="82"/>
      <c r="FV26" s="82"/>
      <c r="FW26" s="82"/>
      <c r="FX26" s="82">
        <f t="shared" si="154"/>
        <v>0</v>
      </c>
      <c r="FY26" s="82">
        <f t="shared" si="155"/>
        <v>0</v>
      </c>
      <c r="FZ26" s="82">
        <f t="shared" si="156"/>
        <v>20</v>
      </c>
      <c r="GA26" s="82">
        <f t="shared" si="157"/>
        <v>339660</v>
      </c>
      <c r="GB26" s="82">
        <f t="shared" si="158"/>
        <v>0</v>
      </c>
      <c r="GC26" s="82">
        <f t="shared" si="159"/>
        <v>0</v>
      </c>
      <c r="GD26" s="82">
        <f t="shared" si="160"/>
        <v>20</v>
      </c>
      <c r="GE26" s="82">
        <f t="shared" si="161"/>
        <v>339660</v>
      </c>
      <c r="GF26" s="85"/>
    </row>
    <row r="27" ht="29.25" customHeight="1">
      <c r="A27" s="76">
        <v>9.0</v>
      </c>
      <c r="B27" s="87"/>
      <c r="C27" s="77" t="s">
        <v>104</v>
      </c>
      <c r="D27" s="78" t="s">
        <v>105</v>
      </c>
      <c r="E27" s="79">
        <v>3657.5</v>
      </c>
      <c r="F27" s="61"/>
      <c r="G27" s="81">
        <v>1025.0</v>
      </c>
      <c r="H27" s="82">
        <v>3748937.5</v>
      </c>
      <c r="I27" s="82"/>
      <c r="J27" s="82"/>
      <c r="K27" s="82">
        <f t="shared" si="1"/>
        <v>0</v>
      </c>
      <c r="L27" s="82">
        <f t="shared" si="2"/>
        <v>0</v>
      </c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>
        <f t="shared" si="3"/>
        <v>0</v>
      </c>
      <c r="AC27" s="82">
        <f t="shared" si="4"/>
        <v>0</v>
      </c>
      <c r="AD27" s="82">
        <f t="shared" si="89"/>
        <v>1025</v>
      </c>
      <c r="AE27" s="82">
        <f t="shared" si="90"/>
        <v>3748937.5</v>
      </c>
      <c r="AF27" s="82"/>
      <c r="AG27" s="82"/>
      <c r="AH27" s="82">
        <f t="shared" si="91"/>
        <v>0</v>
      </c>
      <c r="AI27" s="82">
        <f t="shared" si="92"/>
        <v>0</v>
      </c>
      <c r="AJ27" s="82"/>
      <c r="AK27" s="82"/>
      <c r="AL27" s="82"/>
      <c r="AM27" s="82"/>
      <c r="AN27" s="82">
        <f t="shared" si="93"/>
        <v>0</v>
      </c>
      <c r="AO27" s="82">
        <f t="shared" si="94"/>
        <v>0</v>
      </c>
      <c r="AP27" s="82">
        <f t="shared" si="11"/>
        <v>1025</v>
      </c>
      <c r="AQ27" s="82">
        <f t="shared" si="12"/>
        <v>3748937.5</v>
      </c>
      <c r="AR27" s="82"/>
      <c r="AS27" s="82"/>
      <c r="AT27" s="82"/>
      <c r="AU27" s="82">
        <f t="shared" si="95"/>
        <v>0</v>
      </c>
      <c r="AV27" s="82">
        <f t="shared" si="96"/>
        <v>0</v>
      </c>
      <c r="AW27" s="82"/>
      <c r="AX27" s="82"/>
      <c r="AY27" s="82"/>
      <c r="AZ27" s="82"/>
      <c r="BA27" s="82">
        <f t="shared" si="97"/>
        <v>0</v>
      </c>
      <c r="BB27" s="82">
        <f t="shared" si="98"/>
        <v>0</v>
      </c>
      <c r="BC27" s="82">
        <f t="shared" si="99"/>
        <v>1025</v>
      </c>
      <c r="BD27" s="82">
        <f t="shared" si="100"/>
        <v>3748937.5</v>
      </c>
      <c r="BE27" s="82">
        <f t="shared" si="101"/>
        <v>0</v>
      </c>
      <c r="BF27" s="82">
        <f t="shared" si="102"/>
        <v>0</v>
      </c>
      <c r="BG27" s="82">
        <f t="shared" si="103"/>
        <v>1025</v>
      </c>
      <c r="BH27" s="82">
        <f t="shared" si="104"/>
        <v>3748937.5</v>
      </c>
      <c r="BI27" s="82"/>
      <c r="BJ27" s="83"/>
      <c r="BK27" s="82">
        <f t="shared" si="105"/>
        <v>0</v>
      </c>
      <c r="BL27" s="82">
        <f t="shared" si="106"/>
        <v>0</v>
      </c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>
        <f t="shared" si="107"/>
        <v>0</v>
      </c>
      <c r="BX27" s="82">
        <f t="shared" si="108"/>
        <v>0</v>
      </c>
      <c r="BY27" s="82">
        <f t="shared" si="109"/>
        <v>1025</v>
      </c>
      <c r="BZ27" s="82">
        <f t="shared" si="110"/>
        <v>3748937.5</v>
      </c>
      <c r="CA27" s="82"/>
      <c r="CB27" s="82"/>
      <c r="CC27" s="82">
        <f t="shared" si="111"/>
        <v>0</v>
      </c>
      <c r="CD27" s="82">
        <f t="shared" si="112"/>
        <v>0</v>
      </c>
      <c r="CE27" s="82"/>
      <c r="CF27" s="82"/>
      <c r="CG27" s="82"/>
      <c r="CH27" s="82"/>
      <c r="CI27" s="82">
        <f t="shared" si="113"/>
        <v>0</v>
      </c>
      <c r="CJ27" s="82">
        <f t="shared" si="114"/>
        <v>0</v>
      </c>
      <c r="CK27" s="82">
        <f t="shared" si="33"/>
        <v>1025</v>
      </c>
      <c r="CL27" s="82">
        <f t="shared" si="34"/>
        <v>3748937.5</v>
      </c>
      <c r="CM27" s="82"/>
      <c r="CN27" s="82"/>
      <c r="CO27" s="82">
        <f t="shared" si="35"/>
        <v>0</v>
      </c>
      <c r="CP27" s="82">
        <f t="shared" si="36"/>
        <v>0</v>
      </c>
      <c r="CQ27" s="82"/>
      <c r="CR27" s="82"/>
      <c r="CS27" s="82"/>
      <c r="CT27" s="82"/>
      <c r="CU27" s="82">
        <f t="shared" si="115"/>
        <v>0</v>
      </c>
      <c r="CV27" s="82">
        <f t="shared" si="116"/>
        <v>0</v>
      </c>
      <c r="CW27" s="82">
        <f t="shared" si="39"/>
        <v>1025</v>
      </c>
      <c r="CX27" s="82">
        <f t="shared" si="40"/>
        <v>3748937.5</v>
      </c>
      <c r="CY27" s="82">
        <f t="shared" si="41"/>
        <v>0</v>
      </c>
      <c r="CZ27" s="82">
        <f t="shared" si="117"/>
        <v>0</v>
      </c>
      <c r="DA27" s="82">
        <f t="shared" si="43"/>
        <v>1025</v>
      </c>
      <c r="DB27" s="82">
        <f t="shared" si="44"/>
        <v>3748937.5</v>
      </c>
      <c r="DC27" s="84">
        <v>1150.0</v>
      </c>
      <c r="DD27" s="82"/>
      <c r="DE27" s="82"/>
      <c r="DF27" s="82">
        <f t="shared" si="118"/>
        <v>0</v>
      </c>
      <c r="DG27" s="82">
        <f t="shared" si="119"/>
        <v>0</v>
      </c>
      <c r="DH27" s="82"/>
      <c r="DI27" s="82"/>
      <c r="DJ27" s="82"/>
      <c r="DK27" s="82"/>
      <c r="DL27" s="82">
        <f t="shared" si="120"/>
        <v>0</v>
      </c>
      <c r="DM27" s="82">
        <f t="shared" si="121"/>
        <v>0</v>
      </c>
      <c r="DN27" s="82">
        <f t="shared" si="122"/>
        <v>1025</v>
      </c>
      <c r="DO27" s="82">
        <f t="shared" si="123"/>
        <v>3748937.5</v>
      </c>
      <c r="DP27" s="82"/>
      <c r="DQ27" s="82"/>
      <c r="DR27" s="82">
        <f t="shared" si="124"/>
        <v>0</v>
      </c>
      <c r="DS27" s="82">
        <f t="shared" si="125"/>
        <v>0</v>
      </c>
      <c r="DT27" s="82"/>
      <c r="DU27" s="82"/>
      <c r="DV27" s="82"/>
      <c r="DW27" s="82"/>
      <c r="DX27" s="82">
        <f t="shared" si="126"/>
        <v>0</v>
      </c>
      <c r="DY27" s="82">
        <f t="shared" si="127"/>
        <v>0</v>
      </c>
      <c r="DZ27" s="82">
        <f t="shared" si="128"/>
        <v>1025</v>
      </c>
      <c r="EA27" s="82">
        <f t="shared" si="129"/>
        <v>3748937.5</v>
      </c>
      <c r="EB27" s="82"/>
      <c r="EC27" s="82"/>
      <c r="ED27" s="82">
        <f t="shared" si="130"/>
        <v>0</v>
      </c>
      <c r="EE27" s="82">
        <f t="shared" si="131"/>
        <v>0</v>
      </c>
      <c r="EF27" s="82"/>
      <c r="EG27" s="82"/>
      <c r="EH27" s="82"/>
      <c r="EI27" s="82"/>
      <c r="EJ27" s="82">
        <f t="shared" si="132"/>
        <v>0</v>
      </c>
      <c r="EK27" s="82">
        <f t="shared" si="133"/>
        <v>0</v>
      </c>
      <c r="EL27" s="82">
        <f t="shared" si="134"/>
        <v>1025</v>
      </c>
      <c r="EM27" s="82">
        <f t="shared" si="135"/>
        <v>3748937.5</v>
      </c>
      <c r="EN27" s="82">
        <f t="shared" si="136"/>
        <v>0</v>
      </c>
      <c r="EO27" s="82">
        <f t="shared" si="137"/>
        <v>0</v>
      </c>
      <c r="EP27" s="82">
        <f t="shared" si="138"/>
        <v>1025</v>
      </c>
      <c r="EQ27" s="82">
        <f t="shared" si="139"/>
        <v>3748937.5</v>
      </c>
      <c r="ER27" s="82"/>
      <c r="ES27" s="82"/>
      <c r="ET27" s="82">
        <f t="shared" si="140"/>
        <v>0</v>
      </c>
      <c r="EU27" s="82">
        <f t="shared" si="141"/>
        <v>0</v>
      </c>
      <c r="EV27" s="82"/>
      <c r="EW27" s="82"/>
      <c r="EX27" s="82"/>
      <c r="EY27" s="82"/>
      <c r="EZ27" s="82">
        <f t="shared" si="142"/>
        <v>0</v>
      </c>
      <c r="FA27" s="82">
        <f t="shared" si="143"/>
        <v>0</v>
      </c>
      <c r="FB27" s="82">
        <f t="shared" si="144"/>
        <v>1025</v>
      </c>
      <c r="FC27" s="82">
        <f t="shared" si="145"/>
        <v>3748937.5</v>
      </c>
      <c r="FD27" s="82"/>
      <c r="FE27" s="82"/>
      <c r="FF27" s="82">
        <f t="shared" si="146"/>
        <v>0</v>
      </c>
      <c r="FG27" s="82">
        <f t="shared" si="147"/>
        <v>0</v>
      </c>
      <c r="FH27" s="82"/>
      <c r="FI27" s="82"/>
      <c r="FJ27" s="82"/>
      <c r="FK27" s="82"/>
      <c r="FL27" s="82">
        <f t="shared" si="148"/>
        <v>0</v>
      </c>
      <c r="FM27" s="82">
        <f t="shared" si="149"/>
        <v>0</v>
      </c>
      <c r="FN27" s="82">
        <f t="shared" si="150"/>
        <v>1025</v>
      </c>
      <c r="FO27" s="82">
        <f t="shared" si="151"/>
        <v>3748937.5</v>
      </c>
      <c r="FP27" s="82"/>
      <c r="FQ27" s="82"/>
      <c r="FR27" s="82">
        <f t="shared" si="152"/>
        <v>0</v>
      </c>
      <c r="FS27" s="82">
        <f t="shared" si="153"/>
        <v>0</v>
      </c>
      <c r="FT27" s="82"/>
      <c r="FU27" s="82"/>
      <c r="FV27" s="82"/>
      <c r="FW27" s="82"/>
      <c r="FX27" s="82">
        <f t="shared" si="154"/>
        <v>0</v>
      </c>
      <c r="FY27" s="82">
        <f t="shared" si="155"/>
        <v>0</v>
      </c>
      <c r="FZ27" s="82">
        <f t="shared" si="156"/>
        <v>1025</v>
      </c>
      <c r="GA27" s="82">
        <f t="shared" si="157"/>
        <v>3748937.5</v>
      </c>
      <c r="GB27" s="82">
        <f t="shared" si="158"/>
        <v>0</v>
      </c>
      <c r="GC27" s="82">
        <f t="shared" si="159"/>
        <v>0</v>
      </c>
      <c r="GD27" s="82">
        <f t="shared" si="160"/>
        <v>1025</v>
      </c>
      <c r="GE27" s="82">
        <f t="shared" si="161"/>
        <v>3748937.5</v>
      </c>
      <c r="GF27" s="85"/>
    </row>
    <row r="28" ht="29.25" customHeight="1">
      <c r="A28" s="50"/>
      <c r="B28" s="50"/>
      <c r="C28" s="50"/>
      <c r="D28" s="78" t="s">
        <v>105</v>
      </c>
      <c r="E28" s="79">
        <v>3885.0</v>
      </c>
      <c r="F28" s="61" t="s">
        <v>92</v>
      </c>
      <c r="G28" s="81">
        <v>65.0</v>
      </c>
      <c r="H28" s="82">
        <v>252525.0</v>
      </c>
      <c r="I28" s="82"/>
      <c r="J28" s="82"/>
      <c r="K28" s="82">
        <f t="shared" si="1"/>
        <v>0</v>
      </c>
      <c r="L28" s="82">
        <f t="shared" si="2"/>
        <v>0</v>
      </c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>
        <f t="shared" si="3"/>
        <v>0</v>
      </c>
      <c r="AC28" s="82">
        <f t="shared" si="4"/>
        <v>0</v>
      </c>
      <c r="AD28" s="82">
        <f t="shared" si="89"/>
        <v>65</v>
      </c>
      <c r="AE28" s="82">
        <f t="shared" si="90"/>
        <v>252525</v>
      </c>
      <c r="AF28" s="82"/>
      <c r="AG28" s="82"/>
      <c r="AH28" s="82">
        <f t="shared" si="91"/>
        <v>0</v>
      </c>
      <c r="AI28" s="82">
        <f t="shared" si="92"/>
        <v>0</v>
      </c>
      <c r="AJ28" s="82"/>
      <c r="AK28" s="82"/>
      <c r="AL28" s="82"/>
      <c r="AM28" s="82"/>
      <c r="AN28" s="82">
        <f t="shared" si="93"/>
        <v>0</v>
      </c>
      <c r="AO28" s="82">
        <f t="shared" si="94"/>
        <v>0</v>
      </c>
      <c r="AP28" s="82">
        <f t="shared" si="11"/>
        <v>65</v>
      </c>
      <c r="AQ28" s="82">
        <f t="shared" si="12"/>
        <v>252525</v>
      </c>
      <c r="AR28" s="82"/>
      <c r="AS28" s="82"/>
      <c r="AT28" s="82"/>
      <c r="AU28" s="82">
        <f t="shared" si="95"/>
        <v>0</v>
      </c>
      <c r="AV28" s="82">
        <f t="shared" si="96"/>
        <v>0</v>
      </c>
      <c r="AW28" s="82"/>
      <c r="AX28" s="82"/>
      <c r="AY28" s="82"/>
      <c r="AZ28" s="82"/>
      <c r="BA28" s="82">
        <f t="shared" si="97"/>
        <v>0</v>
      </c>
      <c r="BB28" s="82">
        <f t="shared" si="98"/>
        <v>0</v>
      </c>
      <c r="BC28" s="82">
        <f t="shared" si="99"/>
        <v>65</v>
      </c>
      <c r="BD28" s="82">
        <f t="shared" si="100"/>
        <v>252525</v>
      </c>
      <c r="BE28" s="82">
        <f t="shared" si="101"/>
        <v>0</v>
      </c>
      <c r="BF28" s="82">
        <f t="shared" si="102"/>
        <v>0</v>
      </c>
      <c r="BG28" s="82">
        <f t="shared" si="103"/>
        <v>65</v>
      </c>
      <c r="BH28" s="82">
        <f t="shared" si="104"/>
        <v>252525</v>
      </c>
      <c r="BI28" s="82"/>
      <c r="BJ28" s="83"/>
      <c r="BK28" s="82">
        <f t="shared" si="105"/>
        <v>0</v>
      </c>
      <c r="BL28" s="82">
        <f t="shared" si="106"/>
        <v>0</v>
      </c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>
        <f t="shared" si="107"/>
        <v>0</v>
      </c>
      <c r="BX28" s="82">
        <f t="shared" si="108"/>
        <v>0</v>
      </c>
      <c r="BY28" s="82">
        <f t="shared" si="109"/>
        <v>65</v>
      </c>
      <c r="BZ28" s="82">
        <f t="shared" si="110"/>
        <v>252525</v>
      </c>
      <c r="CA28" s="82"/>
      <c r="CB28" s="82"/>
      <c r="CC28" s="82">
        <f t="shared" si="111"/>
        <v>0</v>
      </c>
      <c r="CD28" s="82">
        <f t="shared" si="112"/>
        <v>0</v>
      </c>
      <c r="CE28" s="82"/>
      <c r="CF28" s="82"/>
      <c r="CG28" s="82"/>
      <c r="CH28" s="82"/>
      <c r="CI28" s="82">
        <f t="shared" si="113"/>
        <v>0</v>
      </c>
      <c r="CJ28" s="82">
        <f t="shared" si="114"/>
        <v>0</v>
      </c>
      <c r="CK28" s="82">
        <f t="shared" si="33"/>
        <v>65</v>
      </c>
      <c r="CL28" s="82">
        <f t="shared" si="34"/>
        <v>252525</v>
      </c>
      <c r="CM28" s="82"/>
      <c r="CN28" s="82"/>
      <c r="CO28" s="82">
        <f t="shared" si="35"/>
        <v>0</v>
      </c>
      <c r="CP28" s="82">
        <f t="shared" si="36"/>
        <v>0</v>
      </c>
      <c r="CQ28" s="82"/>
      <c r="CR28" s="82"/>
      <c r="CS28" s="82"/>
      <c r="CT28" s="82"/>
      <c r="CU28" s="82">
        <f t="shared" si="115"/>
        <v>0</v>
      </c>
      <c r="CV28" s="82">
        <f t="shared" si="116"/>
        <v>0</v>
      </c>
      <c r="CW28" s="82">
        <f t="shared" si="39"/>
        <v>65</v>
      </c>
      <c r="CX28" s="82">
        <f t="shared" si="40"/>
        <v>252525</v>
      </c>
      <c r="CY28" s="82">
        <f t="shared" si="41"/>
        <v>0</v>
      </c>
      <c r="CZ28" s="82">
        <f t="shared" si="117"/>
        <v>0</v>
      </c>
      <c r="DA28" s="82">
        <f t="shared" si="43"/>
        <v>65</v>
      </c>
      <c r="DB28" s="82">
        <f t="shared" si="44"/>
        <v>252525</v>
      </c>
      <c r="DC28" s="91"/>
      <c r="DD28" s="82"/>
      <c r="DE28" s="82"/>
      <c r="DF28" s="82">
        <f t="shared" si="118"/>
        <v>0</v>
      </c>
      <c r="DG28" s="82">
        <f t="shared" si="119"/>
        <v>0</v>
      </c>
      <c r="DH28" s="82"/>
      <c r="DI28" s="82"/>
      <c r="DJ28" s="82"/>
      <c r="DK28" s="82"/>
      <c r="DL28" s="82">
        <f t="shared" si="120"/>
        <v>0</v>
      </c>
      <c r="DM28" s="82">
        <f t="shared" si="121"/>
        <v>0</v>
      </c>
      <c r="DN28" s="82">
        <f t="shared" si="122"/>
        <v>65</v>
      </c>
      <c r="DO28" s="82">
        <f t="shared" si="123"/>
        <v>252525</v>
      </c>
      <c r="DP28" s="82"/>
      <c r="DQ28" s="82"/>
      <c r="DR28" s="82">
        <f t="shared" si="124"/>
        <v>0</v>
      </c>
      <c r="DS28" s="82">
        <f t="shared" si="125"/>
        <v>0</v>
      </c>
      <c r="DT28" s="82"/>
      <c r="DU28" s="82"/>
      <c r="DV28" s="82"/>
      <c r="DW28" s="82"/>
      <c r="DX28" s="82">
        <f t="shared" si="126"/>
        <v>0</v>
      </c>
      <c r="DY28" s="82">
        <f t="shared" si="127"/>
        <v>0</v>
      </c>
      <c r="DZ28" s="82">
        <f t="shared" si="128"/>
        <v>65</v>
      </c>
      <c r="EA28" s="82">
        <f t="shared" si="129"/>
        <v>252525</v>
      </c>
      <c r="EB28" s="82"/>
      <c r="EC28" s="82"/>
      <c r="ED28" s="82">
        <f t="shared" si="130"/>
        <v>0</v>
      </c>
      <c r="EE28" s="82">
        <f t="shared" si="131"/>
        <v>0</v>
      </c>
      <c r="EF28" s="82"/>
      <c r="EG28" s="82"/>
      <c r="EH28" s="82"/>
      <c r="EI28" s="82"/>
      <c r="EJ28" s="82">
        <f t="shared" si="132"/>
        <v>0</v>
      </c>
      <c r="EK28" s="82">
        <f t="shared" si="133"/>
        <v>0</v>
      </c>
      <c r="EL28" s="82">
        <f t="shared" si="134"/>
        <v>65</v>
      </c>
      <c r="EM28" s="82">
        <f t="shared" si="135"/>
        <v>252525</v>
      </c>
      <c r="EN28" s="82">
        <f t="shared" si="136"/>
        <v>0</v>
      </c>
      <c r="EO28" s="82">
        <f t="shared" si="137"/>
        <v>0</v>
      </c>
      <c r="EP28" s="82">
        <f t="shared" si="138"/>
        <v>65</v>
      </c>
      <c r="EQ28" s="82">
        <f t="shared" si="139"/>
        <v>252525</v>
      </c>
      <c r="ER28" s="82"/>
      <c r="ES28" s="82"/>
      <c r="ET28" s="82">
        <f t="shared" si="140"/>
        <v>0</v>
      </c>
      <c r="EU28" s="82">
        <f t="shared" si="141"/>
        <v>0</v>
      </c>
      <c r="EV28" s="82"/>
      <c r="EW28" s="82"/>
      <c r="EX28" s="82"/>
      <c r="EY28" s="82"/>
      <c r="EZ28" s="82">
        <f t="shared" si="142"/>
        <v>0</v>
      </c>
      <c r="FA28" s="82">
        <f t="shared" si="143"/>
        <v>0</v>
      </c>
      <c r="FB28" s="82">
        <f t="shared" si="144"/>
        <v>65</v>
      </c>
      <c r="FC28" s="82">
        <f t="shared" si="145"/>
        <v>252525</v>
      </c>
      <c r="FD28" s="82"/>
      <c r="FE28" s="82"/>
      <c r="FF28" s="82">
        <f t="shared" si="146"/>
        <v>0</v>
      </c>
      <c r="FG28" s="82">
        <f t="shared" si="147"/>
        <v>0</v>
      </c>
      <c r="FH28" s="82"/>
      <c r="FI28" s="82"/>
      <c r="FJ28" s="82"/>
      <c r="FK28" s="82"/>
      <c r="FL28" s="82">
        <f t="shared" si="148"/>
        <v>0</v>
      </c>
      <c r="FM28" s="82">
        <f t="shared" si="149"/>
        <v>0</v>
      </c>
      <c r="FN28" s="82">
        <f t="shared" si="150"/>
        <v>65</v>
      </c>
      <c r="FO28" s="82">
        <f t="shared" si="151"/>
        <v>252525</v>
      </c>
      <c r="FP28" s="82"/>
      <c r="FQ28" s="82"/>
      <c r="FR28" s="82">
        <f t="shared" si="152"/>
        <v>0</v>
      </c>
      <c r="FS28" s="82">
        <f t="shared" si="153"/>
        <v>0</v>
      </c>
      <c r="FT28" s="82"/>
      <c r="FU28" s="82"/>
      <c r="FV28" s="82"/>
      <c r="FW28" s="82"/>
      <c r="FX28" s="82">
        <f t="shared" si="154"/>
        <v>0</v>
      </c>
      <c r="FY28" s="82">
        <f t="shared" si="155"/>
        <v>0</v>
      </c>
      <c r="FZ28" s="82">
        <f t="shared" si="156"/>
        <v>65</v>
      </c>
      <c r="GA28" s="82">
        <f t="shared" si="157"/>
        <v>252525</v>
      </c>
      <c r="GB28" s="82">
        <f t="shared" si="158"/>
        <v>0</v>
      </c>
      <c r="GC28" s="82">
        <f t="shared" si="159"/>
        <v>0</v>
      </c>
      <c r="GD28" s="82">
        <f t="shared" si="160"/>
        <v>65</v>
      </c>
      <c r="GE28" s="82">
        <f t="shared" si="161"/>
        <v>252525</v>
      </c>
      <c r="GF28" s="85"/>
    </row>
    <row r="29" ht="29.25" customHeight="1">
      <c r="A29" s="76">
        <v>10.0</v>
      </c>
      <c r="B29" s="87"/>
      <c r="C29" s="77" t="s">
        <v>106</v>
      </c>
      <c r="D29" s="78" t="s">
        <v>105</v>
      </c>
      <c r="E29" s="79">
        <v>4400.0</v>
      </c>
      <c r="F29" s="61"/>
      <c r="G29" s="81">
        <v>356.0</v>
      </c>
      <c r="H29" s="82">
        <v>1566400.0</v>
      </c>
      <c r="I29" s="82"/>
      <c r="J29" s="82"/>
      <c r="K29" s="82">
        <f t="shared" si="1"/>
        <v>0</v>
      </c>
      <c r="L29" s="82">
        <f t="shared" si="2"/>
        <v>0</v>
      </c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>
        <f t="shared" si="3"/>
        <v>0</v>
      </c>
      <c r="AC29" s="82">
        <f t="shared" si="4"/>
        <v>0</v>
      </c>
      <c r="AD29" s="82">
        <f t="shared" si="89"/>
        <v>356</v>
      </c>
      <c r="AE29" s="82">
        <f t="shared" si="90"/>
        <v>1566400</v>
      </c>
      <c r="AF29" s="82"/>
      <c r="AG29" s="82"/>
      <c r="AH29" s="82">
        <f t="shared" si="91"/>
        <v>0</v>
      </c>
      <c r="AI29" s="82">
        <f t="shared" si="92"/>
        <v>0</v>
      </c>
      <c r="AJ29" s="82"/>
      <c r="AK29" s="82"/>
      <c r="AL29" s="82"/>
      <c r="AM29" s="82"/>
      <c r="AN29" s="82">
        <f t="shared" si="93"/>
        <v>0</v>
      </c>
      <c r="AO29" s="82">
        <f t="shared" si="94"/>
        <v>0</v>
      </c>
      <c r="AP29" s="82">
        <f t="shared" si="11"/>
        <v>356</v>
      </c>
      <c r="AQ29" s="82">
        <f t="shared" si="12"/>
        <v>1566400</v>
      </c>
      <c r="AR29" s="82"/>
      <c r="AS29" s="82"/>
      <c r="AT29" s="82"/>
      <c r="AU29" s="82">
        <f t="shared" si="95"/>
        <v>0</v>
      </c>
      <c r="AV29" s="82">
        <f t="shared" si="96"/>
        <v>0</v>
      </c>
      <c r="AW29" s="82"/>
      <c r="AX29" s="82"/>
      <c r="AY29" s="82"/>
      <c r="AZ29" s="82"/>
      <c r="BA29" s="82">
        <f t="shared" si="97"/>
        <v>0</v>
      </c>
      <c r="BB29" s="82">
        <f t="shared" si="98"/>
        <v>0</v>
      </c>
      <c r="BC29" s="82">
        <f t="shared" si="99"/>
        <v>356</v>
      </c>
      <c r="BD29" s="82">
        <f t="shared" si="100"/>
        <v>1566400</v>
      </c>
      <c r="BE29" s="82">
        <f t="shared" si="101"/>
        <v>0</v>
      </c>
      <c r="BF29" s="82">
        <f t="shared" si="102"/>
        <v>0</v>
      </c>
      <c r="BG29" s="82">
        <f t="shared" si="103"/>
        <v>356</v>
      </c>
      <c r="BH29" s="82">
        <f t="shared" si="104"/>
        <v>1566400</v>
      </c>
      <c r="BI29" s="82"/>
      <c r="BJ29" s="83"/>
      <c r="BK29" s="82">
        <f t="shared" si="105"/>
        <v>0</v>
      </c>
      <c r="BL29" s="82">
        <f t="shared" si="106"/>
        <v>0</v>
      </c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>
        <f t="shared" si="107"/>
        <v>0</v>
      </c>
      <c r="BX29" s="82">
        <f t="shared" si="108"/>
        <v>0</v>
      </c>
      <c r="BY29" s="82">
        <f t="shared" si="109"/>
        <v>356</v>
      </c>
      <c r="BZ29" s="82">
        <f t="shared" si="110"/>
        <v>1566400</v>
      </c>
      <c r="CA29" s="82"/>
      <c r="CB29" s="82"/>
      <c r="CC29" s="82">
        <f t="shared" si="111"/>
        <v>0</v>
      </c>
      <c r="CD29" s="82">
        <f t="shared" si="112"/>
        <v>0</v>
      </c>
      <c r="CE29" s="82"/>
      <c r="CF29" s="82"/>
      <c r="CG29" s="82"/>
      <c r="CH29" s="82"/>
      <c r="CI29" s="82">
        <f t="shared" si="113"/>
        <v>0</v>
      </c>
      <c r="CJ29" s="82">
        <f t="shared" si="114"/>
        <v>0</v>
      </c>
      <c r="CK29" s="82">
        <f t="shared" si="33"/>
        <v>356</v>
      </c>
      <c r="CL29" s="82">
        <f t="shared" si="34"/>
        <v>1566400</v>
      </c>
      <c r="CM29" s="82"/>
      <c r="CN29" s="82"/>
      <c r="CO29" s="82">
        <f t="shared" si="35"/>
        <v>0</v>
      </c>
      <c r="CP29" s="82">
        <f t="shared" si="36"/>
        <v>0</v>
      </c>
      <c r="CQ29" s="82"/>
      <c r="CR29" s="82"/>
      <c r="CS29" s="82"/>
      <c r="CT29" s="82"/>
      <c r="CU29" s="82">
        <f t="shared" si="115"/>
        <v>0</v>
      </c>
      <c r="CV29" s="82">
        <f t="shared" si="116"/>
        <v>0</v>
      </c>
      <c r="CW29" s="82">
        <f t="shared" si="39"/>
        <v>356</v>
      </c>
      <c r="CX29" s="82">
        <f t="shared" si="40"/>
        <v>1566400</v>
      </c>
      <c r="CY29" s="82">
        <f t="shared" si="41"/>
        <v>0</v>
      </c>
      <c r="CZ29" s="82">
        <f t="shared" si="117"/>
        <v>0</v>
      </c>
      <c r="DA29" s="82">
        <f t="shared" si="43"/>
        <v>356</v>
      </c>
      <c r="DB29" s="82">
        <f t="shared" si="44"/>
        <v>1566400</v>
      </c>
      <c r="DC29" s="91"/>
      <c r="DD29" s="82"/>
      <c r="DE29" s="82"/>
      <c r="DF29" s="82">
        <f t="shared" si="118"/>
        <v>0</v>
      </c>
      <c r="DG29" s="82">
        <f t="shared" si="119"/>
        <v>0</v>
      </c>
      <c r="DH29" s="82"/>
      <c r="DI29" s="82"/>
      <c r="DJ29" s="82"/>
      <c r="DK29" s="82"/>
      <c r="DL29" s="82">
        <f t="shared" si="120"/>
        <v>0</v>
      </c>
      <c r="DM29" s="82">
        <f t="shared" si="121"/>
        <v>0</v>
      </c>
      <c r="DN29" s="82">
        <f t="shared" si="122"/>
        <v>356</v>
      </c>
      <c r="DO29" s="82">
        <f t="shared" si="123"/>
        <v>1566400</v>
      </c>
      <c r="DP29" s="82"/>
      <c r="DQ29" s="82"/>
      <c r="DR29" s="82">
        <f t="shared" si="124"/>
        <v>0</v>
      </c>
      <c r="DS29" s="82">
        <f t="shared" si="125"/>
        <v>0</v>
      </c>
      <c r="DT29" s="82"/>
      <c r="DU29" s="82"/>
      <c r="DV29" s="82"/>
      <c r="DW29" s="82"/>
      <c r="DX29" s="82">
        <f t="shared" si="126"/>
        <v>0</v>
      </c>
      <c r="DY29" s="82">
        <f t="shared" si="127"/>
        <v>0</v>
      </c>
      <c r="DZ29" s="82">
        <f t="shared" si="128"/>
        <v>356</v>
      </c>
      <c r="EA29" s="82">
        <f t="shared" si="129"/>
        <v>1566400</v>
      </c>
      <c r="EB29" s="82"/>
      <c r="EC29" s="82"/>
      <c r="ED29" s="82">
        <f t="shared" si="130"/>
        <v>0</v>
      </c>
      <c r="EE29" s="82">
        <f t="shared" si="131"/>
        <v>0</v>
      </c>
      <c r="EF29" s="82"/>
      <c r="EG29" s="82"/>
      <c r="EH29" s="82"/>
      <c r="EI29" s="82"/>
      <c r="EJ29" s="82">
        <f t="shared" si="132"/>
        <v>0</v>
      </c>
      <c r="EK29" s="82">
        <f t="shared" si="133"/>
        <v>0</v>
      </c>
      <c r="EL29" s="82">
        <f t="shared" si="134"/>
        <v>356</v>
      </c>
      <c r="EM29" s="82">
        <f t="shared" si="135"/>
        <v>1566400</v>
      </c>
      <c r="EN29" s="82">
        <f t="shared" si="136"/>
        <v>0</v>
      </c>
      <c r="EO29" s="82">
        <f t="shared" si="137"/>
        <v>0</v>
      </c>
      <c r="EP29" s="82">
        <f t="shared" si="138"/>
        <v>356</v>
      </c>
      <c r="EQ29" s="82">
        <f t="shared" si="139"/>
        <v>1566400</v>
      </c>
      <c r="ER29" s="82"/>
      <c r="ES29" s="82"/>
      <c r="ET29" s="82">
        <f t="shared" si="140"/>
        <v>0</v>
      </c>
      <c r="EU29" s="82">
        <f t="shared" si="141"/>
        <v>0</v>
      </c>
      <c r="EV29" s="82"/>
      <c r="EW29" s="82"/>
      <c r="EX29" s="82"/>
      <c r="EY29" s="82"/>
      <c r="EZ29" s="82">
        <f t="shared" si="142"/>
        <v>0</v>
      </c>
      <c r="FA29" s="82">
        <f t="shared" si="143"/>
        <v>0</v>
      </c>
      <c r="FB29" s="82">
        <f t="shared" si="144"/>
        <v>356</v>
      </c>
      <c r="FC29" s="82">
        <f t="shared" si="145"/>
        <v>1566400</v>
      </c>
      <c r="FD29" s="82"/>
      <c r="FE29" s="82"/>
      <c r="FF29" s="82">
        <f t="shared" si="146"/>
        <v>0</v>
      </c>
      <c r="FG29" s="82">
        <f t="shared" si="147"/>
        <v>0</v>
      </c>
      <c r="FH29" s="82"/>
      <c r="FI29" s="82"/>
      <c r="FJ29" s="82"/>
      <c r="FK29" s="82"/>
      <c r="FL29" s="82">
        <f t="shared" si="148"/>
        <v>0</v>
      </c>
      <c r="FM29" s="82">
        <f t="shared" si="149"/>
        <v>0</v>
      </c>
      <c r="FN29" s="82">
        <f t="shared" si="150"/>
        <v>356</v>
      </c>
      <c r="FO29" s="82">
        <f t="shared" si="151"/>
        <v>1566400</v>
      </c>
      <c r="FP29" s="82"/>
      <c r="FQ29" s="82"/>
      <c r="FR29" s="82">
        <f t="shared" si="152"/>
        <v>0</v>
      </c>
      <c r="FS29" s="82">
        <f t="shared" si="153"/>
        <v>0</v>
      </c>
      <c r="FT29" s="82"/>
      <c r="FU29" s="82"/>
      <c r="FV29" s="82"/>
      <c r="FW29" s="82"/>
      <c r="FX29" s="82">
        <f t="shared" si="154"/>
        <v>0</v>
      </c>
      <c r="FY29" s="82">
        <f t="shared" si="155"/>
        <v>0</v>
      </c>
      <c r="FZ29" s="82">
        <f t="shared" si="156"/>
        <v>356</v>
      </c>
      <c r="GA29" s="82">
        <f t="shared" si="157"/>
        <v>1566400</v>
      </c>
      <c r="GB29" s="82">
        <f t="shared" si="158"/>
        <v>0</v>
      </c>
      <c r="GC29" s="82">
        <f t="shared" si="159"/>
        <v>0</v>
      </c>
      <c r="GD29" s="82">
        <f t="shared" si="160"/>
        <v>356</v>
      </c>
      <c r="GE29" s="82">
        <f t="shared" si="161"/>
        <v>1566400</v>
      </c>
      <c r="GF29" s="85"/>
    </row>
    <row r="30" ht="29.25" customHeight="1">
      <c r="A30" s="50"/>
      <c r="B30" s="50"/>
      <c r="C30" s="50"/>
      <c r="D30" s="78" t="s">
        <v>105</v>
      </c>
      <c r="E30" s="79">
        <v>4995.0</v>
      </c>
      <c r="F30" s="61" t="s">
        <v>92</v>
      </c>
      <c r="G30" s="81">
        <v>16.0</v>
      </c>
      <c r="H30" s="82">
        <v>79920.0</v>
      </c>
      <c r="I30" s="82"/>
      <c r="J30" s="82"/>
      <c r="K30" s="82">
        <f t="shared" si="1"/>
        <v>0</v>
      </c>
      <c r="L30" s="82">
        <f t="shared" si="2"/>
        <v>0</v>
      </c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>
        <f t="shared" si="3"/>
        <v>0</v>
      </c>
      <c r="AC30" s="82">
        <f t="shared" si="4"/>
        <v>0</v>
      </c>
      <c r="AD30" s="82">
        <f t="shared" si="89"/>
        <v>16</v>
      </c>
      <c r="AE30" s="82">
        <f t="shared" si="90"/>
        <v>79920</v>
      </c>
      <c r="AF30" s="82"/>
      <c r="AG30" s="82"/>
      <c r="AH30" s="82">
        <f t="shared" si="91"/>
        <v>0</v>
      </c>
      <c r="AI30" s="82">
        <f t="shared" si="92"/>
        <v>0</v>
      </c>
      <c r="AJ30" s="82"/>
      <c r="AK30" s="82"/>
      <c r="AL30" s="82"/>
      <c r="AM30" s="82"/>
      <c r="AN30" s="82">
        <f t="shared" si="93"/>
        <v>0</v>
      </c>
      <c r="AO30" s="82">
        <f t="shared" si="94"/>
        <v>0</v>
      </c>
      <c r="AP30" s="82">
        <f t="shared" si="11"/>
        <v>16</v>
      </c>
      <c r="AQ30" s="82">
        <f t="shared" si="12"/>
        <v>79920</v>
      </c>
      <c r="AR30" s="82"/>
      <c r="AS30" s="82"/>
      <c r="AT30" s="82"/>
      <c r="AU30" s="82">
        <f t="shared" si="95"/>
        <v>0</v>
      </c>
      <c r="AV30" s="82">
        <f t="shared" si="96"/>
        <v>0</v>
      </c>
      <c r="AW30" s="82"/>
      <c r="AX30" s="82"/>
      <c r="AY30" s="82"/>
      <c r="AZ30" s="82"/>
      <c r="BA30" s="82">
        <f t="shared" si="97"/>
        <v>0</v>
      </c>
      <c r="BB30" s="82">
        <f t="shared" si="98"/>
        <v>0</v>
      </c>
      <c r="BC30" s="82">
        <f t="shared" si="99"/>
        <v>16</v>
      </c>
      <c r="BD30" s="82">
        <f t="shared" si="100"/>
        <v>79920</v>
      </c>
      <c r="BE30" s="82">
        <f t="shared" si="101"/>
        <v>0</v>
      </c>
      <c r="BF30" s="82">
        <f t="shared" si="102"/>
        <v>0</v>
      </c>
      <c r="BG30" s="82">
        <f t="shared" si="103"/>
        <v>16</v>
      </c>
      <c r="BH30" s="82">
        <f t="shared" si="104"/>
        <v>79920</v>
      </c>
      <c r="BI30" s="82"/>
      <c r="BJ30" s="83"/>
      <c r="BK30" s="82">
        <f t="shared" si="105"/>
        <v>0</v>
      </c>
      <c r="BL30" s="82">
        <f t="shared" si="106"/>
        <v>0</v>
      </c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>
        <f t="shared" si="107"/>
        <v>0</v>
      </c>
      <c r="BX30" s="82">
        <f t="shared" si="108"/>
        <v>0</v>
      </c>
      <c r="BY30" s="82">
        <f t="shared" si="109"/>
        <v>16</v>
      </c>
      <c r="BZ30" s="82">
        <f t="shared" si="110"/>
        <v>79920</v>
      </c>
      <c r="CA30" s="82"/>
      <c r="CB30" s="82"/>
      <c r="CC30" s="82">
        <f t="shared" si="111"/>
        <v>0</v>
      </c>
      <c r="CD30" s="82">
        <f t="shared" si="112"/>
        <v>0</v>
      </c>
      <c r="CE30" s="82"/>
      <c r="CF30" s="82"/>
      <c r="CG30" s="82"/>
      <c r="CH30" s="82"/>
      <c r="CI30" s="82">
        <f t="shared" si="113"/>
        <v>0</v>
      </c>
      <c r="CJ30" s="82">
        <f t="shared" si="114"/>
        <v>0</v>
      </c>
      <c r="CK30" s="82">
        <f t="shared" si="33"/>
        <v>16</v>
      </c>
      <c r="CL30" s="82">
        <f t="shared" si="34"/>
        <v>79920</v>
      </c>
      <c r="CM30" s="82"/>
      <c r="CN30" s="82"/>
      <c r="CO30" s="82">
        <f t="shared" si="35"/>
        <v>0</v>
      </c>
      <c r="CP30" s="82">
        <f t="shared" si="36"/>
        <v>0</v>
      </c>
      <c r="CQ30" s="82"/>
      <c r="CR30" s="82"/>
      <c r="CS30" s="82"/>
      <c r="CT30" s="82"/>
      <c r="CU30" s="82">
        <f t="shared" si="115"/>
        <v>0</v>
      </c>
      <c r="CV30" s="82">
        <f t="shared" si="116"/>
        <v>0</v>
      </c>
      <c r="CW30" s="82">
        <f t="shared" si="39"/>
        <v>16</v>
      </c>
      <c r="CX30" s="82">
        <f t="shared" si="40"/>
        <v>79920</v>
      </c>
      <c r="CY30" s="82">
        <f t="shared" si="41"/>
        <v>0</v>
      </c>
      <c r="CZ30" s="82">
        <f t="shared" si="117"/>
        <v>0</v>
      </c>
      <c r="DA30" s="82">
        <f t="shared" si="43"/>
        <v>16</v>
      </c>
      <c r="DB30" s="82">
        <f t="shared" si="44"/>
        <v>79920</v>
      </c>
      <c r="DC30" s="84">
        <v>588.0</v>
      </c>
      <c r="DD30" s="82"/>
      <c r="DE30" s="82"/>
      <c r="DF30" s="82">
        <f t="shared" si="118"/>
        <v>0</v>
      </c>
      <c r="DG30" s="82">
        <f t="shared" si="119"/>
        <v>0</v>
      </c>
      <c r="DH30" s="82"/>
      <c r="DI30" s="82"/>
      <c r="DJ30" s="82"/>
      <c r="DK30" s="82"/>
      <c r="DL30" s="82">
        <f t="shared" si="120"/>
        <v>0</v>
      </c>
      <c r="DM30" s="82">
        <f t="shared" si="121"/>
        <v>0</v>
      </c>
      <c r="DN30" s="82">
        <f t="shared" si="122"/>
        <v>16</v>
      </c>
      <c r="DO30" s="82">
        <f t="shared" si="123"/>
        <v>79920</v>
      </c>
      <c r="DP30" s="82"/>
      <c r="DQ30" s="82"/>
      <c r="DR30" s="82">
        <f t="shared" si="124"/>
        <v>0</v>
      </c>
      <c r="DS30" s="82">
        <f t="shared" si="125"/>
        <v>0</v>
      </c>
      <c r="DT30" s="82"/>
      <c r="DU30" s="82"/>
      <c r="DV30" s="82"/>
      <c r="DW30" s="82"/>
      <c r="DX30" s="82">
        <f t="shared" si="126"/>
        <v>0</v>
      </c>
      <c r="DY30" s="82">
        <f t="shared" si="127"/>
        <v>0</v>
      </c>
      <c r="DZ30" s="82">
        <f t="shared" si="128"/>
        <v>16</v>
      </c>
      <c r="EA30" s="82">
        <f t="shared" si="129"/>
        <v>79920</v>
      </c>
      <c r="EB30" s="82"/>
      <c r="EC30" s="82"/>
      <c r="ED30" s="82">
        <f t="shared" si="130"/>
        <v>0</v>
      </c>
      <c r="EE30" s="82">
        <f t="shared" si="131"/>
        <v>0</v>
      </c>
      <c r="EF30" s="82"/>
      <c r="EG30" s="82"/>
      <c r="EH30" s="82"/>
      <c r="EI30" s="82"/>
      <c r="EJ30" s="82">
        <f t="shared" si="132"/>
        <v>0</v>
      </c>
      <c r="EK30" s="82">
        <f t="shared" si="133"/>
        <v>0</v>
      </c>
      <c r="EL30" s="82">
        <f t="shared" si="134"/>
        <v>16</v>
      </c>
      <c r="EM30" s="82">
        <f t="shared" si="135"/>
        <v>79920</v>
      </c>
      <c r="EN30" s="82">
        <f t="shared" si="136"/>
        <v>0</v>
      </c>
      <c r="EO30" s="82">
        <f t="shared" si="137"/>
        <v>0</v>
      </c>
      <c r="EP30" s="82">
        <f t="shared" si="138"/>
        <v>16</v>
      </c>
      <c r="EQ30" s="82">
        <f t="shared" si="139"/>
        <v>79920</v>
      </c>
      <c r="ER30" s="82"/>
      <c r="ES30" s="82"/>
      <c r="ET30" s="82">
        <f t="shared" si="140"/>
        <v>0</v>
      </c>
      <c r="EU30" s="82">
        <f t="shared" si="141"/>
        <v>0</v>
      </c>
      <c r="EV30" s="82"/>
      <c r="EW30" s="82"/>
      <c r="EX30" s="82"/>
      <c r="EY30" s="82"/>
      <c r="EZ30" s="82">
        <f t="shared" si="142"/>
        <v>0</v>
      </c>
      <c r="FA30" s="82">
        <f t="shared" si="143"/>
        <v>0</v>
      </c>
      <c r="FB30" s="82">
        <f t="shared" si="144"/>
        <v>16</v>
      </c>
      <c r="FC30" s="82">
        <f t="shared" si="145"/>
        <v>79920</v>
      </c>
      <c r="FD30" s="82"/>
      <c r="FE30" s="82"/>
      <c r="FF30" s="82">
        <f t="shared" si="146"/>
        <v>0</v>
      </c>
      <c r="FG30" s="82">
        <f t="shared" si="147"/>
        <v>0</v>
      </c>
      <c r="FH30" s="82"/>
      <c r="FI30" s="82"/>
      <c r="FJ30" s="82"/>
      <c r="FK30" s="82"/>
      <c r="FL30" s="82">
        <f t="shared" si="148"/>
        <v>0</v>
      </c>
      <c r="FM30" s="82">
        <f t="shared" si="149"/>
        <v>0</v>
      </c>
      <c r="FN30" s="82">
        <f t="shared" si="150"/>
        <v>16</v>
      </c>
      <c r="FO30" s="82">
        <f t="shared" si="151"/>
        <v>79920</v>
      </c>
      <c r="FP30" s="82"/>
      <c r="FQ30" s="82"/>
      <c r="FR30" s="82">
        <f t="shared" si="152"/>
        <v>0</v>
      </c>
      <c r="FS30" s="82">
        <f t="shared" si="153"/>
        <v>0</v>
      </c>
      <c r="FT30" s="82"/>
      <c r="FU30" s="82"/>
      <c r="FV30" s="82"/>
      <c r="FW30" s="82"/>
      <c r="FX30" s="82">
        <f t="shared" si="154"/>
        <v>0</v>
      </c>
      <c r="FY30" s="82">
        <f t="shared" si="155"/>
        <v>0</v>
      </c>
      <c r="FZ30" s="82">
        <f t="shared" si="156"/>
        <v>16</v>
      </c>
      <c r="GA30" s="82">
        <f t="shared" si="157"/>
        <v>79920</v>
      </c>
      <c r="GB30" s="82">
        <f t="shared" si="158"/>
        <v>0</v>
      </c>
      <c r="GC30" s="82">
        <f t="shared" si="159"/>
        <v>0</v>
      </c>
      <c r="GD30" s="82">
        <f t="shared" si="160"/>
        <v>16</v>
      </c>
      <c r="GE30" s="82">
        <f t="shared" si="161"/>
        <v>79920</v>
      </c>
      <c r="GF30" s="85"/>
    </row>
    <row r="31" ht="29.25" customHeight="1">
      <c r="A31" s="76">
        <v>11.0</v>
      </c>
      <c r="B31" s="87"/>
      <c r="C31" s="77" t="s">
        <v>107</v>
      </c>
      <c r="D31" s="78" t="s">
        <v>105</v>
      </c>
      <c r="E31" s="79">
        <v>6600.0</v>
      </c>
      <c r="F31" s="61"/>
      <c r="G31" s="81">
        <v>238.0</v>
      </c>
      <c r="H31" s="82">
        <v>1570800.0</v>
      </c>
      <c r="I31" s="82"/>
      <c r="J31" s="82"/>
      <c r="K31" s="82">
        <f t="shared" si="1"/>
        <v>0</v>
      </c>
      <c r="L31" s="82">
        <f t="shared" si="2"/>
        <v>0</v>
      </c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>
        <f t="shared" si="3"/>
        <v>0</v>
      </c>
      <c r="AC31" s="82">
        <f t="shared" si="4"/>
        <v>0</v>
      </c>
      <c r="AD31" s="82">
        <f t="shared" si="89"/>
        <v>238</v>
      </c>
      <c r="AE31" s="82">
        <f t="shared" si="90"/>
        <v>1570800</v>
      </c>
      <c r="AF31" s="82"/>
      <c r="AG31" s="82"/>
      <c r="AH31" s="82">
        <f t="shared" si="91"/>
        <v>0</v>
      </c>
      <c r="AI31" s="82">
        <f t="shared" si="92"/>
        <v>0</v>
      </c>
      <c r="AJ31" s="82"/>
      <c r="AK31" s="82"/>
      <c r="AL31" s="82"/>
      <c r="AM31" s="82"/>
      <c r="AN31" s="82">
        <f t="shared" si="93"/>
        <v>0</v>
      </c>
      <c r="AO31" s="82">
        <f t="shared" si="94"/>
        <v>0</v>
      </c>
      <c r="AP31" s="82">
        <f t="shared" si="11"/>
        <v>238</v>
      </c>
      <c r="AQ31" s="82">
        <f t="shared" si="12"/>
        <v>1570800</v>
      </c>
      <c r="AR31" s="82"/>
      <c r="AS31" s="82"/>
      <c r="AT31" s="82"/>
      <c r="AU31" s="82">
        <f t="shared" si="95"/>
        <v>0</v>
      </c>
      <c r="AV31" s="82">
        <f t="shared" si="96"/>
        <v>0</v>
      </c>
      <c r="AW31" s="82"/>
      <c r="AX31" s="82"/>
      <c r="AY31" s="82"/>
      <c r="AZ31" s="82"/>
      <c r="BA31" s="82">
        <f t="shared" si="97"/>
        <v>0</v>
      </c>
      <c r="BB31" s="82">
        <f t="shared" si="98"/>
        <v>0</v>
      </c>
      <c r="BC31" s="82">
        <f t="shared" si="99"/>
        <v>238</v>
      </c>
      <c r="BD31" s="82">
        <f t="shared" si="100"/>
        <v>1570800</v>
      </c>
      <c r="BE31" s="82">
        <f t="shared" si="101"/>
        <v>0</v>
      </c>
      <c r="BF31" s="82">
        <f t="shared" si="102"/>
        <v>0</v>
      </c>
      <c r="BG31" s="82">
        <f t="shared" si="103"/>
        <v>238</v>
      </c>
      <c r="BH31" s="82">
        <f t="shared" si="104"/>
        <v>1570800</v>
      </c>
      <c r="BI31" s="82"/>
      <c r="BJ31" s="83"/>
      <c r="BK31" s="82">
        <f t="shared" si="105"/>
        <v>0</v>
      </c>
      <c r="BL31" s="82">
        <f t="shared" si="106"/>
        <v>0</v>
      </c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>
        <f t="shared" si="107"/>
        <v>0</v>
      </c>
      <c r="BX31" s="82">
        <f t="shared" si="108"/>
        <v>0</v>
      </c>
      <c r="BY31" s="82">
        <f t="shared" si="109"/>
        <v>238</v>
      </c>
      <c r="BZ31" s="82">
        <f t="shared" si="110"/>
        <v>1570800</v>
      </c>
      <c r="CA31" s="82"/>
      <c r="CB31" s="82"/>
      <c r="CC31" s="82">
        <f t="shared" si="111"/>
        <v>0</v>
      </c>
      <c r="CD31" s="82">
        <f t="shared" si="112"/>
        <v>0</v>
      </c>
      <c r="CE31" s="82"/>
      <c r="CF31" s="82"/>
      <c r="CG31" s="82"/>
      <c r="CH31" s="82"/>
      <c r="CI31" s="82">
        <f t="shared" si="113"/>
        <v>0</v>
      </c>
      <c r="CJ31" s="82">
        <f t="shared" si="114"/>
        <v>0</v>
      </c>
      <c r="CK31" s="82">
        <f t="shared" si="33"/>
        <v>238</v>
      </c>
      <c r="CL31" s="82">
        <f t="shared" si="34"/>
        <v>1570800</v>
      </c>
      <c r="CM31" s="82"/>
      <c r="CN31" s="82"/>
      <c r="CO31" s="82">
        <f t="shared" si="35"/>
        <v>0</v>
      </c>
      <c r="CP31" s="82">
        <f t="shared" si="36"/>
        <v>0</v>
      </c>
      <c r="CQ31" s="82"/>
      <c r="CR31" s="82"/>
      <c r="CS31" s="82"/>
      <c r="CT31" s="82"/>
      <c r="CU31" s="82">
        <f t="shared" si="115"/>
        <v>0</v>
      </c>
      <c r="CV31" s="82">
        <f t="shared" si="116"/>
        <v>0</v>
      </c>
      <c r="CW31" s="82">
        <f t="shared" si="39"/>
        <v>238</v>
      </c>
      <c r="CX31" s="82">
        <f t="shared" si="40"/>
        <v>1570800</v>
      </c>
      <c r="CY31" s="82">
        <f t="shared" si="41"/>
        <v>0</v>
      </c>
      <c r="CZ31" s="82">
        <f t="shared" si="117"/>
        <v>0</v>
      </c>
      <c r="DA31" s="82">
        <f t="shared" si="43"/>
        <v>238</v>
      </c>
      <c r="DB31" s="82">
        <f t="shared" si="44"/>
        <v>1570800</v>
      </c>
      <c r="DC31" s="91">
        <f>(44+8)*12</f>
        <v>624</v>
      </c>
      <c r="DD31" s="82"/>
      <c r="DE31" s="82"/>
      <c r="DF31" s="82">
        <f t="shared" si="118"/>
        <v>0</v>
      </c>
      <c r="DG31" s="82">
        <f t="shared" si="119"/>
        <v>0</v>
      </c>
      <c r="DH31" s="82"/>
      <c r="DI31" s="82"/>
      <c r="DJ31" s="82"/>
      <c r="DK31" s="82"/>
      <c r="DL31" s="82">
        <f t="shared" si="120"/>
        <v>0</v>
      </c>
      <c r="DM31" s="82">
        <f t="shared" si="121"/>
        <v>0</v>
      </c>
      <c r="DN31" s="82">
        <f t="shared" si="122"/>
        <v>238</v>
      </c>
      <c r="DO31" s="82">
        <f t="shared" si="123"/>
        <v>1570800</v>
      </c>
      <c r="DP31" s="82"/>
      <c r="DQ31" s="82"/>
      <c r="DR31" s="82">
        <f t="shared" si="124"/>
        <v>0</v>
      </c>
      <c r="DS31" s="82">
        <f t="shared" si="125"/>
        <v>0</v>
      </c>
      <c r="DT31" s="82"/>
      <c r="DU31" s="82"/>
      <c r="DV31" s="82"/>
      <c r="DW31" s="82"/>
      <c r="DX31" s="82">
        <f t="shared" si="126"/>
        <v>0</v>
      </c>
      <c r="DY31" s="82">
        <f t="shared" si="127"/>
        <v>0</v>
      </c>
      <c r="DZ31" s="82">
        <f t="shared" si="128"/>
        <v>238</v>
      </c>
      <c r="EA31" s="82">
        <f t="shared" si="129"/>
        <v>1570800</v>
      </c>
      <c r="EB31" s="82"/>
      <c r="EC31" s="82"/>
      <c r="ED31" s="82">
        <f t="shared" si="130"/>
        <v>0</v>
      </c>
      <c r="EE31" s="82">
        <f t="shared" si="131"/>
        <v>0</v>
      </c>
      <c r="EF31" s="82"/>
      <c r="EG31" s="82"/>
      <c r="EH31" s="82"/>
      <c r="EI31" s="82"/>
      <c r="EJ31" s="82">
        <f t="shared" si="132"/>
        <v>0</v>
      </c>
      <c r="EK31" s="82">
        <f t="shared" si="133"/>
        <v>0</v>
      </c>
      <c r="EL31" s="82">
        <f t="shared" si="134"/>
        <v>238</v>
      </c>
      <c r="EM31" s="82">
        <f t="shared" si="135"/>
        <v>1570800</v>
      </c>
      <c r="EN31" s="82">
        <f t="shared" si="136"/>
        <v>0</v>
      </c>
      <c r="EO31" s="82">
        <f t="shared" si="137"/>
        <v>0</v>
      </c>
      <c r="EP31" s="82">
        <f t="shared" si="138"/>
        <v>238</v>
      </c>
      <c r="EQ31" s="82">
        <f t="shared" si="139"/>
        <v>1570800</v>
      </c>
      <c r="ER31" s="82"/>
      <c r="ES31" s="82"/>
      <c r="ET31" s="82">
        <f t="shared" si="140"/>
        <v>0</v>
      </c>
      <c r="EU31" s="82">
        <f t="shared" si="141"/>
        <v>0</v>
      </c>
      <c r="EV31" s="82"/>
      <c r="EW31" s="82"/>
      <c r="EX31" s="82"/>
      <c r="EY31" s="82"/>
      <c r="EZ31" s="82">
        <f t="shared" si="142"/>
        <v>0</v>
      </c>
      <c r="FA31" s="82">
        <f t="shared" si="143"/>
        <v>0</v>
      </c>
      <c r="FB31" s="82">
        <f t="shared" si="144"/>
        <v>238</v>
      </c>
      <c r="FC31" s="82">
        <f t="shared" si="145"/>
        <v>1570800</v>
      </c>
      <c r="FD31" s="82"/>
      <c r="FE31" s="82"/>
      <c r="FF31" s="82">
        <f t="shared" si="146"/>
        <v>0</v>
      </c>
      <c r="FG31" s="82">
        <f t="shared" si="147"/>
        <v>0</v>
      </c>
      <c r="FH31" s="82"/>
      <c r="FI31" s="82"/>
      <c r="FJ31" s="82"/>
      <c r="FK31" s="82"/>
      <c r="FL31" s="82">
        <f t="shared" si="148"/>
        <v>0</v>
      </c>
      <c r="FM31" s="82">
        <f t="shared" si="149"/>
        <v>0</v>
      </c>
      <c r="FN31" s="82">
        <f t="shared" si="150"/>
        <v>238</v>
      </c>
      <c r="FO31" s="82">
        <f t="shared" si="151"/>
        <v>1570800</v>
      </c>
      <c r="FP31" s="82"/>
      <c r="FQ31" s="82"/>
      <c r="FR31" s="82">
        <f t="shared" si="152"/>
        <v>0</v>
      </c>
      <c r="FS31" s="82">
        <f t="shared" si="153"/>
        <v>0</v>
      </c>
      <c r="FT31" s="82"/>
      <c r="FU31" s="82"/>
      <c r="FV31" s="82"/>
      <c r="FW31" s="82"/>
      <c r="FX31" s="82">
        <f t="shared" si="154"/>
        <v>0</v>
      </c>
      <c r="FY31" s="82">
        <f t="shared" si="155"/>
        <v>0</v>
      </c>
      <c r="FZ31" s="82">
        <f t="shared" si="156"/>
        <v>238</v>
      </c>
      <c r="GA31" s="82">
        <f t="shared" si="157"/>
        <v>1570800</v>
      </c>
      <c r="GB31" s="82">
        <f t="shared" si="158"/>
        <v>0</v>
      </c>
      <c r="GC31" s="82">
        <f t="shared" si="159"/>
        <v>0</v>
      </c>
      <c r="GD31" s="82">
        <f t="shared" si="160"/>
        <v>238</v>
      </c>
      <c r="GE31" s="82">
        <f t="shared" si="161"/>
        <v>1570800</v>
      </c>
      <c r="GF31" s="85"/>
    </row>
    <row r="32" ht="29.25" customHeight="1">
      <c r="A32" s="76">
        <v>12.0</v>
      </c>
      <c r="B32" s="87"/>
      <c r="C32" s="77" t="s">
        <v>108</v>
      </c>
      <c r="D32" s="78" t="s">
        <v>105</v>
      </c>
      <c r="E32" s="79">
        <v>11000.0</v>
      </c>
      <c r="F32" s="61"/>
      <c r="G32" s="81">
        <v>156.0</v>
      </c>
      <c r="H32" s="82">
        <v>1716000.0</v>
      </c>
      <c r="I32" s="82"/>
      <c r="J32" s="82"/>
      <c r="K32" s="82">
        <f t="shared" si="1"/>
        <v>0</v>
      </c>
      <c r="L32" s="82">
        <f t="shared" si="2"/>
        <v>0</v>
      </c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>
        <f t="shared" si="3"/>
        <v>0</v>
      </c>
      <c r="AC32" s="82">
        <f t="shared" si="4"/>
        <v>0</v>
      </c>
      <c r="AD32" s="82">
        <f t="shared" si="89"/>
        <v>156</v>
      </c>
      <c r="AE32" s="82">
        <f t="shared" si="90"/>
        <v>1716000</v>
      </c>
      <c r="AF32" s="82"/>
      <c r="AG32" s="82"/>
      <c r="AH32" s="82">
        <f t="shared" si="91"/>
        <v>0</v>
      </c>
      <c r="AI32" s="82">
        <f t="shared" si="92"/>
        <v>0</v>
      </c>
      <c r="AJ32" s="82"/>
      <c r="AK32" s="82"/>
      <c r="AL32" s="82"/>
      <c r="AM32" s="82"/>
      <c r="AN32" s="82">
        <f t="shared" si="93"/>
        <v>0</v>
      </c>
      <c r="AO32" s="82">
        <f t="shared" si="94"/>
        <v>0</v>
      </c>
      <c r="AP32" s="82">
        <f t="shared" si="11"/>
        <v>156</v>
      </c>
      <c r="AQ32" s="82">
        <f t="shared" si="12"/>
        <v>1716000</v>
      </c>
      <c r="AR32" s="82"/>
      <c r="AS32" s="82"/>
      <c r="AT32" s="82"/>
      <c r="AU32" s="82">
        <f t="shared" si="95"/>
        <v>0</v>
      </c>
      <c r="AV32" s="82">
        <f t="shared" si="96"/>
        <v>0</v>
      </c>
      <c r="AW32" s="82"/>
      <c r="AX32" s="82"/>
      <c r="AY32" s="82"/>
      <c r="AZ32" s="82"/>
      <c r="BA32" s="82">
        <f t="shared" si="97"/>
        <v>0</v>
      </c>
      <c r="BB32" s="82">
        <f t="shared" si="98"/>
        <v>0</v>
      </c>
      <c r="BC32" s="82">
        <f t="shared" si="99"/>
        <v>156</v>
      </c>
      <c r="BD32" s="82">
        <f t="shared" si="100"/>
        <v>1716000</v>
      </c>
      <c r="BE32" s="82">
        <f t="shared" si="101"/>
        <v>0</v>
      </c>
      <c r="BF32" s="82">
        <f t="shared" si="102"/>
        <v>0</v>
      </c>
      <c r="BG32" s="82">
        <f t="shared" si="103"/>
        <v>156</v>
      </c>
      <c r="BH32" s="82">
        <f t="shared" si="104"/>
        <v>1716000</v>
      </c>
      <c r="BI32" s="82"/>
      <c r="BJ32" s="83"/>
      <c r="BK32" s="82">
        <f t="shared" si="105"/>
        <v>0</v>
      </c>
      <c r="BL32" s="82">
        <f t="shared" si="106"/>
        <v>0</v>
      </c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>
        <f t="shared" si="107"/>
        <v>0</v>
      </c>
      <c r="BX32" s="82">
        <f t="shared" si="108"/>
        <v>0</v>
      </c>
      <c r="BY32" s="82">
        <f t="shared" si="109"/>
        <v>156</v>
      </c>
      <c r="BZ32" s="82">
        <f t="shared" si="110"/>
        <v>1716000</v>
      </c>
      <c r="CA32" s="82"/>
      <c r="CB32" s="82"/>
      <c r="CC32" s="82">
        <f t="shared" si="111"/>
        <v>0</v>
      </c>
      <c r="CD32" s="82">
        <f t="shared" si="112"/>
        <v>0</v>
      </c>
      <c r="CE32" s="82"/>
      <c r="CF32" s="82"/>
      <c r="CG32" s="82"/>
      <c r="CH32" s="82"/>
      <c r="CI32" s="82">
        <f t="shared" si="113"/>
        <v>0</v>
      </c>
      <c r="CJ32" s="82">
        <f t="shared" si="114"/>
        <v>0</v>
      </c>
      <c r="CK32" s="82">
        <f t="shared" si="33"/>
        <v>156</v>
      </c>
      <c r="CL32" s="82">
        <f t="shared" si="34"/>
        <v>1716000</v>
      </c>
      <c r="CM32" s="82"/>
      <c r="CN32" s="82"/>
      <c r="CO32" s="82">
        <f t="shared" si="35"/>
        <v>0</v>
      </c>
      <c r="CP32" s="82">
        <f t="shared" si="36"/>
        <v>0</v>
      </c>
      <c r="CQ32" s="82"/>
      <c r="CR32" s="82"/>
      <c r="CS32" s="82"/>
      <c r="CT32" s="82"/>
      <c r="CU32" s="82">
        <f t="shared" si="115"/>
        <v>0</v>
      </c>
      <c r="CV32" s="82">
        <f t="shared" si="116"/>
        <v>0</v>
      </c>
      <c r="CW32" s="82">
        <f t="shared" si="39"/>
        <v>156</v>
      </c>
      <c r="CX32" s="82">
        <f t="shared" si="40"/>
        <v>1716000</v>
      </c>
      <c r="CY32" s="82">
        <f t="shared" si="41"/>
        <v>0</v>
      </c>
      <c r="CZ32" s="82">
        <f t="shared" si="117"/>
        <v>0</v>
      </c>
      <c r="DA32" s="82">
        <f t="shared" si="43"/>
        <v>156</v>
      </c>
      <c r="DB32" s="82">
        <f t="shared" si="44"/>
        <v>1716000</v>
      </c>
      <c r="DC32" s="84">
        <v>117.0</v>
      </c>
      <c r="DD32" s="82"/>
      <c r="DE32" s="82"/>
      <c r="DF32" s="82">
        <f t="shared" si="118"/>
        <v>0</v>
      </c>
      <c r="DG32" s="82">
        <f t="shared" si="119"/>
        <v>0</v>
      </c>
      <c r="DH32" s="82"/>
      <c r="DI32" s="82"/>
      <c r="DJ32" s="82"/>
      <c r="DK32" s="82"/>
      <c r="DL32" s="82">
        <f t="shared" si="120"/>
        <v>0</v>
      </c>
      <c r="DM32" s="82">
        <f t="shared" si="121"/>
        <v>0</v>
      </c>
      <c r="DN32" s="82">
        <f t="shared" si="122"/>
        <v>156</v>
      </c>
      <c r="DO32" s="82">
        <f t="shared" si="123"/>
        <v>1716000</v>
      </c>
      <c r="DP32" s="82"/>
      <c r="DQ32" s="82"/>
      <c r="DR32" s="82">
        <f t="shared" si="124"/>
        <v>0</v>
      </c>
      <c r="DS32" s="82">
        <f t="shared" si="125"/>
        <v>0</v>
      </c>
      <c r="DT32" s="82"/>
      <c r="DU32" s="82"/>
      <c r="DV32" s="82"/>
      <c r="DW32" s="82"/>
      <c r="DX32" s="82">
        <f t="shared" si="126"/>
        <v>0</v>
      </c>
      <c r="DY32" s="82">
        <f t="shared" si="127"/>
        <v>0</v>
      </c>
      <c r="DZ32" s="82">
        <f t="shared" si="128"/>
        <v>156</v>
      </c>
      <c r="EA32" s="82">
        <f t="shared" si="129"/>
        <v>1716000</v>
      </c>
      <c r="EB32" s="82"/>
      <c r="EC32" s="82"/>
      <c r="ED32" s="82">
        <f t="shared" si="130"/>
        <v>0</v>
      </c>
      <c r="EE32" s="82">
        <f t="shared" si="131"/>
        <v>0</v>
      </c>
      <c r="EF32" s="82"/>
      <c r="EG32" s="82"/>
      <c r="EH32" s="82"/>
      <c r="EI32" s="82"/>
      <c r="EJ32" s="82">
        <f t="shared" si="132"/>
        <v>0</v>
      </c>
      <c r="EK32" s="82">
        <f t="shared" si="133"/>
        <v>0</v>
      </c>
      <c r="EL32" s="82">
        <f t="shared" si="134"/>
        <v>156</v>
      </c>
      <c r="EM32" s="82">
        <f t="shared" si="135"/>
        <v>1716000</v>
      </c>
      <c r="EN32" s="82">
        <f t="shared" si="136"/>
        <v>0</v>
      </c>
      <c r="EO32" s="82">
        <f t="shared" si="137"/>
        <v>0</v>
      </c>
      <c r="EP32" s="82">
        <f t="shared" si="138"/>
        <v>156</v>
      </c>
      <c r="EQ32" s="82">
        <f t="shared" si="139"/>
        <v>1716000</v>
      </c>
      <c r="ER32" s="82"/>
      <c r="ES32" s="82"/>
      <c r="ET32" s="82">
        <f t="shared" si="140"/>
        <v>0</v>
      </c>
      <c r="EU32" s="82">
        <f t="shared" si="141"/>
        <v>0</v>
      </c>
      <c r="EV32" s="82"/>
      <c r="EW32" s="82"/>
      <c r="EX32" s="82"/>
      <c r="EY32" s="82"/>
      <c r="EZ32" s="82">
        <f t="shared" si="142"/>
        <v>0</v>
      </c>
      <c r="FA32" s="82">
        <f t="shared" si="143"/>
        <v>0</v>
      </c>
      <c r="FB32" s="82">
        <f t="shared" si="144"/>
        <v>156</v>
      </c>
      <c r="FC32" s="82">
        <f t="shared" si="145"/>
        <v>1716000</v>
      </c>
      <c r="FD32" s="82"/>
      <c r="FE32" s="82"/>
      <c r="FF32" s="82">
        <f t="shared" si="146"/>
        <v>0</v>
      </c>
      <c r="FG32" s="82">
        <f t="shared" si="147"/>
        <v>0</v>
      </c>
      <c r="FH32" s="82"/>
      <c r="FI32" s="82"/>
      <c r="FJ32" s="82"/>
      <c r="FK32" s="82"/>
      <c r="FL32" s="82">
        <f t="shared" si="148"/>
        <v>0</v>
      </c>
      <c r="FM32" s="82">
        <f t="shared" si="149"/>
        <v>0</v>
      </c>
      <c r="FN32" s="82">
        <f t="shared" si="150"/>
        <v>156</v>
      </c>
      <c r="FO32" s="82">
        <f t="shared" si="151"/>
        <v>1716000</v>
      </c>
      <c r="FP32" s="82"/>
      <c r="FQ32" s="82"/>
      <c r="FR32" s="82">
        <f t="shared" si="152"/>
        <v>0</v>
      </c>
      <c r="FS32" s="82">
        <f t="shared" si="153"/>
        <v>0</v>
      </c>
      <c r="FT32" s="82"/>
      <c r="FU32" s="82"/>
      <c r="FV32" s="82"/>
      <c r="FW32" s="82"/>
      <c r="FX32" s="82">
        <f t="shared" si="154"/>
        <v>0</v>
      </c>
      <c r="FY32" s="82">
        <f t="shared" si="155"/>
        <v>0</v>
      </c>
      <c r="FZ32" s="82">
        <f t="shared" si="156"/>
        <v>156</v>
      </c>
      <c r="GA32" s="82">
        <f t="shared" si="157"/>
        <v>1716000</v>
      </c>
      <c r="GB32" s="82">
        <f t="shared" si="158"/>
        <v>0</v>
      </c>
      <c r="GC32" s="82">
        <f t="shared" si="159"/>
        <v>0</v>
      </c>
      <c r="GD32" s="82">
        <f t="shared" si="160"/>
        <v>156</v>
      </c>
      <c r="GE32" s="82">
        <f t="shared" si="161"/>
        <v>1716000</v>
      </c>
      <c r="GF32" s="85"/>
    </row>
    <row r="33" ht="29.25" customHeight="1">
      <c r="A33" s="50"/>
      <c r="B33" s="50"/>
      <c r="C33" s="50"/>
      <c r="D33" s="78" t="s">
        <v>105</v>
      </c>
      <c r="E33" s="79">
        <v>11877.0</v>
      </c>
      <c r="F33" s="61" t="s">
        <v>92</v>
      </c>
      <c r="G33" s="81">
        <v>22.0</v>
      </c>
      <c r="H33" s="82">
        <v>261294.0</v>
      </c>
      <c r="I33" s="82"/>
      <c r="J33" s="82"/>
      <c r="K33" s="82">
        <f t="shared" si="1"/>
        <v>0</v>
      </c>
      <c r="L33" s="82">
        <f t="shared" si="2"/>
        <v>0</v>
      </c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>
        <f t="shared" si="3"/>
        <v>0</v>
      </c>
      <c r="AC33" s="82">
        <f t="shared" si="4"/>
        <v>0</v>
      </c>
      <c r="AD33" s="82">
        <f t="shared" si="89"/>
        <v>22</v>
      </c>
      <c r="AE33" s="82">
        <f t="shared" si="90"/>
        <v>261294</v>
      </c>
      <c r="AF33" s="82"/>
      <c r="AG33" s="82"/>
      <c r="AH33" s="82">
        <f t="shared" si="91"/>
        <v>0</v>
      </c>
      <c r="AI33" s="82">
        <f t="shared" si="92"/>
        <v>0</v>
      </c>
      <c r="AJ33" s="82"/>
      <c r="AK33" s="82"/>
      <c r="AL33" s="82"/>
      <c r="AM33" s="82"/>
      <c r="AN33" s="82">
        <f t="shared" si="93"/>
        <v>0</v>
      </c>
      <c r="AO33" s="82">
        <f t="shared" si="94"/>
        <v>0</v>
      </c>
      <c r="AP33" s="82">
        <f t="shared" si="11"/>
        <v>22</v>
      </c>
      <c r="AQ33" s="82">
        <f t="shared" si="12"/>
        <v>261294</v>
      </c>
      <c r="AR33" s="82"/>
      <c r="AS33" s="82"/>
      <c r="AT33" s="82"/>
      <c r="AU33" s="82">
        <f t="shared" si="95"/>
        <v>0</v>
      </c>
      <c r="AV33" s="82">
        <f t="shared" si="96"/>
        <v>0</v>
      </c>
      <c r="AW33" s="82"/>
      <c r="AX33" s="82"/>
      <c r="AY33" s="82"/>
      <c r="AZ33" s="82"/>
      <c r="BA33" s="82">
        <f t="shared" si="97"/>
        <v>0</v>
      </c>
      <c r="BB33" s="82">
        <f t="shared" si="98"/>
        <v>0</v>
      </c>
      <c r="BC33" s="82">
        <f t="shared" si="99"/>
        <v>22</v>
      </c>
      <c r="BD33" s="82">
        <f t="shared" si="100"/>
        <v>261294</v>
      </c>
      <c r="BE33" s="82">
        <f t="shared" si="101"/>
        <v>0</v>
      </c>
      <c r="BF33" s="82">
        <f t="shared" si="102"/>
        <v>0</v>
      </c>
      <c r="BG33" s="82">
        <f t="shared" si="103"/>
        <v>22</v>
      </c>
      <c r="BH33" s="82">
        <f t="shared" si="104"/>
        <v>261294</v>
      </c>
      <c r="BI33" s="82"/>
      <c r="BJ33" s="83"/>
      <c r="BK33" s="82">
        <f t="shared" si="105"/>
        <v>0</v>
      </c>
      <c r="BL33" s="82">
        <f t="shared" si="106"/>
        <v>0</v>
      </c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>
        <f t="shared" si="107"/>
        <v>0</v>
      </c>
      <c r="BX33" s="82">
        <f t="shared" si="108"/>
        <v>0</v>
      </c>
      <c r="BY33" s="82">
        <f t="shared" si="109"/>
        <v>22</v>
      </c>
      <c r="BZ33" s="82">
        <f t="shared" si="110"/>
        <v>261294</v>
      </c>
      <c r="CA33" s="82"/>
      <c r="CB33" s="82"/>
      <c r="CC33" s="82">
        <f t="shared" si="111"/>
        <v>0</v>
      </c>
      <c r="CD33" s="82">
        <f t="shared" si="112"/>
        <v>0</v>
      </c>
      <c r="CE33" s="82"/>
      <c r="CF33" s="82"/>
      <c r="CG33" s="82"/>
      <c r="CH33" s="82"/>
      <c r="CI33" s="82">
        <f t="shared" si="113"/>
        <v>0</v>
      </c>
      <c r="CJ33" s="82">
        <f t="shared" si="114"/>
        <v>0</v>
      </c>
      <c r="CK33" s="82">
        <f t="shared" si="33"/>
        <v>22</v>
      </c>
      <c r="CL33" s="82">
        <f t="shared" si="34"/>
        <v>261294</v>
      </c>
      <c r="CM33" s="82"/>
      <c r="CN33" s="82"/>
      <c r="CO33" s="82">
        <f t="shared" si="35"/>
        <v>0</v>
      </c>
      <c r="CP33" s="82">
        <f t="shared" si="36"/>
        <v>0</v>
      </c>
      <c r="CQ33" s="82"/>
      <c r="CR33" s="82"/>
      <c r="CS33" s="82"/>
      <c r="CT33" s="82"/>
      <c r="CU33" s="82">
        <f t="shared" si="115"/>
        <v>0</v>
      </c>
      <c r="CV33" s="82">
        <f t="shared" si="116"/>
        <v>0</v>
      </c>
      <c r="CW33" s="82">
        <f t="shared" si="39"/>
        <v>22</v>
      </c>
      <c r="CX33" s="82">
        <f t="shared" si="40"/>
        <v>261294</v>
      </c>
      <c r="CY33" s="82">
        <f t="shared" si="41"/>
        <v>0</v>
      </c>
      <c r="CZ33" s="82">
        <f t="shared" si="117"/>
        <v>0</v>
      </c>
      <c r="DA33" s="82">
        <f t="shared" si="43"/>
        <v>22</v>
      </c>
      <c r="DB33" s="82">
        <f t="shared" si="44"/>
        <v>261294</v>
      </c>
      <c r="DC33" s="91"/>
      <c r="DD33" s="82"/>
      <c r="DE33" s="82"/>
      <c r="DF33" s="82">
        <f t="shared" si="118"/>
        <v>0</v>
      </c>
      <c r="DG33" s="82">
        <f t="shared" si="119"/>
        <v>0</v>
      </c>
      <c r="DH33" s="82"/>
      <c r="DI33" s="82"/>
      <c r="DJ33" s="82"/>
      <c r="DK33" s="82"/>
      <c r="DL33" s="82">
        <f t="shared" si="120"/>
        <v>0</v>
      </c>
      <c r="DM33" s="82">
        <f t="shared" si="121"/>
        <v>0</v>
      </c>
      <c r="DN33" s="82">
        <f t="shared" si="122"/>
        <v>22</v>
      </c>
      <c r="DO33" s="82">
        <f t="shared" si="123"/>
        <v>261294</v>
      </c>
      <c r="DP33" s="82"/>
      <c r="DQ33" s="82"/>
      <c r="DR33" s="82">
        <f t="shared" si="124"/>
        <v>0</v>
      </c>
      <c r="DS33" s="82">
        <f t="shared" si="125"/>
        <v>0</v>
      </c>
      <c r="DT33" s="82"/>
      <c r="DU33" s="82"/>
      <c r="DV33" s="82"/>
      <c r="DW33" s="82"/>
      <c r="DX33" s="82">
        <f t="shared" si="126"/>
        <v>0</v>
      </c>
      <c r="DY33" s="82">
        <f t="shared" si="127"/>
        <v>0</v>
      </c>
      <c r="DZ33" s="82">
        <f t="shared" si="128"/>
        <v>22</v>
      </c>
      <c r="EA33" s="82">
        <f t="shared" si="129"/>
        <v>261294</v>
      </c>
      <c r="EB33" s="82"/>
      <c r="EC33" s="82"/>
      <c r="ED33" s="82">
        <f t="shared" si="130"/>
        <v>0</v>
      </c>
      <c r="EE33" s="82">
        <f t="shared" si="131"/>
        <v>0</v>
      </c>
      <c r="EF33" s="82"/>
      <c r="EG33" s="82"/>
      <c r="EH33" s="82"/>
      <c r="EI33" s="82"/>
      <c r="EJ33" s="82">
        <f t="shared" si="132"/>
        <v>0</v>
      </c>
      <c r="EK33" s="82">
        <f t="shared" si="133"/>
        <v>0</v>
      </c>
      <c r="EL33" s="82">
        <f t="shared" si="134"/>
        <v>22</v>
      </c>
      <c r="EM33" s="82">
        <f t="shared" si="135"/>
        <v>261294</v>
      </c>
      <c r="EN33" s="82">
        <f t="shared" si="136"/>
        <v>0</v>
      </c>
      <c r="EO33" s="82">
        <f t="shared" si="137"/>
        <v>0</v>
      </c>
      <c r="EP33" s="82">
        <f t="shared" si="138"/>
        <v>22</v>
      </c>
      <c r="EQ33" s="82">
        <f t="shared" si="139"/>
        <v>261294</v>
      </c>
      <c r="ER33" s="82"/>
      <c r="ES33" s="82"/>
      <c r="ET33" s="82">
        <f t="shared" si="140"/>
        <v>0</v>
      </c>
      <c r="EU33" s="82">
        <f t="shared" si="141"/>
        <v>0</v>
      </c>
      <c r="EV33" s="82"/>
      <c r="EW33" s="82"/>
      <c r="EX33" s="82"/>
      <c r="EY33" s="82"/>
      <c r="EZ33" s="82">
        <f t="shared" si="142"/>
        <v>0</v>
      </c>
      <c r="FA33" s="82">
        <f t="shared" si="143"/>
        <v>0</v>
      </c>
      <c r="FB33" s="82">
        <f t="shared" si="144"/>
        <v>22</v>
      </c>
      <c r="FC33" s="82">
        <f t="shared" si="145"/>
        <v>261294</v>
      </c>
      <c r="FD33" s="82"/>
      <c r="FE33" s="82"/>
      <c r="FF33" s="82">
        <f t="shared" si="146"/>
        <v>0</v>
      </c>
      <c r="FG33" s="82">
        <f t="shared" si="147"/>
        <v>0</v>
      </c>
      <c r="FH33" s="82"/>
      <c r="FI33" s="82"/>
      <c r="FJ33" s="82"/>
      <c r="FK33" s="82"/>
      <c r="FL33" s="82">
        <f t="shared" si="148"/>
        <v>0</v>
      </c>
      <c r="FM33" s="82">
        <f t="shared" si="149"/>
        <v>0</v>
      </c>
      <c r="FN33" s="82">
        <f t="shared" si="150"/>
        <v>22</v>
      </c>
      <c r="FO33" s="82">
        <f t="shared" si="151"/>
        <v>261294</v>
      </c>
      <c r="FP33" s="82"/>
      <c r="FQ33" s="82"/>
      <c r="FR33" s="82">
        <f t="shared" si="152"/>
        <v>0</v>
      </c>
      <c r="FS33" s="82">
        <f t="shared" si="153"/>
        <v>0</v>
      </c>
      <c r="FT33" s="82"/>
      <c r="FU33" s="82"/>
      <c r="FV33" s="82"/>
      <c r="FW33" s="82"/>
      <c r="FX33" s="82">
        <f t="shared" si="154"/>
        <v>0</v>
      </c>
      <c r="FY33" s="82">
        <f t="shared" si="155"/>
        <v>0</v>
      </c>
      <c r="FZ33" s="82">
        <f t="shared" si="156"/>
        <v>22</v>
      </c>
      <c r="GA33" s="82">
        <f t="shared" si="157"/>
        <v>261294</v>
      </c>
      <c r="GB33" s="82">
        <f t="shared" si="158"/>
        <v>0</v>
      </c>
      <c r="GC33" s="82">
        <f t="shared" si="159"/>
        <v>0</v>
      </c>
      <c r="GD33" s="82">
        <f t="shared" si="160"/>
        <v>22</v>
      </c>
      <c r="GE33" s="82">
        <f t="shared" si="161"/>
        <v>261294</v>
      </c>
      <c r="GF33" s="85"/>
    </row>
    <row r="34" ht="29.25" customHeight="1">
      <c r="A34" s="96">
        <v>13.0</v>
      </c>
      <c r="B34" s="97"/>
      <c r="C34" s="77" t="s">
        <v>109</v>
      </c>
      <c r="D34" s="78" t="s">
        <v>105</v>
      </c>
      <c r="E34" s="79">
        <v>20945.7</v>
      </c>
      <c r="F34" s="61" t="s">
        <v>110</v>
      </c>
      <c r="G34" s="81">
        <v>51.0</v>
      </c>
      <c r="H34" s="82">
        <v>1068230.7</v>
      </c>
      <c r="I34" s="82"/>
      <c r="J34" s="82"/>
      <c r="K34" s="82">
        <f t="shared" si="1"/>
        <v>0</v>
      </c>
      <c r="L34" s="82">
        <f t="shared" si="2"/>
        <v>0</v>
      </c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>
        <f t="shared" si="3"/>
        <v>0</v>
      </c>
      <c r="AC34" s="82">
        <f t="shared" si="4"/>
        <v>0</v>
      </c>
      <c r="AD34" s="82">
        <f t="shared" si="89"/>
        <v>51</v>
      </c>
      <c r="AE34" s="82">
        <f t="shared" si="90"/>
        <v>1068230.7</v>
      </c>
      <c r="AF34" s="82"/>
      <c r="AG34" s="82"/>
      <c r="AH34" s="82">
        <f t="shared" si="91"/>
        <v>0</v>
      </c>
      <c r="AI34" s="82">
        <f t="shared" si="92"/>
        <v>0</v>
      </c>
      <c r="AJ34" s="82"/>
      <c r="AK34" s="82"/>
      <c r="AL34" s="82"/>
      <c r="AM34" s="82"/>
      <c r="AN34" s="82">
        <f t="shared" si="93"/>
        <v>0</v>
      </c>
      <c r="AO34" s="82">
        <f t="shared" si="94"/>
        <v>0</v>
      </c>
      <c r="AP34" s="82">
        <f t="shared" si="11"/>
        <v>51</v>
      </c>
      <c r="AQ34" s="82">
        <f t="shared" si="12"/>
        <v>1068230.7</v>
      </c>
      <c r="AR34" s="82"/>
      <c r="AS34" s="82"/>
      <c r="AT34" s="82"/>
      <c r="AU34" s="82">
        <f t="shared" si="95"/>
        <v>0</v>
      </c>
      <c r="AV34" s="82">
        <f t="shared" si="96"/>
        <v>0</v>
      </c>
      <c r="AW34" s="82"/>
      <c r="AX34" s="82"/>
      <c r="AY34" s="82"/>
      <c r="AZ34" s="82"/>
      <c r="BA34" s="82">
        <f t="shared" si="97"/>
        <v>0</v>
      </c>
      <c r="BB34" s="82">
        <f t="shared" si="98"/>
        <v>0</v>
      </c>
      <c r="BC34" s="82">
        <f t="shared" si="99"/>
        <v>51</v>
      </c>
      <c r="BD34" s="82">
        <f t="shared" si="100"/>
        <v>1068230.7</v>
      </c>
      <c r="BE34" s="82">
        <f t="shared" si="101"/>
        <v>0</v>
      </c>
      <c r="BF34" s="82">
        <f t="shared" si="102"/>
        <v>0</v>
      </c>
      <c r="BG34" s="82">
        <f t="shared" si="103"/>
        <v>51</v>
      </c>
      <c r="BH34" s="82">
        <f t="shared" si="104"/>
        <v>1068230.7</v>
      </c>
      <c r="BI34" s="82"/>
      <c r="BJ34" s="83"/>
      <c r="BK34" s="82">
        <f t="shared" si="105"/>
        <v>0</v>
      </c>
      <c r="BL34" s="82">
        <f t="shared" si="106"/>
        <v>0</v>
      </c>
      <c r="BM34" s="82"/>
      <c r="BN34" s="82"/>
      <c r="BO34" s="82"/>
      <c r="BP34" s="82"/>
      <c r="BQ34" s="82"/>
      <c r="BR34" s="82"/>
      <c r="BS34" s="83">
        <v>1.0</v>
      </c>
      <c r="BT34" s="82"/>
      <c r="BU34" s="82"/>
      <c r="BV34" s="82"/>
      <c r="BW34" s="82">
        <f t="shared" si="107"/>
        <v>1</v>
      </c>
      <c r="BX34" s="82">
        <f t="shared" si="108"/>
        <v>20945.7</v>
      </c>
      <c r="BY34" s="82">
        <f t="shared" si="109"/>
        <v>50</v>
      </c>
      <c r="BZ34" s="82">
        <f t="shared" si="110"/>
        <v>1047285</v>
      </c>
      <c r="CA34" s="82"/>
      <c r="CB34" s="82"/>
      <c r="CC34" s="82">
        <f t="shared" si="111"/>
        <v>0</v>
      </c>
      <c r="CD34" s="82">
        <f t="shared" si="112"/>
        <v>0</v>
      </c>
      <c r="CE34" s="82"/>
      <c r="CF34" s="82"/>
      <c r="CG34" s="82"/>
      <c r="CH34" s="82"/>
      <c r="CI34" s="82">
        <f t="shared" si="113"/>
        <v>0</v>
      </c>
      <c r="CJ34" s="82">
        <f t="shared" si="114"/>
        <v>0</v>
      </c>
      <c r="CK34" s="82">
        <f t="shared" si="33"/>
        <v>50</v>
      </c>
      <c r="CL34" s="82">
        <f t="shared" si="34"/>
        <v>1047285</v>
      </c>
      <c r="CM34" s="82"/>
      <c r="CN34" s="82"/>
      <c r="CO34" s="82">
        <f t="shared" si="35"/>
        <v>0</v>
      </c>
      <c r="CP34" s="82">
        <f t="shared" si="36"/>
        <v>0</v>
      </c>
      <c r="CQ34" s="82"/>
      <c r="CR34" s="82"/>
      <c r="CS34" s="82"/>
      <c r="CT34" s="82"/>
      <c r="CU34" s="82">
        <f t="shared" si="115"/>
        <v>0</v>
      </c>
      <c r="CV34" s="82">
        <f t="shared" si="116"/>
        <v>0</v>
      </c>
      <c r="CW34" s="82">
        <f t="shared" si="39"/>
        <v>50</v>
      </c>
      <c r="CX34" s="82">
        <f t="shared" si="40"/>
        <v>1047285</v>
      </c>
      <c r="CY34" s="82">
        <f t="shared" si="41"/>
        <v>0</v>
      </c>
      <c r="CZ34" s="82">
        <f t="shared" si="117"/>
        <v>1</v>
      </c>
      <c r="DA34" s="82">
        <f t="shared" si="43"/>
        <v>50</v>
      </c>
      <c r="DB34" s="82">
        <f t="shared" si="44"/>
        <v>1047285</v>
      </c>
      <c r="DC34" s="91">
        <f>8*6</f>
        <v>48</v>
      </c>
      <c r="DD34" s="82"/>
      <c r="DE34" s="82"/>
      <c r="DF34" s="82">
        <f t="shared" si="118"/>
        <v>0</v>
      </c>
      <c r="DG34" s="82">
        <f t="shared" si="119"/>
        <v>0</v>
      </c>
      <c r="DH34" s="82"/>
      <c r="DI34" s="82"/>
      <c r="DJ34" s="82"/>
      <c r="DK34" s="82"/>
      <c r="DL34" s="82">
        <f t="shared" si="120"/>
        <v>0</v>
      </c>
      <c r="DM34" s="82">
        <f t="shared" si="121"/>
        <v>0</v>
      </c>
      <c r="DN34" s="82">
        <f t="shared" si="122"/>
        <v>50</v>
      </c>
      <c r="DO34" s="82">
        <f t="shared" si="123"/>
        <v>1047285</v>
      </c>
      <c r="DP34" s="82"/>
      <c r="DQ34" s="82"/>
      <c r="DR34" s="82">
        <f t="shared" si="124"/>
        <v>0</v>
      </c>
      <c r="DS34" s="82">
        <f t="shared" si="125"/>
        <v>0</v>
      </c>
      <c r="DT34" s="82"/>
      <c r="DU34" s="82"/>
      <c r="DV34" s="82"/>
      <c r="DW34" s="82"/>
      <c r="DX34" s="82">
        <f t="shared" si="126"/>
        <v>0</v>
      </c>
      <c r="DY34" s="82">
        <f t="shared" si="127"/>
        <v>0</v>
      </c>
      <c r="DZ34" s="82">
        <f t="shared" si="128"/>
        <v>50</v>
      </c>
      <c r="EA34" s="82">
        <f t="shared" si="129"/>
        <v>1047285</v>
      </c>
      <c r="EB34" s="82"/>
      <c r="EC34" s="82"/>
      <c r="ED34" s="82">
        <f t="shared" si="130"/>
        <v>0</v>
      </c>
      <c r="EE34" s="82">
        <f t="shared" si="131"/>
        <v>0</v>
      </c>
      <c r="EF34" s="82"/>
      <c r="EG34" s="82"/>
      <c r="EH34" s="82"/>
      <c r="EI34" s="82"/>
      <c r="EJ34" s="82">
        <f t="shared" si="132"/>
        <v>0</v>
      </c>
      <c r="EK34" s="82">
        <f t="shared" si="133"/>
        <v>0</v>
      </c>
      <c r="EL34" s="82">
        <f t="shared" si="134"/>
        <v>50</v>
      </c>
      <c r="EM34" s="82">
        <f t="shared" si="135"/>
        <v>1047285</v>
      </c>
      <c r="EN34" s="82">
        <f t="shared" si="136"/>
        <v>0</v>
      </c>
      <c r="EO34" s="82">
        <f t="shared" si="137"/>
        <v>0</v>
      </c>
      <c r="EP34" s="82">
        <f t="shared" si="138"/>
        <v>50</v>
      </c>
      <c r="EQ34" s="82">
        <f t="shared" si="139"/>
        <v>1047285</v>
      </c>
      <c r="ER34" s="82"/>
      <c r="ES34" s="82"/>
      <c r="ET34" s="82">
        <f t="shared" si="140"/>
        <v>0</v>
      </c>
      <c r="EU34" s="82">
        <f t="shared" si="141"/>
        <v>0</v>
      </c>
      <c r="EV34" s="82"/>
      <c r="EW34" s="82"/>
      <c r="EX34" s="82"/>
      <c r="EY34" s="82"/>
      <c r="EZ34" s="82">
        <f t="shared" si="142"/>
        <v>0</v>
      </c>
      <c r="FA34" s="82">
        <f t="shared" si="143"/>
        <v>0</v>
      </c>
      <c r="FB34" s="82">
        <f t="shared" si="144"/>
        <v>50</v>
      </c>
      <c r="FC34" s="82">
        <f t="shared" si="145"/>
        <v>1047285</v>
      </c>
      <c r="FD34" s="82"/>
      <c r="FE34" s="82"/>
      <c r="FF34" s="82">
        <f t="shared" si="146"/>
        <v>0</v>
      </c>
      <c r="FG34" s="82">
        <f t="shared" si="147"/>
        <v>0</v>
      </c>
      <c r="FH34" s="82"/>
      <c r="FI34" s="82"/>
      <c r="FJ34" s="82"/>
      <c r="FK34" s="82"/>
      <c r="FL34" s="82">
        <f t="shared" si="148"/>
        <v>0</v>
      </c>
      <c r="FM34" s="82">
        <f t="shared" si="149"/>
        <v>0</v>
      </c>
      <c r="FN34" s="82">
        <f t="shared" si="150"/>
        <v>50</v>
      </c>
      <c r="FO34" s="82">
        <f t="shared" si="151"/>
        <v>1047285</v>
      </c>
      <c r="FP34" s="82"/>
      <c r="FQ34" s="82"/>
      <c r="FR34" s="82">
        <f t="shared" si="152"/>
        <v>0</v>
      </c>
      <c r="FS34" s="82">
        <f t="shared" si="153"/>
        <v>0</v>
      </c>
      <c r="FT34" s="82"/>
      <c r="FU34" s="82"/>
      <c r="FV34" s="82"/>
      <c r="FW34" s="82"/>
      <c r="FX34" s="82">
        <f t="shared" si="154"/>
        <v>0</v>
      </c>
      <c r="FY34" s="82">
        <f t="shared" si="155"/>
        <v>0</v>
      </c>
      <c r="FZ34" s="82">
        <f t="shared" si="156"/>
        <v>50</v>
      </c>
      <c r="GA34" s="82">
        <f t="shared" si="157"/>
        <v>1047285</v>
      </c>
      <c r="GB34" s="82">
        <f t="shared" si="158"/>
        <v>0</v>
      </c>
      <c r="GC34" s="82">
        <f t="shared" si="159"/>
        <v>0</v>
      </c>
      <c r="GD34" s="82">
        <f t="shared" si="160"/>
        <v>50</v>
      </c>
      <c r="GE34" s="82">
        <f t="shared" si="161"/>
        <v>1047285</v>
      </c>
      <c r="GF34" s="85"/>
    </row>
    <row r="35" ht="29.25" customHeight="1">
      <c r="A35" s="96">
        <v>14.0</v>
      </c>
      <c r="B35" s="97"/>
      <c r="C35" s="58" t="s">
        <v>111</v>
      </c>
      <c r="D35" s="78" t="s">
        <v>105</v>
      </c>
      <c r="E35" s="79">
        <v>45000.0</v>
      </c>
      <c r="F35" s="61" t="s">
        <v>112</v>
      </c>
      <c r="G35" s="81">
        <v>41.0</v>
      </c>
      <c r="H35" s="82">
        <v>1845000.0</v>
      </c>
      <c r="I35" s="82"/>
      <c r="J35" s="82"/>
      <c r="K35" s="82">
        <f t="shared" si="1"/>
        <v>0</v>
      </c>
      <c r="L35" s="82">
        <f t="shared" si="2"/>
        <v>0</v>
      </c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>
        <f t="shared" si="3"/>
        <v>0</v>
      </c>
      <c r="AC35" s="82">
        <f t="shared" si="4"/>
        <v>0</v>
      </c>
      <c r="AD35" s="82">
        <f t="shared" si="89"/>
        <v>41</v>
      </c>
      <c r="AE35" s="82">
        <f t="shared" si="90"/>
        <v>1845000</v>
      </c>
      <c r="AF35" s="82"/>
      <c r="AG35" s="82"/>
      <c r="AH35" s="82">
        <f t="shared" si="91"/>
        <v>0</v>
      </c>
      <c r="AI35" s="82">
        <f t="shared" si="92"/>
        <v>0</v>
      </c>
      <c r="AJ35" s="82"/>
      <c r="AK35" s="82"/>
      <c r="AL35" s="82"/>
      <c r="AM35" s="82"/>
      <c r="AN35" s="82">
        <f t="shared" si="93"/>
        <v>0</v>
      </c>
      <c r="AO35" s="82">
        <f t="shared" si="94"/>
        <v>0</v>
      </c>
      <c r="AP35" s="82">
        <f t="shared" si="11"/>
        <v>41</v>
      </c>
      <c r="AQ35" s="82">
        <f t="shared" si="12"/>
        <v>1845000</v>
      </c>
      <c r="AR35" s="82"/>
      <c r="AS35" s="82"/>
      <c r="AT35" s="82"/>
      <c r="AU35" s="82">
        <f t="shared" si="95"/>
        <v>0</v>
      </c>
      <c r="AV35" s="82">
        <f t="shared" si="96"/>
        <v>0</v>
      </c>
      <c r="AW35" s="82"/>
      <c r="AX35" s="82"/>
      <c r="AY35" s="82"/>
      <c r="AZ35" s="82"/>
      <c r="BA35" s="82">
        <f t="shared" si="97"/>
        <v>0</v>
      </c>
      <c r="BB35" s="82">
        <f t="shared" si="98"/>
        <v>0</v>
      </c>
      <c r="BC35" s="82">
        <f t="shared" si="99"/>
        <v>41</v>
      </c>
      <c r="BD35" s="82">
        <f t="shared" si="100"/>
        <v>1845000</v>
      </c>
      <c r="BE35" s="82">
        <f t="shared" si="101"/>
        <v>0</v>
      </c>
      <c r="BF35" s="82">
        <f t="shared" si="102"/>
        <v>0</v>
      </c>
      <c r="BG35" s="82">
        <f t="shared" si="103"/>
        <v>41</v>
      </c>
      <c r="BH35" s="82">
        <f t="shared" si="104"/>
        <v>1845000</v>
      </c>
      <c r="BI35" s="82"/>
      <c r="BJ35" s="83"/>
      <c r="BK35" s="82">
        <f t="shared" si="105"/>
        <v>0</v>
      </c>
      <c r="BL35" s="82">
        <f t="shared" si="106"/>
        <v>0</v>
      </c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>
        <f t="shared" si="107"/>
        <v>0</v>
      </c>
      <c r="BX35" s="82">
        <f t="shared" si="108"/>
        <v>0</v>
      </c>
      <c r="BY35" s="82">
        <f t="shared" si="109"/>
        <v>41</v>
      </c>
      <c r="BZ35" s="82">
        <f t="shared" si="110"/>
        <v>1845000</v>
      </c>
      <c r="CA35" s="82"/>
      <c r="CB35" s="82"/>
      <c r="CC35" s="82">
        <f t="shared" si="111"/>
        <v>0</v>
      </c>
      <c r="CD35" s="82">
        <f t="shared" si="112"/>
        <v>0</v>
      </c>
      <c r="CE35" s="82"/>
      <c r="CF35" s="82"/>
      <c r="CG35" s="82"/>
      <c r="CH35" s="82"/>
      <c r="CI35" s="82">
        <f t="shared" si="113"/>
        <v>0</v>
      </c>
      <c r="CJ35" s="82">
        <f t="shared" si="114"/>
        <v>0</v>
      </c>
      <c r="CK35" s="82">
        <f t="shared" si="33"/>
        <v>41</v>
      </c>
      <c r="CL35" s="82">
        <f t="shared" si="34"/>
        <v>1845000</v>
      </c>
      <c r="CM35" s="82"/>
      <c r="CN35" s="82"/>
      <c r="CO35" s="82">
        <f t="shared" si="35"/>
        <v>0</v>
      </c>
      <c r="CP35" s="82">
        <f t="shared" si="36"/>
        <v>0</v>
      </c>
      <c r="CQ35" s="82"/>
      <c r="CR35" s="82"/>
      <c r="CS35" s="82"/>
      <c r="CT35" s="82"/>
      <c r="CU35" s="82">
        <f t="shared" si="115"/>
        <v>0</v>
      </c>
      <c r="CV35" s="82">
        <f t="shared" si="116"/>
        <v>0</v>
      </c>
      <c r="CW35" s="82">
        <f t="shared" si="39"/>
        <v>41</v>
      </c>
      <c r="CX35" s="82">
        <f t="shared" si="40"/>
        <v>1845000</v>
      </c>
      <c r="CY35" s="82">
        <f t="shared" si="41"/>
        <v>0</v>
      </c>
      <c r="CZ35" s="82">
        <f t="shared" si="117"/>
        <v>0</v>
      </c>
      <c r="DA35" s="82">
        <f t="shared" si="43"/>
        <v>41</v>
      </c>
      <c r="DB35" s="82">
        <f t="shared" si="44"/>
        <v>1845000</v>
      </c>
      <c r="DC35" s="84">
        <v>39.0</v>
      </c>
      <c r="DD35" s="82"/>
      <c r="DE35" s="82"/>
      <c r="DF35" s="82">
        <f t="shared" si="118"/>
        <v>0</v>
      </c>
      <c r="DG35" s="82">
        <f t="shared" si="119"/>
        <v>0</v>
      </c>
      <c r="DH35" s="82"/>
      <c r="DI35" s="82"/>
      <c r="DJ35" s="82"/>
      <c r="DK35" s="82"/>
      <c r="DL35" s="82">
        <f t="shared" si="120"/>
        <v>0</v>
      </c>
      <c r="DM35" s="82">
        <f t="shared" si="121"/>
        <v>0</v>
      </c>
      <c r="DN35" s="82">
        <f t="shared" si="122"/>
        <v>41</v>
      </c>
      <c r="DO35" s="82">
        <f t="shared" si="123"/>
        <v>1845000</v>
      </c>
      <c r="DP35" s="82"/>
      <c r="DQ35" s="82"/>
      <c r="DR35" s="82">
        <f t="shared" si="124"/>
        <v>0</v>
      </c>
      <c r="DS35" s="82">
        <f t="shared" si="125"/>
        <v>0</v>
      </c>
      <c r="DT35" s="82"/>
      <c r="DU35" s="82"/>
      <c r="DV35" s="82"/>
      <c r="DW35" s="82"/>
      <c r="DX35" s="82">
        <f t="shared" si="126"/>
        <v>0</v>
      </c>
      <c r="DY35" s="82">
        <f t="shared" si="127"/>
        <v>0</v>
      </c>
      <c r="DZ35" s="82">
        <f t="shared" si="128"/>
        <v>41</v>
      </c>
      <c r="EA35" s="82">
        <f t="shared" si="129"/>
        <v>1845000</v>
      </c>
      <c r="EB35" s="82"/>
      <c r="EC35" s="82"/>
      <c r="ED35" s="82">
        <f t="shared" si="130"/>
        <v>0</v>
      </c>
      <c r="EE35" s="82">
        <f t="shared" si="131"/>
        <v>0</v>
      </c>
      <c r="EF35" s="82"/>
      <c r="EG35" s="82"/>
      <c r="EH35" s="82"/>
      <c r="EI35" s="82"/>
      <c r="EJ35" s="82">
        <f t="shared" si="132"/>
        <v>0</v>
      </c>
      <c r="EK35" s="82">
        <f t="shared" si="133"/>
        <v>0</v>
      </c>
      <c r="EL35" s="82">
        <f t="shared" si="134"/>
        <v>41</v>
      </c>
      <c r="EM35" s="82">
        <f t="shared" si="135"/>
        <v>1845000</v>
      </c>
      <c r="EN35" s="82">
        <f t="shared" si="136"/>
        <v>0</v>
      </c>
      <c r="EO35" s="82">
        <f t="shared" si="137"/>
        <v>0</v>
      </c>
      <c r="EP35" s="82">
        <f t="shared" si="138"/>
        <v>41</v>
      </c>
      <c r="EQ35" s="82">
        <f t="shared" si="139"/>
        <v>1845000</v>
      </c>
      <c r="ER35" s="82"/>
      <c r="ES35" s="82"/>
      <c r="ET35" s="82">
        <f t="shared" si="140"/>
        <v>0</v>
      </c>
      <c r="EU35" s="82">
        <f t="shared" si="141"/>
        <v>0</v>
      </c>
      <c r="EV35" s="82"/>
      <c r="EW35" s="82"/>
      <c r="EX35" s="82"/>
      <c r="EY35" s="82"/>
      <c r="EZ35" s="82">
        <f t="shared" si="142"/>
        <v>0</v>
      </c>
      <c r="FA35" s="82">
        <f t="shared" si="143"/>
        <v>0</v>
      </c>
      <c r="FB35" s="82">
        <f t="shared" si="144"/>
        <v>41</v>
      </c>
      <c r="FC35" s="82">
        <f t="shared" si="145"/>
        <v>1845000</v>
      </c>
      <c r="FD35" s="82"/>
      <c r="FE35" s="82"/>
      <c r="FF35" s="82">
        <f t="shared" si="146"/>
        <v>0</v>
      </c>
      <c r="FG35" s="82">
        <f t="shared" si="147"/>
        <v>0</v>
      </c>
      <c r="FH35" s="82"/>
      <c r="FI35" s="82"/>
      <c r="FJ35" s="82"/>
      <c r="FK35" s="82"/>
      <c r="FL35" s="82">
        <f t="shared" si="148"/>
        <v>0</v>
      </c>
      <c r="FM35" s="82">
        <f t="shared" si="149"/>
        <v>0</v>
      </c>
      <c r="FN35" s="82">
        <f t="shared" si="150"/>
        <v>41</v>
      </c>
      <c r="FO35" s="82">
        <f t="shared" si="151"/>
        <v>1845000</v>
      </c>
      <c r="FP35" s="82"/>
      <c r="FQ35" s="82"/>
      <c r="FR35" s="82">
        <f t="shared" si="152"/>
        <v>0</v>
      </c>
      <c r="FS35" s="82">
        <f t="shared" si="153"/>
        <v>0</v>
      </c>
      <c r="FT35" s="82"/>
      <c r="FU35" s="82"/>
      <c r="FV35" s="82"/>
      <c r="FW35" s="82"/>
      <c r="FX35" s="82">
        <f t="shared" si="154"/>
        <v>0</v>
      </c>
      <c r="FY35" s="82">
        <f t="shared" si="155"/>
        <v>0</v>
      </c>
      <c r="FZ35" s="82">
        <f t="shared" si="156"/>
        <v>41</v>
      </c>
      <c r="GA35" s="82">
        <f t="shared" si="157"/>
        <v>1845000</v>
      </c>
      <c r="GB35" s="82">
        <f t="shared" si="158"/>
        <v>0</v>
      </c>
      <c r="GC35" s="82">
        <f t="shared" si="159"/>
        <v>0</v>
      </c>
      <c r="GD35" s="82">
        <f t="shared" si="160"/>
        <v>41</v>
      </c>
      <c r="GE35" s="82">
        <f t="shared" si="161"/>
        <v>1845000</v>
      </c>
      <c r="GF35" s="85"/>
    </row>
    <row r="36" ht="29.25" customHeight="1">
      <c r="A36" s="76">
        <v>15.0</v>
      </c>
      <c r="B36" s="87"/>
      <c r="C36" s="77" t="s">
        <v>113</v>
      </c>
      <c r="D36" s="92" t="s">
        <v>114</v>
      </c>
      <c r="E36" s="79">
        <v>5106.0</v>
      </c>
      <c r="F36" s="61" t="s">
        <v>97</v>
      </c>
      <c r="G36" s="81">
        <v>6.0</v>
      </c>
      <c r="H36" s="82">
        <v>30636.0</v>
      </c>
      <c r="I36" s="82"/>
      <c r="J36" s="82"/>
      <c r="K36" s="82">
        <f t="shared" si="1"/>
        <v>0</v>
      </c>
      <c r="L36" s="82">
        <f t="shared" si="2"/>
        <v>0</v>
      </c>
      <c r="M36" s="82"/>
      <c r="N36" s="82"/>
      <c r="O36" s="82"/>
      <c r="P36" s="82"/>
      <c r="Q36" s="82"/>
      <c r="R36" s="82"/>
      <c r="S36" s="82"/>
      <c r="T36" s="82"/>
      <c r="U36" s="82"/>
      <c r="V36" s="83">
        <v>4.0</v>
      </c>
      <c r="W36" s="82"/>
      <c r="X36" s="82"/>
      <c r="Y36" s="82"/>
      <c r="Z36" s="82"/>
      <c r="AA36" s="82"/>
      <c r="AB36" s="82">
        <f t="shared" si="3"/>
        <v>4</v>
      </c>
      <c r="AC36" s="82">
        <f t="shared" si="4"/>
        <v>20424</v>
      </c>
      <c r="AD36" s="82">
        <f t="shared" si="89"/>
        <v>2</v>
      </c>
      <c r="AE36" s="82">
        <f t="shared" si="90"/>
        <v>10212</v>
      </c>
      <c r="AF36" s="82"/>
      <c r="AG36" s="82"/>
      <c r="AH36" s="82">
        <f t="shared" si="91"/>
        <v>0</v>
      </c>
      <c r="AI36" s="82">
        <f t="shared" si="92"/>
        <v>0</v>
      </c>
      <c r="AJ36" s="82"/>
      <c r="AK36" s="82"/>
      <c r="AL36" s="82"/>
      <c r="AM36" s="82"/>
      <c r="AN36" s="82">
        <f t="shared" si="93"/>
        <v>0</v>
      </c>
      <c r="AO36" s="82">
        <f t="shared" si="94"/>
        <v>0</v>
      </c>
      <c r="AP36" s="82">
        <f t="shared" si="11"/>
        <v>2</v>
      </c>
      <c r="AQ36" s="82">
        <f t="shared" si="12"/>
        <v>10212</v>
      </c>
      <c r="AR36" s="82"/>
      <c r="AS36" s="82"/>
      <c r="AT36" s="82"/>
      <c r="AU36" s="82">
        <f t="shared" si="95"/>
        <v>0</v>
      </c>
      <c r="AV36" s="82">
        <f t="shared" si="96"/>
        <v>0</v>
      </c>
      <c r="AW36" s="82"/>
      <c r="AX36" s="82"/>
      <c r="AY36" s="82"/>
      <c r="AZ36" s="82"/>
      <c r="BA36" s="82">
        <f t="shared" si="97"/>
        <v>0</v>
      </c>
      <c r="BB36" s="82">
        <f t="shared" si="98"/>
        <v>0</v>
      </c>
      <c r="BC36" s="82">
        <f t="shared" si="99"/>
        <v>2</v>
      </c>
      <c r="BD36" s="82">
        <f t="shared" si="100"/>
        <v>10212</v>
      </c>
      <c r="BE36" s="82">
        <f t="shared" si="101"/>
        <v>0</v>
      </c>
      <c r="BF36" s="82">
        <f t="shared" si="102"/>
        <v>4</v>
      </c>
      <c r="BG36" s="82">
        <f t="shared" si="103"/>
        <v>2</v>
      </c>
      <c r="BH36" s="82">
        <f t="shared" si="104"/>
        <v>10212</v>
      </c>
      <c r="BI36" s="82"/>
      <c r="BJ36" s="83"/>
      <c r="BK36" s="82">
        <f t="shared" si="105"/>
        <v>0</v>
      </c>
      <c r="BL36" s="82">
        <f t="shared" si="106"/>
        <v>0</v>
      </c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>
        <f t="shared" si="107"/>
        <v>0</v>
      </c>
      <c r="BX36" s="82">
        <f t="shared" si="108"/>
        <v>0</v>
      </c>
      <c r="BY36" s="82">
        <f t="shared" si="109"/>
        <v>2</v>
      </c>
      <c r="BZ36" s="82">
        <f t="shared" si="110"/>
        <v>10212</v>
      </c>
      <c r="CA36" s="82"/>
      <c r="CB36" s="82"/>
      <c r="CC36" s="82">
        <f t="shared" si="111"/>
        <v>0</v>
      </c>
      <c r="CD36" s="82">
        <f t="shared" si="112"/>
        <v>0</v>
      </c>
      <c r="CE36" s="82"/>
      <c r="CF36" s="82"/>
      <c r="CG36" s="82"/>
      <c r="CH36" s="82"/>
      <c r="CI36" s="82">
        <f t="shared" si="113"/>
        <v>0</v>
      </c>
      <c r="CJ36" s="82">
        <f t="shared" si="114"/>
        <v>0</v>
      </c>
      <c r="CK36" s="82">
        <f t="shared" si="33"/>
        <v>2</v>
      </c>
      <c r="CL36" s="82">
        <f t="shared" si="34"/>
        <v>10212</v>
      </c>
      <c r="CM36" s="82"/>
      <c r="CN36" s="82"/>
      <c r="CO36" s="82">
        <f t="shared" si="35"/>
        <v>0</v>
      </c>
      <c r="CP36" s="82">
        <f t="shared" si="36"/>
        <v>0</v>
      </c>
      <c r="CQ36" s="82"/>
      <c r="CR36" s="82"/>
      <c r="CS36" s="82"/>
      <c r="CT36" s="82"/>
      <c r="CU36" s="82">
        <f t="shared" si="115"/>
        <v>0</v>
      </c>
      <c r="CV36" s="82">
        <f t="shared" si="116"/>
        <v>0</v>
      </c>
      <c r="CW36" s="82">
        <f t="shared" si="39"/>
        <v>2</v>
      </c>
      <c r="CX36" s="82">
        <f t="shared" si="40"/>
        <v>10212</v>
      </c>
      <c r="CY36" s="82">
        <f t="shared" si="41"/>
        <v>0</v>
      </c>
      <c r="CZ36" s="82">
        <f t="shared" si="117"/>
        <v>0</v>
      </c>
      <c r="DA36" s="82">
        <f t="shared" si="43"/>
        <v>2</v>
      </c>
      <c r="DB36" s="82">
        <f t="shared" si="44"/>
        <v>10212</v>
      </c>
      <c r="DC36" s="84"/>
      <c r="DD36" s="82"/>
      <c r="DE36" s="82"/>
      <c r="DF36" s="82">
        <f t="shared" si="118"/>
        <v>0</v>
      </c>
      <c r="DG36" s="82">
        <f t="shared" si="119"/>
        <v>0</v>
      </c>
      <c r="DH36" s="82"/>
      <c r="DI36" s="82"/>
      <c r="DJ36" s="82"/>
      <c r="DK36" s="82"/>
      <c r="DL36" s="82">
        <f t="shared" si="120"/>
        <v>0</v>
      </c>
      <c r="DM36" s="82">
        <f t="shared" si="121"/>
        <v>0</v>
      </c>
      <c r="DN36" s="82">
        <f t="shared" si="122"/>
        <v>2</v>
      </c>
      <c r="DO36" s="82">
        <f t="shared" si="123"/>
        <v>10212</v>
      </c>
      <c r="DP36" s="82"/>
      <c r="DQ36" s="82"/>
      <c r="DR36" s="82">
        <f t="shared" si="124"/>
        <v>0</v>
      </c>
      <c r="DS36" s="82">
        <f t="shared" si="125"/>
        <v>0</v>
      </c>
      <c r="DT36" s="82"/>
      <c r="DU36" s="82"/>
      <c r="DV36" s="82"/>
      <c r="DW36" s="82"/>
      <c r="DX36" s="82">
        <f t="shared" si="126"/>
        <v>0</v>
      </c>
      <c r="DY36" s="82">
        <f t="shared" si="127"/>
        <v>0</v>
      </c>
      <c r="DZ36" s="82">
        <f t="shared" si="128"/>
        <v>2</v>
      </c>
      <c r="EA36" s="82">
        <f t="shared" si="129"/>
        <v>10212</v>
      </c>
      <c r="EB36" s="82"/>
      <c r="EC36" s="82"/>
      <c r="ED36" s="82">
        <f t="shared" si="130"/>
        <v>0</v>
      </c>
      <c r="EE36" s="82">
        <f t="shared" si="131"/>
        <v>0</v>
      </c>
      <c r="EF36" s="82"/>
      <c r="EG36" s="82"/>
      <c r="EH36" s="82"/>
      <c r="EI36" s="82"/>
      <c r="EJ36" s="82">
        <f t="shared" si="132"/>
        <v>0</v>
      </c>
      <c r="EK36" s="82">
        <f t="shared" si="133"/>
        <v>0</v>
      </c>
      <c r="EL36" s="82">
        <f t="shared" si="134"/>
        <v>2</v>
      </c>
      <c r="EM36" s="82">
        <f t="shared" si="135"/>
        <v>10212</v>
      </c>
      <c r="EN36" s="82">
        <f t="shared" si="136"/>
        <v>0</v>
      </c>
      <c r="EO36" s="82">
        <f t="shared" si="137"/>
        <v>0</v>
      </c>
      <c r="EP36" s="82">
        <f t="shared" si="138"/>
        <v>2</v>
      </c>
      <c r="EQ36" s="82">
        <f t="shared" si="139"/>
        <v>10212</v>
      </c>
      <c r="ER36" s="82"/>
      <c r="ES36" s="82"/>
      <c r="ET36" s="82">
        <f t="shared" si="140"/>
        <v>0</v>
      </c>
      <c r="EU36" s="82">
        <f t="shared" si="141"/>
        <v>0</v>
      </c>
      <c r="EV36" s="82"/>
      <c r="EW36" s="82"/>
      <c r="EX36" s="82"/>
      <c r="EY36" s="82"/>
      <c r="EZ36" s="82">
        <f t="shared" si="142"/>
        <v>0</v>
      </c>
      <c r="FA36" s="82">
        <f t="shared" si="143"/>
        <v>0</v>
      </c>
      <c r="FB36" s="82">
        <f t="shared" si="144"/>
        <v>2</v>
      </c>
      <c r="FC36" s="82">
        <f t="shared" si="145"/>
        <v>10212</v>
      </c>
      <c r="FD36" s="82"/>
      <c r="FE36" s="82"/>
      <c r="FF36" s="82">
        <f t="shared" si="146"/>
        <v>0</v>
      </c>
      <c r="FG36" s="82">
        <f t="shared" si="147"/>
        <v>0</v>
      </c>
      <c r="FH36" s="82"/>
      <c r="FI36" s="82"/>
      <c r="FJ36" s="82"/>
      <c r="FK36" s="82"/>
      <c r="FL36" s="82">
        <f t="shared" si="148"/>
        <v>0</v>
      </c>
      <c r="FM36" s="82">
        <f t="shared" si="149"/>
        <v>0</v>
      </c>
      <c r="FN36" s="82">
        <f t="shared" si="150"/>
        <v>2</v>
      </c>
      <c r="FO36" s="82">
        <f t="shared" si="151"/>
        <v>10212</v>
      </c>
      <c r="FP36" s="82"/>
      <c r="FQ36" s="82"/>
      <c r="FR36" s="82">
        <f t="shared" si="152"/>
        <v>0</v>
      </c>
      <c r="FS36" s="82">
        <f t="shared" si="153"/>
        <v>0</v>
      </c>
      <c r="FT36" s="82"/>
      <c r="FU36" s="82"/>
      <c r="FV36" s="82"/>
      <c r="FW36" s="82"/>
      <c r="FX36" s="82">
        <f t="shared" si="154"/>
        <v>0</v>
      </c>
      <c r="FY36" s="82">
        <f t="shared" si="155"/>
        <v>0</v>
      </c>
      <c r="FZ36" s="82">
        <f t="shared" si="156"/>
        <v>2</v>
      </c>
      <c r="GA36" s="82">
        <f t="shared" si="157"/>
        <v>10212</v>
      </c>
      <c r="GB36" s="82">
        <f t="shared" si="158"/>
        <v>0</v>
      </c>
      <c r="GC36" s="82">
        <f t="shared" si="159"/>
        <v>0</v>
      </c>
      <c r="GD36" s="82">
        <f t="shared" si="160"/>
        <v>2</v>
      </c>
      <c r="GE36" s="82">
        <f t="shared" si="161"/>
        <v>10212</v>
      </c>
      <c r="GF36" s="85"/>
    </row>
    <row r="37" ht="29.25" customHeight="1">
      <c r="A37" s="50"/>
      <c r="B37" s="50"/>
      <c r="C37" s="50"/>
      <c r="D37" s="92" t="s">
        <v>114</v>
      </c>
      <c r="E37" s="86">
        <v>3604.0</v>
      </c>
      <c r="F37" s="80" t="s">
        <v>86</v>
      </c>
      <c r="G37" s="81">
        <v>23.0</v>
      </c>
      <c r="H37" s="82">
        <v>82892.0</v>
      </c>
      <c r="I37" s="82"/>
      <c r="J37" s="82"/>
      <c r="K37" s="82">
        <f t="shared" si="1"/>
        <v>0</v>
      </c>
      <c r="L37" s="82">
        <f t="shared" si="2"/>
        <v>0</v>
      </c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>
        <f t="shared" si="3"/>
        <v>0</v>
      </c>
      <c r="AC37" s="82">
        <f t="shared" si="4"/>
        <v>0</v>
      </c>
      <c r="AD37" s="82">
        <f t="shared" si="89"/>
        <v>23</v>
      </c>
      <c r="AE37" s="82">
        <f t="shared" si="90"/>
        <v>82892</v>
      </c>
      <c r="AF37" s="82"/>
      <c r="AG37" s="82"/>
      <c r="AH37" s="82">
        <f t="shared" si="91"/>
        <v>0</v>
      </c>
      <c r="AI37" s="82">
        <f t="shared" si="92"/>
        <v>0</v>
      </c>
      <c r="AJ37" s="82"/>
      <c r="AK37" s="82"/>
      <c r="AL37" s="82"/>
      <c r="AM37" s="82"/>
      <c r="AN37" s="82">
        <f t="shared" si="93"/>
        <v>0</v>
      </c>
      <c r="AO37" s="82">
        <f t="shared" si="94"/>
        <v>0</v>
      </c>
      <c r="AP37" s="82">
        <f t="shared" si="11"/>
        <v>23</v>
      </c>
      <c r="AQ37" s="82">
        <f t="shared" si="12"/>
        <v>82892</v>
      </c>
      <c r="AR37" s="82"/>
      <c r="AS37" s="82"/>
      <c r="AT37" s="82"/>
      <c r="AU37" s="82">
        <f t="shared" si="95"/>
        <v>0</v>
      </c>
      <c r="AV37" s="82">
        <f t="shared" si="96"/>
        <v>0</v>
      </c>
      <c r="AW37" s="82"/>
      <c r="AX37" s="82"/>
      <c r="AY37" s="82"/>
      <c r="AZ37" s="82"/>
      <c r="BA37" s="82">
        <f t="shared" si="97"/>
        <v>0</v>
      </c>
      <c r="BB37" s="82">
        <f t="shared" si="98"/>
        <v>0</v>
      </c>
      <c r="BC37" s="82">
        <f t="shared" si="99"/>
        <v>23</v>
      </c>
      <c r="BD37" s="82">
        <f t="shared" si="100"/>
        <v>82892</v>
      </c>
      <c r="BE37" s="82">
        <f t="shared" si="101"/>
        <v>0</v>
      </c>
      <c r="BF37" s="82">
        <f t="shared" si="102"/>
        <v>0</v>
      </c>
      <c r="BG37" s="82">
        <f t="shared" si="103"/>
        <v>23</v>
      </c>
      <c r="BH37" s="82">
        <f t="shared" si="104"/>
        <v>82892</v>
      </c>
      <c r="BI37" s="82"/>
      <c r="BJ37" s="83"/>
      <c r="BK37" s="82">
        <f t="shared" si="105"/>
        <v>0</v>
      </c>
      <c r="BL37" s="82">
        <f t="shared" si="106"/>
        <v>0</v>
      </c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>
        <f t="shared" si="107"/>
        <v>0</v>
      </c>
      <c r="BX37" s="82">
        <f t="shared" si="108"/>
        <v>0</v>
      </c>
      <c r="BY37" s="82">
        <f t="shared" si="109"/>
        <v>23</v>
      </c>
      <c r="BZ37" s="82">
        <f t="shared" si="110"/>
        <v>82892</v>
      </c>
      <c r="CA37" s="82"/>
      <c r="CB37" s="82"/>
      <c r="CC37" s="82">
        <f t="shared" si="111"/>
        <v>0</v>
      </c>
      <c r="CD37" s="82">
        <f t="shared" si="112"/>
        <v>0</v>
      </c>
      <c r="CE37" s="82"/>
      <c r="CF37" s="82"/>
      <c r="CG37" s="82"/>
      <c r="CH37" s="82"/>
      <c r="CI37" s="82">
        <f t="shared" si="113"/>
        <v>0</v>
      </c>
      <c r="CJ37" s="82">
        <f t="shared" si="114"/>
        <v>0</v>
      </c>
      <c r="CK37" s="82">
        <f t="shared" si="33"/>
        <v>23</v>
      </c>
      <c r="CL37" s="82">
        <f t="shared" si="34"/>
        <v>82892</v>
      </c>
      <c r="CM37" s="82"/>
      <c r="CN37" s="82"/>
      <c r="CO37" s="82">
        <f t="shared" si="35"/>
        <v>0</v>
      </c>
      <c r="CP37" s="82">
        <f t="shared" si="36"/>
        <v>0</v>
      </c>
      <c r="CQ37" s="82"/>
      <c r="CR37" s="82"/>
      <c r="CS37" s="82"/>
      <c r="CT37" s="82"/>
      <c r="CU37" s="82">
        <f t="shared" si="115"/>
        <v>0</v>
      </c>
      <c r="CV37" s="82">
        <f t="shared" si="116"/>
        <v>0</v>
      </c>
      <c r="CW37" s="82">
        <f t="shared" si="39"/>
        <v>23</v>
      </c>
      <c r="CX37" s="82">
        <f t="shared" si="40"/>
        <v>82892</v>
      </c>
      <c r="CY37" s="82">
        <f t="shared" si="41"/>
        <v>0</v>
      </c>
      <c r="CZ37" s="82">
        <f t="shared" si="117"/>
        <v>0</v>
      </c>
      <c r="DA37" s="82">
        <f t="shared" si="43"/>
        <v>23</v>
      </c>
      <c r="DB37" s="82">
        <f t="shared" si="44"/>
        <v>82892</v>
      </c>
      <c r="DC37" s="91"/>
      <c r="DD37" s="82"/>
      <c r="DE37" s="82"/>
      <c r="DF37" s="82">
        <f t="shared" si="118"/>
        <v>0</v>
      </c>
      <c r="DG37" s="82">
        <f t="shared" si="119"/>
        <v>0</v>
      </c>
      <c r="DH37" s="82"/>
      <c r="DI37" s="82"/>
      <c r="DJ37" s="82"/>
      <c r="DK37" s="82"/>
      <c r="DL37" s="82">
        <f t="shared" si="120"/>
        <v>0</v>
      </c>
      <c r="DM37" s="82">
        <f t="shared" si="121"/>
        <v>0</v>
      </c>
      <c r="DN37" s="82">
        <f t="shared" si="122"/>
        <v>23</v>
      </c>
      <c r="DO37" s="82">
        <f t="shared" si="123"/>
        <v>82892</v>
      </c>
      <c r="DP37" s="82"/>
      <c r="DQ37" s="82"/>
      <c r="DR37" s="82">
        <f t="shared" si="124"/>
        <v>0</v>
      </c>
      <c r="DS37" s="82">
        <f t="shared" si="125"/>
        <v>0</v>
      </c>
      <c r="DT37" s="82"/>
      <c r="DU37" s="82"/>
      <c r="DV37" s="82"/>
      <c r="DW37" s="82"/>
      <c r="DX37" s="82">
        <f t="shared" si="126"/>
        <v>0</v>
      </c>
      <c r="DY37" s="82">
        <f t="shared" si="127"/>
        <v>0</v>
      </c>
      <c r="DZ37" s="82">
        <f t="shared" si="128"/>
        <v>23</v>
      </c>
      <c r="EA37" s="82">
        <f t="shared" si="129"/>
        <v>82892</v>
      </c>
      <c r="EB37" s="82"/>
      <c r="EC37" s="82"/>
      <c r="ED37" s="82">
        <f t="shared" si="130"/>
        <v>0</v>
      </c>
      <c r="EE37" s="82">
        <f t="shared" si="131"/>
        <v>0</v>
      </c>
      <c r="EF37" s="82"/>
      <c r="EG37" s="82"/>
      <c r="EH37" s="82"/>
      <c r="EI37" s="82"/>
      <c r="EJ37" s="82">
        <f t="shared" si="132"/>
        <v>0</v>
      </c>
      <c r="EK37" s="82">
        <f t="shared" si="133"/>
        <v>0</v>
      </c>
      <c r="EL37" s="82">
        <f t="shared" si="134"/>
        <v>23</v>
      </c>
      <c r="EM37" s="82">
        <f t="shared" si="135"/>
        <v>82892</v>
      </c>
      <c r="EN37" s="82">
        <f t="shared" si="136"/>
        <v>0</v>
      </c>
      <c r="EO37" s="82">
        <f t="shared" si="137"/>
        <v>0</v>
      </c>
      <c r="EP37" s="82">
        <f t="shared" si="138"/>
        <v>23</v>
      </c>
      <c r="EQ37" s="82">
        <f t="shared" si="139"/>
        <v>82892</v>
      </c>
      <c r="ER37" s="82"/>
      <c r="ES37" s="82"/>
      <c r="ET37" s="82">
        <f t="shared" si="140"/>
        <v>0</v>
      </c>
      <c r="EU37" s="82">
        <f t="shared" si="141"/>
        <v>0</v>
      </c>
      <c r="EV37" s="82"/>
      <c r="EW37" s="82"/>
      <c r="EX37" s="82"/>
      <c r="EY37" s="82"/>
      <c r="EZ37" s="82">
        <f t="shared" si="142"/>
        <v>0</v>
      </c>
      <c r="FA37" s="82">
        <f t="shared" si="143"/>
        <v>0</v>
      </c>
      <c r="FB37" s="82">
        <f t="shared" si="144"/>
        <v>23</v>
      </c>
      <c r="FC37" s="82">
        <f t="shared" si="145"/>
        <v>82892</v>
      </c>
      <c r="FD37" s="82"/>
      <c r="FE37" s="82"/>
      <c r="FF37" s="82">
        <f t="shared" si="146"/>
        <v>0</v>
      </c>
      <c r="FG37" s="82">
        <f t="shared" si="147"/>
        <v>0</v>
      </c>
      <c r="FH37" s="82"/>
      <c r="FI37" s="82"/>
      <c r="FJ37" s="82"/>
      <c r="FK37" s="82"/>
      <c r="FL37" s="82">
        <f t="shared" si="148"/>
        <v>0</v>
      </c>
      <c r="FM37" s="82">
        <f t="shared" si="149"/>
        <v>0</v>
      </c>
      <c r="FN37" s="82">
        <f t="shared" si="150"/>
        <v>23</v>
      </c>
      <c r="FO37" s="82">
        <f t="shared" si="151"/>
        <v>82892</v>
      </c>
      <c r="FP37" s="82"/>
      <c r="FQ37" s="82"/>
      <c r="FR37" s="82">
        <f t="shared" si="152"/>
        <v>0</v>
      </c>
      <c r="FS37" s="82">
        <f t="shared" si="153"/>
        <v>0</v>
      </c>
      <c r="FT37" s="82"/>
      <c r="FU37" s="82"/>
      <c r="FV37" s="82"/>
      <c r="FW37" s="82"/>
      <c r="FX37" s="82">
        <f t="shared" si="154"/>
        <v>0</v>
      </c>
      <c r="FY37" s="82">
        <f t="shared" si="155"/>
        <v>0</v>
      </c>
      <c r="FZ37" s="82">
        <f t="shared" si="156"/>
        <v>23</v>
      </c>
      <c r="GA37" s="82">
        <f t="shared" si="157"/>
        <v>82892</v>
      </c>
      <c r="GB37" s="82">
        <f t="shared" si="158"/>
        <v>0</v>
      </c>
      <c r="GC37" s="82">
        <f t="shared" si="159"/>
        <v>0</v>
      </c>
      <c r="GD37" s="82">
        <f t="shared" si="160"/>
        <v>23</v>
      </c>
      <c r="GE37" s="82">
        <f t="shared" si="161"/>
        <v>82892</v>
      </c>
      <c r="GF37" s="85"/>
    </row>
    <row r="38" ht="29.25" customHeight="1">
      <c r="A38" s="76">
        <v>16.0</v>
      </c>
      <c r="B38" s="87"/>
      <c r="C38" s="77" t="s">
        <v>115</v>
      </c>
      <c r="D38" s="78" t="s">
        <v>91</v>
      </c>
      <c r="E38" s="79">
        <v>53280.0</v>
      </c>
      <c r="F38" s="61" t="s">
        <v>92</v>
      </c>
      <c r="G38" s="81">
        <v>14.0</v>
      </c>
      <c r="H38" s="82">
        <v>745920.0</v>
      </c>
      <c r="I38" s="82"/>
      <c r="J38" s="82"/>
      <c r="K38" s="82">
        <f t="shared" si="1"/>
        <v>0</v>
      </c>
      <c r="L38" s="82">
        <f t="shared" si="2"/>
        <v>0</v>
      </c>
      <c r="M38" s="82"/>
      <c r="N38" s="82"/>
      <c r="O38" s="82"/>
      <c r="P38" s="82"/>
      <c r="Q38" s="82"/>
      <c r="R38" s="82"/>
      <c r="S38" s="82"/>
      <c r="T38" s="82"/>
      <c r="U38" s="83">
        <v>2.0</v>
      </c>
      <c r="V38" s="82"/>
      <c r="W38" s="82"/>
      <c r="X38" s="82"/>
      <c r="Y38" s="82"/>
      <c r="Z38" s="82"/>
      <c r="AA38" s="82"/>
      <c r="AB38" s="82">
        <f t="shared" si="3"/>
        <v>2</v>
      </c>
      <c r="AC38" s="82">
        <f t="shared" si="4"/>
        <v>106560</v>
      </c>
      <c r="AD38" s="82">
        <f t="shared" si="89"/>
        <v>12</v>
      </c>
      <c r="AE38" s="82">
        <f t="shared" si="90"/>
        <v>639360</v>
      </c>
      <c r="AF38" s="82"/>
      <c r="AG38" s="82"/>
      <c r="AH38" s="82">
        <f t="shared" si="91"/>
        <v>0</v>
      </c>
      <c r="AI38" s="82">
        <f t="shared" si="92"/>
        <v>0</v>
      </c>
      <c r="AJ38" s="82"/>
      <c r="AK38" s="82"/>
      <c r="AL38" s="82"/>
      <c r="AM38" s="82"/>
      <c r="AN38" s="82">
        <f t="shared" si="93"/>
        <v>0</v>
      </c>
      <c r="AO38" s="82">
        <f t="shared" si="94"/>
        <v>0</v>
      </c>
      <c r="AP38" s="82">
        <f t="shared" si="11"/>
        <v>12</v>
      </c>
      <c r="AQ38" s="82">
        <f t="shared" si="12"/>
        <v>639360</v>
      </c>
      <c r="AR38" s="82"/>
      <c r="AS38" s="82"/>
      <c r="AT38" s="82"/>
      <c r="AU38" s="82">
        <f t="shared" si="95"/>
        <v>0</v>
      </c>
      <c r="AV38" s="82">
        <f t="shared" si="96"/>
        <v>0</v>
      </c>
      <c r="AW38" s="82"/>
      <c r="AX38" s="82"/>
      <c r="AY38" s="82"/>
      <c r="AZ38" s="82"/>
      <c r="BA38" s="82">
        <f t="shared" si="97"/>
        <v>0</v>
      </c>
      <c r="BB38" s="82">
        <f t="shared" si="98"/>
        <v>0</v>
      </c>
      <c r="BC38" s="82">
        <f t="shared" si="99"/>
        <v>12</v>
      </c>
      <c r="BD38" s="82">
        <f t="shared" si="100"/>
        <v>639360</v>
      </c>
      <c r="BE38" s="82">
        <f t="shared" si="101"/>
        <v>0</v>
      </c>
      <c r="BF38" s="82">
        <f t="shared" si="102"/>
        <v>2</v>
      </c>
      <c r="BG38" s="82">
        <f t="shared" si="103"/>
        <v>12</v>
      </c>
      <c r="BH38" s="82">
        <f t="shared" si="104"/>
        <v>639360</v>
      </c>
      <c r="BI38" s="82"/>
      <c r="BJ38" s="83"/>
      <c r="BK38" s="82">
        <f t="shared" si="105"/>
        <v>0</v>
      </c>
      <c r="BL38" s="82">
        <f t="shared" si="106"/>
        <v>0</v>
      </c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>
        <f t="shared" si="107"/>
        <v>0</v>
      </c>
      <c r="BX38" s="82">
        <f t="shared" si="108"/>
        <v>0</v>
      </c>
      <c r="BY38" s="82">
        <f t="shared" si="109"/>
        <v>12</v>
      </c>
      <c r="BZ38" s="82">
        <f t="shared" si="110"/>
        <v>639360</v>
      </c>
      <c r="CA38" s="82"/>
      <c r="CB38" s="82"/>
      <c r="CC38" s="82">
        <f t="shared" si="111"/>
        <v>0</v>
      </c>
      <c r="CD38" s="82">
        <f t="shared" si="112"/>
        <v>0</v>
      </c>
      <c r="CE38" s="82"/>
      <c r="CF38" s="82"/>
      <c r="CG38" s="82"/>
      <c r="CH38" s="82"/>
      <c r="CI38" s="82">
        <f t="shared" si="113"/>
        <v>0</v>
      </c>
      <c r="CJ38" s="82">
        <f t="shared" si="114"/>
        <v>0</v>
      </c>
      <c r="CK38" s="82">
        <f t="shared" si="33"/>
        <v>12</v>
      </c>
      <c r="CL38" s="82">
        <f t="shared" si="34"/>
        <v>639360</v>
      </c>
      <c r="CM38" s="82"/>
      <c r="CN38" s="82"/>
      <c r="CO38" s="82">
        <f t="shared" si="35"/>
        <v>0</v>
      </c>
      <c r="CP38" s="82">
        <f t="shared" si="36"/>
        <v>0</v>
      </c>
      <c r="CQ38" s="82"/>
      <c r="CR38" s="82"/>
      <c r="CS38" s="82"/>
      <c r="CT38" s="82"/>
      <c r="CU38" s="82">
        <f t="shared" si="115"/>
        <v>0</v>
      </c>
      <c r="CV38" s="82">
        <f t="shared" si="116"/>
        <v>0</v>
      </c>
      <c r="CW38" s="82">
        <f t="shared" si="39"/>
        <v>12</v>
      </c>
      <c r="CX38" s="82">
        <f t="shared" si="40"/>
        <v>639360</v>
      </c>
      <c r="CY38" s="82">
        <f t="shared" si="41"/>
        <v>0</v>
      </c>
      <c r="CZ38" s="82">
        <f t="shared" si="117"/>
        <v>0</v>
      </c>
      <c r="DA38" s="82">
        <f t="shared" si="43"/>
        <v>12</v>
      </c>
      <c r="DB38" s="82">
        <f t="shared" si="44"/>
        <v>639360</v>
      </c>
      <c r="DC38" s="91"/>
      <c r="DD38" s="82"/>
      <c r="DE38" s="82"/>
      <c r="DF38" s="82">
        <f t="shared" si="118"/>
        <v>0</v>
      </c>
      <c r="DG38" s="82">
        <f t="shared" si="119"/>
        <v>0</v>
      </c>
      <c r="DH38" s="82"/>
      <c r="DI38" s="82"/>
      <c r="DJ38" s="82"/>
      <c r="DK38" s="82"/>
      <c r="DL38" s="82">
        <f t="shared" si="120"/>
        <v>0</v>
      </c>
      <c r="DM38" s="82">
        <f t="shared" si="121"/>
        <v>0</v>
      </c>
      <c r="DN38" s="82">
        <f t="shared" si="122"/>
        <v>12</v>
      </c>
      <c r="DO38" s="82">
        <f t="shared" si="123"/>
        <v>639360</v>
      </c>
      <c r="DP38" s="82"/>
      <c r="DQ38" s="82"/>
      <c r="DR38" s="82">
        <f t="shared" si="124"/>
        <v>0</v>
      </c>
      <c r="DS38" s="82">
        <f t="shared" si="125"/>
        <v>0</v>
      </c>
      <c r="DT38" s="82"/>
      <c r="DU38" s="82"/>
      <c r="DV38" s="82"/>
      <c r="DW38" s="82"/>
      <c r="DX38" s="82">
        <f t="shared" si="126"/>
        <v>0</v>
      </c>
      <c r="DY38" s="82">
        <f t="shared" si="127"/>
        <v>0</v>
      </c>
      <c r="DZ38" s="82">
        <f t="shared" si="128"/>
        <v>12</v>
      </c>
      <c r="EA38" s="82">
        <f t="shared" si="129"/>
        <v>639360</v>
      </c>
      <c r="EB38" s="82"/>
      <c r="EC38" s="82"/>
      <c r="ED38" s="82">
        <f t="shared" si="130"/>
        <v>0</v>
      </c>
      <c r="EE38" s="82">
        <f t="shared" si="131"/>
        <v>0</v>
      </c>
      <c r="EF38" s="82"/>
      <c r="EG38" s="82"/>
      <c r="EH38" s="82"/>
      <c r="EI38" s="82"/>
      <c r="EJ38" s="82">
        <f t="shared" si="132"/>
        <v>0</v>
      </c>
      <c r="EK38" s="82">
        <f t="shared" si="133"/>
        <v>0</v>
      </c>
      <c r="EL38" s="82">
        <f t="shared" si="134"/>
        <v>12</v>
      </c>
      <c r="EM38" s="82">
        <f t="shared" si="135"/>
        <v>639360</v>
      </c>
      <c r="EN38" s="82">
        <f t="shared" si="136"/>
        <v>0</v>
      </c>
      <c r="EO38" s="82">
        <f t="shared" si="137"/>
        <v>0</v>
      </c>
      <c r="EP38" s="82">
        <f t="shared" si="138"/>
        <v>12</v>
      </c>
      <c r="EQ38" s="82">
        <f t="shared" si="139"/>
        <v>639360</v>
      </c>
      <c r="ER38" s="82"/>
      <c r="ES38" s="82"/>
      <c r="ET38" s="82">
        <f t="shared" si="140"/>
        <v>0</v>
      </c>
      <c r="EU38" s="82">
        <f t="shared" si="141"/>
        <v>0</v>
      </c>
      <c r="EV38" s="82"/>
      <c r="EW38" s="82"/>
      <c r="EX38" s="82"/>
      <c r="EY38" s="82"/>
      <c r="EZ38" s="82">
        <f t="shared" si="142"/>
        <v>0</v>
      </c>
      <c r="FA38" s="82">
        <f t="shared" si="143"/>
        <v>0</v>
      </c>
      <c r="FB38" s="82">
        <f t="shared" si="144"/>
        <v>12</v>
      </c>
      <c r="FC38" s="82">
        <f t="shared" si="145"/>
        <v>639360</v>
      </c>
      <c r="FD38" s="82"/>
      <c r="FE38" s="82"/>
      <c r="FF38" s="82">
        <f t="shared" si="146"/>
        <v>0</v>
      </c>
      <c r="FG38" s="82">
        <f t="shared" si="147"/>
        <v>0</v>
      </c>
      <c r="FH38" s="82"/>
      <c r="FI38" s="82"/>
      <c r="FJ38" s="82"/>
      <c r="FK38" s="82"/>
      <c r="FL38" s="82">
        <f t="shared" si="148"/>
        <v>0</v>
      </c>
      <c r="FM38" s="82">
        <f t="shared" si="149"/>
        <v>0</v>
      </c>
      <c r="FN38" s="82">
        <f t="shared" si="150"/>
        <v>12</v>
      </c>
      <c r="FO38" s="82">
        <f t="shared" si="151"/>
        <v>639360</v>
      </c>
      <c r="FP38" s="82"/>
      <c r="FQ38" s="82"/>
      <c r="FR38" s="82">
        <f t="shared" si="152"/>
        <v>0</v>
      </c>
      <c r="FS38" s="82">
        <f t="shared" si="153"/>
        <v>0</v>
      </c>
      <c r="FT38" s="82"/>
      <c r="FU38" s="82"/>
      <c r="FV38" s="82"/>
      <c r="FW38" s="82"/>
      <c r="FX38" s="82">
        <f t="shared" si="154"/>
        <v>0</v>
      </c>
      <c r="FY38" s="82">
        <f t="shared" si="155"/>
        <v>0</v>
      </c>
      <c r="FZ38" s="82">
        <f t="shared" si="156"/>
        <v>12</v>
      </c>
      <c r="GA38" s="82">
        <f t="shared" si="157"/>
        <v>639360</v>
      </c>
      <c r="GB38" s="82">
        <f t="shared" si="158"/>
        <v>0</v>
      </c>
      <c r="GC38" s="82">
        <f t="shared" si="159"/>
        <v>0</v>
      </c>
      <c r="GD38" s="82">
        <f t="shared" si="160"/>
        <v>12</v>
      </c>
      <c r="GE38" s="82">
        <f t="shared" si="161"/>
        <v>639360</v>
      </c>
      <c r="GF38" s="85"/>
    </row>
    <row r="39" ht="29.25" customHeight="1">
      <c r="A39" s="96">
        <v>17.0</v>
      </c>
      <c r="B39" s="97"/>
      <c r="C39" s="77" t="s">
        <v>116</v>
      </c>
      <c r="D39" s="78" t="s">
        <v>96</v>
      </c>
      <c r="E39" s="79">
        <v>8880.0</v>
      </c>
      <c r="F39" s="80" t="s">
        <v>94</v>
      </c>
      <c r="G39" s="93">
        <v>15.0</v>
      </c>
      <c r="H39" s="94">
        <v>133200.0</v>
      </c>
      <c r="I39" s="82"/>
      <c r="J39" s="82"/>
      <c r="K39" s="82">
        <f t="shared" si="1"/>
        <v>0</v>
      </c>
      <c r="L39" s="82">
        <f t="shared" si="2"/>
        <v>0</v>
      </c>
      <c r="M39" s="82"/>
      <c r="N39" s="82"/>
      <c r="O39" s="82"/>
      <c r="P39" s="82"/>
      <c r="Q39" s="82"/>
      <c r="R39" s="82"/>
      <c r="S39" s="82"/>
      <c r="T39" s="82"/>
      <c r="U39" s="83">
        <v>1.0</v>
      </c>
      <c r="V39" s="83">
        <v>1.0</v>
      </c>
      <c r="W39" s="82"/>
      <c r="X39" s="82"/>
      <c r="Y39" s="82"/>
      <c r="Z39" s="83">
        <v>1.0</v>
      </c>
      <c r="AA39" s="82"/>
      <c r="AB39" s="82">
        <f t="shared" si="3"/>
        <v>3</v>
      </c>
      <c r="AC39" s="82">
        <f t="shared" si="4"/>
        <v>26640</v>
      </c>
      <c r="AD39" s="82">
        <f t="shared" si="89"/>
        <v>12</v>
      </c>
      <c r="AE39" s="82">
        <f t="shared" si="90"/>
        <v>106560</v>
      </c>
      <c r="AF39" s="82"/>
      <c r="AG39" s="82"/>
      <c r="AH39" s="82">
        <f t="shared" si="91"/>
        <v>0</v>
      </c>
      <c r="AI39" s="82">
        <f t="shared" si="92"/>
        <v>0</v>
      </c>
      <c r="AJ39" s="82"/>
      <c r="AK39" s="82"/>
      <c r="AL39" s="82"/>
      <c r="AM39" s="82"/>
      <c r="AN39" s="82">
        <f t="shared" si="93"/>
        <v>0</v>
      </c>
      <c r="AO39" s="82">
        <f t="shared" si="94"/>
        <v>0</v>
      </c>
      <c r="AP39" s="82">
        <f t="shared" si="11"/>
        <v>12</v>
      </c>
      <c r="AQ39" s="82">
        <f t="shared" si="12"/>
        <v>106560</v>
      </c>
      <c r="AR39" s="82"/>
      <c r="AS39" s="82"/>
      <c r="AT39" s="82"/>
      <c r="AU39" s="82">
        <f t="shared" si="95"/>
        <v>0</v>
      </c>
      <c r="AV39" s="82">
        <f t="shared" si="96"/>
        <v>0</v>
      </c>
      <c r="AW39" s="82"/>
      <c r="AX39" s="82"/>
      <c r="AY39" s="82"/>
      <c r="AZ39" s="82"/>
      <c r="BA39" s="82">
        <f t="shared" si="97"/>
        <v>0</v>
      </c>
      <c r="BB39" s="82">
        <f t="shared" si="98"/>
        <v>0</v>
      </c>
      <c r="BC39" s="82">
        <f t="shared" si="99"/>
        <v>12</v>
      </c>
      <c r="BD39" s="82">
        <f t="shared" si="100"/>
        <v>106560</v>
      </c>
      <c r="BE39" s="82">
        <f t="shared" si="101"/>
        <v>0</v>
      </c>
      <c r="BF39" s="82">
        <f t="shared" si="102"/>
        <v>3</v>
      </c>
      <c r="BG39" s="82">
        <f t="shared" si="103"/>
        <v>12</v>
      </c>
      <c r="BH39" s="82">
        <f t="shared" si="104"/>
        <v>106560</v>
      </c>
      <c r="BI39" s="82"/>
      <c r="BJ39" s="83"/>
      <c r="BK39" s="82">
        <f t="shared" si="105"/>
        <v>0</v>
      </c>
      <c r="BL39" s="82">
        <f t="shared" si="106"/>
        <v>0</v>
      </c>
      <c r="BM39" s="82"/>
      <c r="BN39" s="82"/>
      <c r="BO39" s="82"/>
      <c r="BP39" s="82"/>
      <c r="BQ39" s="82"/>
      <c r="BR39" s="82"/>
      <c r="BS39" s="82"/>
      <c r="BT39" s="82"/>
      <c r="BU39" s="82"/>
      <c r="BV39" s="83">
        <v>1.0</v>
      </c>
      <c r="BW39" s="82">
        <f t="shared" si="107"/>
        <v>1</v>
      </c>
      <c r="BX39" s="82">
        <f t="shared" si="108"/>
        <v>8880</v>
      </c>
      <c r="BY39" s="82">
        <f t="shared" si="109"/>
        <v>11</v>
      </c>
      <c r="BZ39" s="82">
        <f t="shared" si="110"/>
        <v>97680</v>
      </c>
      <c r="CA39" s="82"/>
      <c r="CB39" s="82"/>
      <c r="CC39" s="82">
        <f t="shared" si="111"/>
        <v>0</v>
      </c>
      <c r="CD39" s="82">
        <f t="shared" si="112"/>
        <v>0</v>
      </c>
      <c r="CE39" s="82"/>
      <c r="CF39" s="82"/>
      <c r="CG39" s="82"/>
      <c r="CH39" s="82"/>
      <c r="CI39" s="82">
        <f t="shared" si="113"/>
        <v>0</v>
      </c>
      <c r="CJ39" s="82">
        <f t="shared" si="114"/>
        <v>0</v>
      </c>
      <c r="CK39" s="82">
        <f t="shared" si="33"/>
        <v>11</v>
      </c>
      <c r="CL39" s="82">
        <f t="shared" si="34"/>
        <v>97680</v>
      </c>
      <c r="CM39" s="82"/>
      <c r="CN39" s="82"/>
      <c r="CO39" s="82">
        <f t="shared" si="35"/>
        <v>0</v>
      </c>
      <c r="CP39" s="82">
        <f t="shared" si="36"/>
        <v>0</v>
      </c>
      <c r="CQ39" s="82"/>
      <c r="CR39" s="82"/>
      <c r="CS39" s="82"/>
      <c r="CT39" s="82"/>
      <c r="CU39" s="82">
        <f t="shared" si="115"/>
        <v>0</v>
      </c>
      <c r="CV39" s="82">
        <f t="shared" si="116"/>
        <v>0</v>
      </c>
      <c r="CW39" s="82">
        <f t="shared" si="39"/>
        <v>11</v>
      </c>
      <c r="CX39" s="82">
        <f t="shared" si="40"/>
        <v>97680</v>
      </c>
      <c r="CY39" s="82">
        <f t="shared" si="41"/>
        <v>0</v>
      </c>
      <c r="CZ39" s="82">
        <f t="shared" si="117"/>
        <v>1</v>
      </c>
      <c r="DA39" s="82">
        <f t="shared" si="43"/>
        <v>11</v>
      </c>
      <c r="DB39" s="82">
        <f t="shared" si="44"/>
        <v>97680</v>
      </c>
      <c r="DC39" s="84">
        <v>4.0</v>
      </c>
      <c r="DD39" s="82"/>
      <c r="DE39" s="82"/>
      <c r="DF39" s="82">
        <f t="shared" si="118"/>
        <v>0</v>
      </c>
      <c r="DG39" s="82">
        <f t="shared" si="119"/>
        <v>0</v>
      </c>
      <c r="DH39" s="82"/>
      <c r="DI39" s="82"/>
      <c r="DJ39" s="82"/>
      <c r="DK39" s="82"/>
      <c r="DL39" s="82">
        <f t="shared" si="120"/>
        <v>0</v>
      </c>
      <c r="DM39" s="82">
        <f t="shared" si="121"/>
        <v>0</v>
      </c>
      <c r="DN39" s="82">
        <f t="shared" si="122"/>
        <v>11</v>
      </c>
      <c r="DO39" s="82">
        <f t="shared" si="123"/>
        <v>97680</v>
      </c>
      <c r="DP39" s="82"/>
      <c r="DQ39" s="82"/>
      <c r="DR39" s="82">
        <f t="shared" si="124"/>
        <v>0</v>
      </c>
      <c r="DS39" s="82">
        <f t="shared" si="125"/>
        <v>0</v>
      </c>
      <c r="DT39" s="82"/>
      <c r="DU39" s="82"/>
      <c r="DV39" s="82"/>
      <c r="DW39" s="82"/>
      <c r="DX39" s="82">
        <f t="shared" si="126"/>
        <v>0</v>
      </c>
      <c r="DY39" s="82">
        <f t="shared" si="127"/>
        <v>0</v>
      </c>
      <c r="DZ39" s="82">
        <f t="shared" si="128"/>
        <v>11</v>
      </c>
      <c r="EA39" s="82">
        <f t="shared" si="129"/>
        <v>97680</v>
      </c>
      <c r="EB39" s="82"/>
      <c r="EC39" s="82"/>
      <c r="ED39" s="82">
        <f t="shared" si="130"/>
        <v>0</v>
      </c>
      <c r="EE39" s="82">
        <f t="shared" si="131"/>
        <v>0</v>
      </c>
      <c r="EF39" s="82"/>
      <c r="EG39" s="82"/>
      <c r="EH39" s="82"/>
      <c r="EI39" s="82"/>
      <c r="EJ39" s="82">
        <f t="shared" si="132"/>
        <v>0</v>
      </c>
      <c r="EK39" s="82">
        <f t="shared" si="133"/>
        <v>0</v>
      </c>
      <c r="EL39" s="82">
        <f t="shared" si="134"/>
        <v>11</v>
      </c>
      <c r="EM39" s="82">
        <f t="shared" si="135"/>
        <v>97680</v>
      </c>
      <c r="EN39" s="82">
        <f t="shared" si="136"/>
        <v>0</v>
      </c>
      <c r="EO39" s="82">
        <f t="shared" si="137"/>
        <v>0</v>
      </c>
      <c r="EP39" s="82">
        <f t="shared" si="138"/>
        <v>11</v>
      </c>
      <c r="EQ39" s="82">
        <f t="shared" si="139"/>
        <v>97680</v>
      </c>
      <c r="ER39" s="82"/>
      <c r="ES39" s="82"/>
      <c r="ET39" s="82">
        <f t="shared" si="140"/>
        <v>0</v>
      </c>
      <c r="EU39" s="82">
        <f t="shared" si="141"/>
        <v>0</v>
      </c>
      <c r="EV39" s="82"/>
      <c r="EW39" s="82"/>
      <c r="EX39" s="82"/>
      <c r="EY39" s="82"/>
      <c r="EZ39" s="82">
        <f t="shared" si="142"/>
        <v>0</v>
      </c>
      <c r="FA39" s="82">
        <f t="shared" si="143"/>
        <v>0</v>
      </c>
      <c r="FB39" s="82">
        <f t="shared" si="144"/>
        <v>11</v>
      </c>
      <c r="FC39" s="82">
        <f t="shared" si="145"/>
        <v>97680</v>
      </c>
      <c r="FD39" s="82"/>
      <c r="FE39" s="82"/>
      <c r="FF39" s="82">
        <f t="shared" si="146"/>
        <v>0</v>
      </c>
      <c r="FG39" s="82">
        <f t="shared" si="147"/>
        <v>0</v>
      </c>
      <c r="FH39" s="82"/>
      <c r="FI39" s="82"/>
      <c r="FJ39" s="82"/>
      <c r="FK39" s="82"/>
      <c r="FL39" s="82">
        <f t="shared" si="148"/>
        <v>0</v>
      </c>
      <c r="FM39" s="82">
        <f t="shared" si="149"/>
        <v>0</v>
      </c>
      <c r="FN39" s="82">
        <f t="shared" si="150"/>
        <v>11</v>
      </c>
      <c r="FO39" s="82">
        <f t="shared" si="151"/>
        <v>97680</v>
      </c>
      <c r="FP39" s="82"/>
      <c r="FQ39" s="82"/>
      <c r="FR39" s="82">
        <f t="shared" si="152"/>
        <v>0</v>
      </c>
      <c r="FS39" s="82">
        <f t="shared" si="153"/>
        <v>0</v>
      </c>
      <c r="FT39" s="82"/>
      <c r="FU39" s="82"/>
      <c r="FV39" s="82"/>
      <c r="FW39" s="82"/>
      <c r="FX39" s="82">
        <f t="shared" si="154"/>
        <v>0</v>
      </c>
      <c r="FY39" s="82">
        <f t="shared" si="155"/>
        <v>0</v>
      </c>
      <c r="FZ39" s="82">
        <f t="shared" si="156"/>
        <v>11</v>
      </c>
      <c r="GA39" s="82">
        <f t="shared" si="157"/>
        <v>97680</v>
      </c>
      <c r="GB39" s="82">
        <f t="shared" si="158"/>
        <v>0</v>
      </c>
      <c r="GC39" s="82">
        <f t="shared" si="159"/>
        <v>0</v>
      </c>
      <c r="GD39" s="82">
        <f t="shared" si="160"/>
        <v>11</v>
      </c>
      <c r="GE39" s="82">
        <f t="shared" si="161"/>
        <v>97680</v>
      </c>
      <c r="GF39" s="95"/>
    </row>
    <row r="40" ht="29.25" customHeight="1">
      <c r="A40" s="96">
        <v>18.0</v>
      </c>
      <c r="B40" s="97"/>
      <c r="C40" s="88" t="s">
        <v>117</v>
      </c>
      <c r="D40" s="78" t="s">
        <v>118</v>
      </c>
      <c r="E40" s="79">
        <v>7770.0</v>
      </c>
      <c r="F40" s="61" t="s">
        <v>94</v>
      </c>
      <c r="G40" s="93">
        <v>34.0</v>
      </c>
      <c r="H40" s="94">
        <v>264180.0</v>
      </c>
      <c r="I40" s="82"/>
      <c r="J40" s="82"/>
      <c r="K40" s="82">
        <f t="shared" si="1"/>
        <v>0</v>
      </c>
      <c r="L40" s="82">
        <f t="shared" si="2"/>
        <v>0</v>
      </c>
      <c r="M40" s="83">
        <v>3.0</v>
      </c>
      <c r="N40" s="83">
        <v>10.0</v>
      </c>
      <c r="O40" s="82"/>
      <c r="P40" s="82"/>
      <c r="Q40" s="82"/>
      <c r="R40" s="82"/>
      <c r="S40" s="82"/>
      <c r="T40" s="82"/>
      <c r="U40" s="83">
        <v>2.0</v>
      </c>
      <c r="V40" s="83">
        <v>2.0</v>
      </c>
      <c r="W40" s="82"/>
      <c r="X40" s="82"/>
      <c r="Y40" s="82"/>
      <c r="Z40" s="83">
        <v>2.0</v>
      </c>
      <c r="AA40" s="82"/>
      <c r="AB40" s="82">
        <f t="shared" si="3"/>
        <v>19</v>
      </c>
      <c r="AC40" s="82">
        <f t="shared" si="4"/>
        <v>147630</v>
      </c>
      <c r="AD40" s="82">
        <f t="shared" si="89"/>
        <v>15</v>
      </c>
      <c r="AE40" s="82">
        <f t="shared" si="90"/>
        <v>116550</v>
      </c>
      <c r="AF40" s="82"/>
      <c r="AG40" s="82"/>
      <c r="AH40" s="82">
        <f t="shared" si="91"/>
        <v>0</v>
      </c>
      <c r="AI40" s="82">
        <f t="shared" si="92"/>
        <v>0</v>
      </c>
      <c r="AJ40" s="82"/>
      <c r="AK40" s="82"/>
      <c r="AL40" s="82"/>
      <c r="AM40" s="82"/>
      <c r="AN40" s="82">
        <f t="shared" si="93"/>
        <v>0</v>
      </c>
      <c r="AO40" s="82">
        <f t="shared" si="94"/>
        <v>0</v>
      </c>
      <c r="AP40" s="82">
        <f t="shared" si="11"/>
        <v>15</v>
      </c>
      <c r="AQ40" s="82">
        <f t="shared" si="12"/>
        <v>116550</v>
      </c>
      <c r="AR40" s="82"/>
      <c r="AS40" s="82"/>
      <c r="AT40" s="82"/>
      <c r="AU40" s="82">
        <f t="shared" si="95"/>
        <v>0</v>
      </c>
      <c r="AV40" s="82">
        <f t="shared" si="96"/>
        <v>0</v>
      </c>
      <c r="AW40" s="82"/>
      <c r="AX40" s="82"/>
      <c r="AY40" s="82"/>
      <c r="AZ40" s="82"/>
      <c r="BA40" s="82">
        <f t="shared" si="97"/>
        <v>0</v>
      </c>
      <c r="BB40" s="82">
        <f t="shared" si="98"/>
        <v>0</v>
      </c>
      <c r="BC40" s="82">
        <f t="shared" si="99"/>
        <v>15</v>
      </c>
      <c r="BD40" s="82">
        <f t="shared" si="100"/>
        <v>116550</v>
      </c>
      <c r="BE40" s="82">
        <f t="shared" si="101"/>
        <v>0</v>
      </c>
      <c r="BF40" s="82">
        <f t="shared" si="102"/>
        <v>19</v>
      </c>
      <c r="BG40" s="82">
        <f t="shared" si="103"/>
        <v>15</v>
      </c>
      <c r="BH40" s="82">
        <f t="shared" si="104"/>
        <v>116550</v>
      </c>
      <c r="BI40" s="82"/>
      <c r="BJ40" s="83"/>
      <c r="BK40" s="82">
        <f t="shared" si="105"/>
        <v>0</v>
      </c>
      <c r="BL40" s="82">
        <f t="shared" si="106"/>
        <v>0</v>
      </c>
      <c r="BM40" s="82"/>
      <c r="BN40" s="82"/>
      <c r="BO40" s="82"/>
      <c r="BP40" s="82"/>
      <c r="BQ40" s="82"/>
      <c r="BR40" s="82"/>
      <c r="BS40" s="83">
        <v>12.0</v>
      </c>
      <c r="BT40" s="82"/>
      <c r="BU40" s="82"/>
      <c r="BV40" s="83">
        <v>2.0</v>
      </c>
      <c r="BW40" s="82">
        <f t="shared" si="107"/>
        <v>14</v>
      </c>
      <c r="BX40" s="82">
        <f t="shared" si="108"/>
        <v>108780</v>
      </c>
      <c r="BY40" s="82">
        <f t="shared" si="109"/>
        <v>1</v>
      </c>
      <c r="BZ40" s="82">
        <f t="shared" si="110"/>
        <v>7770</v>
      </c>
      <c r="CA40" s="82"/>
      <c r="CB40" s="82"/>
      <c r="CC40" s="82">
        <f t="shared" si="111"/>
        <v>0</v>
      </c>
      <c r="CD40" s="82">
        <f t="shared" si="112"/>
        <v>0</v>
      </c>
      <c r="CE40" s="82"/>
      <c r="CF40" s="82"/>
      <c r="CG40" s="82"/>
      <c r="CH40" s="82"/>
      <c r="CI40" s="82">
        <f t="shared" si="113"/>
        <v>0</v>
      </c>
      <c r="CJ40" s="82">
        <f t="shared" si="114"/>
        <v>0</v>
      </c>
      <c r="CK40" s="82">
        <f t="shared" si="33"/>
        <v>1</v>
      </c>
      <c r="CL40" s="82">
        <f t="shared" si="34"/>
        <v>7770</v>
      </c>
      <c r="CM40" s="82"/>
      <c r="CN40" s="82"/>
      <c r="CO40" s="82">
        <f t="shared" si="35"/>
        <v>0</v>
      </c>
      <c r="CP40" s="82">
        <f t="shared" si="36"/>
        <v>0</v>
      </c>
      <c r="CQ40" s="82"/>
      <c r="CR40" s="82"/>
      <c r="CS40" s="82"/>
      <c r="CT40" s="82"/>
      <c r="CU40" s="82">
        <f t="shared" si="115"/>
        <v>0</v>
      </c>
      <c r="CV40" s="82">
        <f t="shared" si="116"/>
        <v>0</v>
      </c>
      <c r="CW40" s="82">
        <f t="shared" si="39"/>
        <v>1</v>
      </c>
      <c r="CX40" s="82">
        <f t="shared" si="40"/>
        <v>7770</v>
      </c>
      <c r="CY40" s="82">
        <f t="shared" si="41"/>
        <v>0</v>
      </c>
      <c r="CZ40" s="82">
        <f t="shared" si="117"/>
        <v>14</v>
      </c>
      <c r="DA40" s="82">
        <f t="shared" si="43"/>
        <v>1</v>
      </c>
      <c r="DB40" s="82">
        <f t="shared" si="44"/>
        <v>7770</v>
      </c>
      <c r="DC40" s="84">
        <v>37.0</v>
      </c>
      <c r="DD40" s="82"/>
      <c r="DE40" s="82"/>
      <c r="DF40" s="82">
        <f t="shared" si="118"/>
        <v>0</v>
      </c>
      <c r="DG40" s="82">
        <f t="shared" si="119"/>
        <v>0</v>
      </c>
      <c r="DH40" s="82"/>
      <c r="DI40" s="82"/>
      <c r="DJ40" s="82"/>
      <c r="DK40" s="82"/>
      <c r="DL40" s="82">
        <f t="shared" si="120"/>
        <v>0</v>
      </c>
      <c r="DM40" s="82">
        <f t="shared" si="121"/>
        <v>0</v>
      </c>
      <c r="DN40" s="82">
        <f t="shared" si="122"/>
        <v>1</v>
      </c>
      <c r="DO40" s="82">
        <f t="shared" si="123"/>
        <v>7770</v>
      </c>
      <c r="DP40" s="82"/>
      <c r="DQ40" s="82"/>
      <c r="DR40" s="82">
        <f t="shared" si="124"/>
        <v>0</v>
      </c>
      <c r="DS40" s="82">
        <f t="shared" si="125"/>
        <v>0</v>
      </c>
      <c r="DT40" s="82"/>
      <c r="DU40" s="82"/>
      <c r="DV40" s="82"/>
      <c r="DW40" s="82"/>
      <c r="DX40" s="82">
        <f t="shared" si="126"/>
        <v>0</v>
      </c>
      <c r="DY40" s="82">
        <f t="shared" si="127"/>
        <v>0</v>
      </c>
      <c r="DZ40" s="82">
        <f t="shared" si="128"/>
        <v>1</v>
      </c>
      <c r="EA40" s="82">
        <f t="shared" si="129"/>
        <v>7770</v>
      </c>
      <c r="EB40" s="82"/>
      <c r="EC40" s="82"/>
      <c r="ED40" s="82">
        <f t="shared" si="130"/>
        <v>0</v>
      </c>
      <c r="EE40" s="82">
        <f t="shared" si="131"/>
        <v>0</v>
      </c>
      <c r="EF40" s="82"/>
      <c r="EG40" s="82"/>
      <c r="EH40" s="82"/>
      <c r="EI40" s="82"/>
      <c r="EJ40" s="82">
        <f t="shared" si="132"/>
        <v>0</v>
      </c>
      <c r="EK40" s="82">
        <f t="shared" si="133"/>
        <v>0</v>
      </c>
      <c r="EL40" s="82">
        <f t="shared" si="134"/>
        <v>1</v>
      </c>
      <c r="EM40" s="82">
        <f t="shared" si="135"/>
        <v>7770</v>
      </c>
      <c r="EN40" s="82">
        <f t="shared" si="136"/>
        <v>0</v>
      </c>
      <c r="EO40" s="82">
        <f t="shared" si="137"/>
        <v>0</v>
      </c>
      <c r="EP40" s="82">
        <f t="shared" si="138"/>
        <v>1</v>
      </c>
      <c r="EQ40" s="82">
        <f t="shared" si="139"/>
        <v>7770</v>
      </c>
      <c r="ER40" s="82"/>
      <c r="ES40" s="82"/>
      <c r="ET40" s="82">
        <f t="shared" si="140"/>
        <v>0</v>
      </c>
      <c r="EU40" s="82">
        <f t="shared" si="141"/>
        <v>0</v>
      </c>
      <c r="EV40" s="82"/>
      <c r="EW40" s="82"/>
      <c r="EX40" s="82"/>
      <c r="EY40" s="82"/>
      <c r="EZ40" s="82">
        <f t="shared" si="142"/>
        <v>0</v>
      </c>
      <c r="FA40" s="82">
        <f t="shared" si="143"/>
        <v>0</v>
      </c>
      <c r="FB40" s="82">
        <f t="shared" si="144"/>
        <v>1</v>
      </c>
      <c r="FC40" s="82">
        <f t="shared" si="145"/>
        <v>7770</v>
      </c>
      <c r="FD40" s="82"/>
      <c r="FE40" s="82"/>
      <c r="FF40" s="82">
        <f t="shared" si="146"/>
        <v>0</v>
      </c>
      <c r="FG40" s="82">
        <f t="shared" si="147"/>
        <v>0</v>
      </c>
      <c r="FH40" s="82"/>
      <c r="FI40" s="82"/>
      <c r="FJ40" s="82"/>
      <c r="FK40" s="82"/>
      <c r="FL40" s="82">
        <f t="shared" si="148"/>
        <v>0</v>
      </c>
      <c r="FM40" s="82">
        <f t="shared" si="149"/>
        <v>0</v>
      </c>
      <c r="FN40" s="82">
        <f t="shared" si="150"/>
        <v>1</v>
      </c>
      <c r="FO40" s="82">
        <f t="shared" si="151"/>
        <v>7770</v>
      </c>
      <c r="FP40" s="82"/>
      <c r="FQ40" s="82"/>
      <c r="FR40" s="82">
        <f t="shared" si="152"/>
        <v>0</v>
      </c>
      <c r="FS40" s="82">
        <f t="shared" si="153"/>
        <v>0</v>
      </c>
      <c r="FT40" s="82"/>
      <c r="FU40" s="82"/>
      <c r="FV40" s="82"/>
      <c r="FW40" s="82"/>
      <c r="FX40" s="82">
        <f t="shared" si="154"/>
        <v>0</v>
      </c>
      <c r="FY40" s="82">
        <f t="shared" si="155"/>
        <v>0</v>
      </c>
      <c r="FZ40" s="82">
        <f t="shared" si="156"/>
        <v>1</v>
      </c>
      <c r="GA40" s="82">
        <f t="shared" si="157"/>
        <v>7770</v>
      </c>
      <c r="GB40" s="82">
        <f t="shared" si="158"/>
        <v>0</v>
      </c>
      <c r="GC40" s="82">
        <f t="shared" si="159"/>
        <v>0</v>
      </c>
      <c r="GD40" s="82">
        <f t="shared" si="160"/>
        <v>1</v>
      </c>
      <c r="GE40" s="82">
        <f t="shared" si="161"/>
        <v>7770</v>
      </c>
      <c r="GF40" s="95"/>
    </row>
    <row r="41" ht="29.25" customHeight="1">
      <c r="A41" s="96"/>
      <c r="B41" s="97"/>
      <c r="C41" s="77"/>
      <c r="D41" s="78" t="s">
        <v>118</v>
      </c>
      <c r="E41" s="86">
        <v>8880.0</v>
      </c>
      <c r="F41" s="80" t="s">
        <v>119</v>
      </c>
      <c r="G41" s="90">
        <v>1.0</v>
      </c>
      <c r="H41" s="83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3"/>
      <c r="V41" s="83"/>
      <c r="W41" s="82"/>
      <c r="X41" s="82"/>
      <c r="Y41" s="82"/>
      <c r="Z41" s="82"/>
      <c r="AA41" s="82"/>
      <c r="AB41" s="82"/>
      <c r="AC41" s="82"/>
      <c r="AD41" s="82">
        <f t="shared" si="89"/>
        <v>1</v>
      </c>
      <c r="AE41" s="82">
        <f>AD41*E40</f>
        <v>7770</v>
      </c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>
        <f t="shared" si="11"/>
        <v>1</v>
      </c>
      <c r="AQ41" s="82">
        <f>AP41*E40</f>
        <v>7770</v>
      </c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>
        <f t="shared" si="99"/>
        <v>1</v>
      </c>
      <c r="BD41" s="82">
        <f>BC41*E40</f>
        <v>7770</v>
      </c>
      <c r="BE41" s="82"/>
      <c r="BF41" s="82"/>
      <c r="BG41" s="82">
        <f t="shared" si="103"/>
        <v>1</v>
      </c>
      <c r="BH41" s="83">
        <v>0.0</v>
      </c>
      <c r="BI41" s="82"/>
      <c r="BJ41" s="83"/>
      <c r="BK41" s="82"/>
      <c r="BL41" s="82"/>
      <c r="BM41" s="82"/>
      <c r="BN41" s="82"/>
      <c r="BO41" s="82"/>
      <c r="BP41" s="82"/>
      <c r="BQ41" s="82"/>
      <c r="BR41" s="83"/>
      <c r="BS41" s="82"/>
      <c r="BT41" s="82"/>
      <c r="BU41" s="82"/>
      <c r="BV41" s="82"/>
      <c r="BW41" s="82"/>
      <c r="BX41" s="82"/>
      <c r="BY41" s="82">
        <f t="shared" si="109"/>
        <v>1</v>
      </c>
      <c r="BZ41" s="82">
        <f>BY41*E40</f>
        <v>7770</v>
      </c>
      <c r="CA41" s="82"/>
      <c r="CB41" s="82"/>
      <c r="CC41" s="82"/>
      <c r="CD41" s="82"/>
      <c r="CE41" s="83"/>
      <c r="CF41" s="82"/>
      <c r="CG41" s="82"/>
      <c r="CH41" s="82"/>
      <c r="CI41" s="82"/>
      <c r="CJ41" s="82"/>
      <c r="CK41" s="82"/>
      <c r="CL41" s="82"/>
      <c r="CM41" s="83">
        <v>34.0</v>
      </c>
      <c r="CN41" s="83">
        <v>1.0</v>
      </c>
      <c r="CO41" s="82">
        <f t="shared" si="35"/>
        <v>35</v>
      </c>
      <c r="CP41" s="82">
        <f t="shared" si="36"/>
        <v>310800</v>
      </c>
      <c r="CQ41" s="82"/>
      <c r="CR41" s="82"/>
      <c r="CS41" s="82"/>
      <c r="CT41" s="82"/>
      <c r="CU41" s="83">
        <v>0.0</v>
      </c>
      <c r="CV41" s="83">
        <v>0.0</v>
      </c>
      <c r="CW41" s="82">
        <f t="shared" si="39"/>
        <v>35</v>
      </c>
      <c r="CX41" s="82">
        <f>(CO41*E41)+(CK41*CL41)</f>
        <v>310800</v>
      </c>
      <c r="CY41" s="82">
        <f t="shared" si="41"/>
        <v>35</v>
      </c>
      <c r="CZ41" s="82"/>
      <c r="DA41" s="82">
        <f t="shared" si="43"/>
        <v>36</v>
      </c>
      <c r="DB41" s="82">
        <f t="shared" si="44"/>
        <v>319680</v>
      </c>
      <c r="DC41" s="91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82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5"/>
    </row>
    <row r="42" ht="29.25" customHeight="1">
      <c r="A42" s="96">
        <v>19.0</v>
      </c>
      <c r="B42" s="97"/>
      <c r="C42" s="77" t="s">
        <v>120</v>
      </c>
      <c r="D42" s="92" t="s">
        <v>121</v>
      </c>
      <c r="E42" s="86">
        <v>24324.0</v>
      </c>
      <c r="F42" s="80" t="s">
        <v>86</v>
      </c>
      <c r="G42" s="81">
        <v>97.0</v>
      </c>
      <c r="H42" s="82">
        <v>2359428.0</v>
      </c>
      <c r="I42" s="82"/>
      <c r="J42" s="82"/>
      <c r="K42" s="82">
        <f t="shared" ref="K42:K56" si="162">SUM(I42:J42)</f>
        <v>0</v>
      </c>
      <c r="L42" s="82">
        <f t="shared" ref="L42:L56" si="163">K42*E42</f>
        <v>0</v>
      </c>
      <c r="M42" s="82"/>
      <c r="N42" s="82"/>
      <c r="O42" s="82"/>
      <c r="P42" s="82"/>
      <c r="Q42" s="82"/>
      <c r="R42" s="82"/>
      <c r="S42" s="82"/>
      <c r="T42" s="82"/>
      <c r="U42" s="83">
        <v>3.0</v>
      </c>
      <c r="V42" s="83">
        <v>5.0</v>
      </c>
      <c r="W42" s="82"/>
      <c r="X42" s="82"/>
      <c r="Y42" s="82"/>
      <c r="Z42" s="82"/>
      <c r="AA42" s="82"/>
      <c r="AB42" s="82">
        <f t="shared" ref="AB42:AB56" si="164">SUM(M42:AA42)</f>
        <v>8</v>
      </c>
      <c r="AC42" s="82">
        <f t="shared" ref="AC42:AC56" si="165">AB42*E42</f>
        <v>194592</v>
      </c>
      <c r="AD42" s="82">
        <f t="shared" si="89"/>
        <v>89</v>
      </c>
      <c r="AE42" s="82">
        <f t="shared" ref="AE42:AE56" si="166">AD42*E42</f>
        <v>2164836</v>
      </c>
      <c r="AF42" s="82"/>
      <c r="AG42" s="82"/>
      <c r="AH42" s="82">
        <f t="shared" ref="AH42:AH56" si="167">SUM(AF42:AG42)</f>
        <v>0</v>
      </c>
      <c r="AI42" s="82">
        <f t="shared" ref="AI42:AI56" si="168">AH42*E42</f>
        <v>0</v>
      </c>
      <c r="AJ42" s="82"/>
      <c r="AK42" s="82"/>
      <c r="AL42" s="82"/>
      <c r="AM42" s="82"/>
      <c r="AN42" s="82">
        <f t="shared" ref="AN42:AN56" si="169">SUM(AJ42:AM42)</f>
        <v>0</v>
      </c>
      <c r="AO42" s="82">
        <f t="shared" ref="AO42:AO56" si="170">AN42*E42</f>
        <v>0</v>
      </c>
      <c r="AP42" s="82">
        <f t="shared" si="11"/>
        <v>89</v>
      </c>
      <c r="AQ42" s="82">
        <f t="shared" ref="AQ42:AQ56" si="171">AP42*E42</f>
        <v>2164836</v>
      </c>
      <c r="AR42" s="82"/>
      <c r="AS42" s="82"/>
      <c r="AT42" s="82"/>
      <c r="AU42" s="82">
        <f t="shared" ref="AU42:AU56" si="172">SUM(AS42:AT42)</f>
        <v>0</v>
      </c>
      <c r="AV42" s="82">
        <f t="shared" ref="AV42:AV56" si="173">AU42*AB42</f>
        <v>0</v>
      </c>
      <c r="AW42" s="82"/>
      <c r="AX42" s="82"/>
      <c r="AY42" s="82"/>
      <c r="AZ42" s="82"/>
      <c r="BA42" s="82">
        <f t="shared" ref="BA42:BA56" si="174">SUM(AW42:AZ42)</f>
        <v>0</v>
      </c>
      <c r="BB42" s="82">
        <f t="shared" ref="BB42:BB56" si="175">BA42*AB42</f>
        <v>0</v>
      </c>
      <c r="BC42" s="82">
        <f t="shared" si="99"/>
        <v>89</v>
      </c>
      <c r="BD42" s="82">
        <f t="shared" ref="BD42:BD56" si="176">BC42*E42</f>
        <v>2164836</v>
      </c>
      <c r="BE42" s="82">
        <f t="shared" ref="BE42:BE56" si="177">K42+AH42+AU42</f>
        <v>0</v>
      </c>
      <c r="BF42" s="82">
        <f t="shared" ref="BF42:BF56" si="178">AB42+AN42+BA42</f>
        <v>8</v>
      </c>
      <c r="BG42" s="82">
        <f t="shared" si="103"/>
        <v>89</v>
      </c>
      <c r="BH42" s="82">
        <f t="shared" ref="BH42:BH56" si="179">BG42*E42</f>
        <v>2164836</v>
      </c>
      <c r="BI42" s="82"/>
      <c r="BJ42" s="83"/>
      <c r="BK42" s="82">
        <f t="shared" ref="BK42:BK56" si="180">SUM(BI42:BJ42)</f>
        <v>0</v>
      </c>
      <c r="BL42" s="82">
        <f t="shared" ref="BL42:BL56" si="181">BK42*E42</f>
        <v>0</v>
      </c>
      <c r="BM42" s="82"/>
      <c r="BN42" s="82"/>
      <c r="BO42" s="82"/>
      <c r="BP42" s="82"/>
      <c r="BQ42" s="82"/>
      <c r="BR42" s="83">
        <v>1.0</v>
      </c>
      <c r="BS42" s="82"/>
      <c r="BT42" s="82"/>
      <c r="BU42" s="82"/>
      <c r="BV42" s="82"/>
      <c r="BW42" s="82">
        <f t="shared" ref="BW42:BW56" si="182">SUM(BM42:BV42)</f>
        <v>1</v>
      </c>
      <c r="BX42" s="82">
        <f t="shared" ref="BX42:BX56" si="183">BW42*E42</f>
        <v>24324</v>
      </c>
      <c r="BY42" s="82">
        <f t="shared" si="109"/>
        <v>88</v>
      </c>
      <c r="BZ42" s="82">
        <f t="shared" ref="BZ42:BZ56" si="184">BY42*E42</f>
        <v>2140512</v>
      </c>
      <c r="CA42" s="82"/>
      <c r="CB42" s="82"/>
      <c r="CC42" s="82">
        <f t="shared" ref="CC42:CC56" si="185">sum(CA42:CB42)</f>
        <v>0</v>
      </c>
      <c r="CD42" s="82">
        <f t="shared" ref="CD42:CD56" si="186">CC42*E42</f>
        <v>0</v>
      </c>
      <c r="CE42" s="83">
        <v>2.0</v>
      </c>
      <c r="CF42" s="82"/>
      <c r="CG42" s="82"/>
      <c r="CH42" s="82"/>
      <c r="CI42" s="82">
        <f t="shared" ref="CI42:CI56" si="187">sum(CE42:CH42)</f>
        <v>2</v>
      </c>
      <c r="CJ42" s="82">
        <f t="shared" ref="CJ42:CJ56" si="188">CI42*E42</f>
        <v>48648</v>
      </c>
      <c r="CK42" s="82">
        <f t="shared" ref="CK42:CK73" si="189">BY42+CC42-CI42</f>
        <v>86</v>
      </c>
      <c r="CL42" s="82">
        <f t="shared" ref="CL42:CL56" si="190">CK42*E42</f>
        <v>2091864</v>
      </c>
      <c r="CM42" s="82"/>
      <c r="CN42" s="82"/>
      <c r="CO42" s="82">
        <f t="shared" si="35"/>
        <v>0</v>
      </c>
      <c r="CP42" s="82">
        <f t="shared" si="36"/>
        <v>0</v>
      </c>
      <c r="CQ42" s="82"/>
      <c r="CR42" s="82"/>
      <c r="CS42" s="82"/>
      <c r="CT42" s="82"/>
      <c r="CU42" s="82">
        <f t="shared" ref="CU42:CU56" si="191">sum(CQ42:CT42)</f>
        <v>0</v>
      </c>
      <c r="CV42" s="82">
        <f t="shared" ref="CV42:CV56" si="192">CU42*E42</f>
        <v>0</v>
      </c>
      <c r="CW42" s="82">
        <f t="shared" si="39"/>
        <v>86</v>
      </c>
      <c r="CX42" s="82">
        <f t="shared" ref="CX42:CX56" si="193">CW42*E42</f>
        <v>2091864</v>
      </c>
      <c r="CY42" s="82">
        <f t="shared" si="41"/>
        <v>0</v>
      </c>
      <c r="CZ42" s="82">
        <f t="shared" ref="CZ42:CZ60" si="194">BW42+CI42+CU42</f>
        <v>3</v>
      </c>
      <c r="DA42" s="82">
        <f t="shared" si="43"/>
        <v>86</v>
      </c>
      <c r="DB42" s="82">
        <f t="shared" si="44"/>
        <v>2091864</v>
      </c>
      <c r="DC42" s="91"/>
      <c r="DD42" s="82"/>
      <c r="DE42" s="82"/>
      <c r="DF42" s="82">
        <f t="shared" ref="DF42:DF56" si="195">sum(DD42:DE42)</f>
        <v>0</v>
      </c>
      <c r="DG42" s="82">
        <f t="shared" ref="DG42:DG56" si="196">DF42*E42</f>
        <v>0</v>
      </c>
      <c r="DH42" s="82"/>
      <c r="DI42" s="82"/>
      <c r="DJ42" s="82"/>
      <c r="DK42" s="82"/>
      <c r="DL42" s="82">
        <f t="shared" ref="DL42:DL56" si="197">sum(DH42:DK42)</f>
        <v>0</v>
      </c>
      <c r="DM42" s="82">
        <f t="shared" ref="DM42:DM56" si="198">DL42*E42</f>
        <v>0</v>
      </c>
      <c r="DN42" s="82">
        <f t="shared" ref="DN42:DN56" si="199">DA42+DF42-DL42</f>
        <v>86</v>
      </c>
      <c r="DO42" s="82">
        <f t="shared" ref="DO42:DO56" si="200">DN42*E42</f>
        <v>2091864</v>
      </c>
      <c r="DP42" s="82"/>
      <c r="DQ42" s="82"/>
      <c r="DR42" s="82">
        <f t="shared" ref="DR42:DR56" si="201">sum(DP42:DQ42)</f>
        <v>0</v>
      </c>
      <c r="DS42" s="82">
        <f t="shared" ref="DS42:DS56" si="202">DR42*AB42</f>
        <v>0</v>
      </c>
      <c r="DT42" s="82"/>
      <c r="DU42" s="82"/>
      <c r="DV42" s="82"/>
      <c r="DW42" s="82"/>
      <c r="DX42" s="82">
        <f t="shared" ref="DX42:DX56" si="203">sum(DT42:DW42)</f>
        <v>0</v>
      </c>
      <c r="DY42" s="82">
        <f t="shared" ref="DY42:DY56" si="204">DX42*AB42</f>
        <v>0</v>
      </c>
      <c r="DZ42" s="82">
        <f t="shared" ref="DZ42:DZ56" si="205">DN42+DR42-DX42</f>
        <v>86</v>
      </c>
      <c r="EA42" s="82">
        <f t="shared" ref="EA42:EA56" si="206">DZ42*E42</f>
        <v>2091864</v>
      </c>
      <c r="EB42" s="82"/>
      <c r="EC42" s="82"/>
      <c r="ED42" s="82">
        <f t="shared" ref="ED42:ED56" si="207">sum(EB42:EC42)</f>
        <v>0</v>
      </c>
      <c r="EE42" s="82">
        <f t="shared" ref="EE42:EE56" si="208">ED42*AN42</f>
        <v>0</v>
      </c>
      <c r="EF42" s="82"/>
      <c r="EG42" s="82"/>
      <c r="EH42" s="82"/>
      <c r="EI42" s="82"/>
      <c r="EJ42" s="82">
        <f t="shared" ref="EJ42:EJ56" si="209">sum(EF42:EI42)</f>
        <v>0</v>
      </c>
      <c r="EK42" s="82">
        <f t="shared" ref="EK42:EK56" si="210">EJ42*AN42</f>
        <v>0</v>
      </c>
      <c r="EL42" s="82">
        <f t="shared" ref="EL42:EL56" si="211">DZ42+ED42-EJ42</f>
        <v>86</v>
      </c>
      <c r="EM42" s="82">
        <f t="shared" ref="EM42:EM56" si="212">EL42*E42</f>
        <v>2091864</v>
      </c>
      <c r="EN42" s="82">
        <f t="shared" ref="EN42:EN56" si="213">DF42+DR42+ED42</f>
        <v>0</v>
      </c>
      <c r="EO42" s="82">
        <f t="shared" ref="EO42:EO56" si="214">DL42+DX42+EJ42</f>
        <v>0</v>
      </c>
      <c r="EP42" s="82">
        <f t="shared" ref="EP42:EP56" si="215">DA42+EN42-EO42</f>
        <v>86</v>
      </c>
      <c r="EQ42" s="82">
        <f t="shared" ref="EQ42:EQ56" si="216">EP42*E42</f>
        <v>2091864</v>
      </c>
      <c r="ER42" s="82"/>
      <c r="ES42" s="82"/>
      <c r="ET42" s="82">
        <f t="shared" ref="ET42:ET56" si="217">sum(ER42:ES42)</f>
        <v>0</v>
      </c>
      <c r="EU42" s="82">
        <f t="shared" ref="EU42:EU56" si="218">ET42*BE42</f>
        <v>0</v>
      </c>
      <c r="EV42" s="82"/>
      <c r="EW42" s="82"/>
      <c r="EX42" s="82"/>
      <c r="EY42" s="82"/>
      <c r="EZ42" s="82">
        <f t="shared" ref="EZ42:EZ56" si="219">sum(EV42:EY42)</f>
        <v>0</v>
      </c>
      <c r="FA42" s="82">
        <f t="shared" ref="FA42:FA56" si="220">EZ42*BE42</f>
        <v>0</v>
      </c>
      <c r="FB42" s="82">
        <f t="shared" ref="FB42:FB56" si="221">EP42+ET42-EZ42</f>
        <v>86</v>
      </c>
      <c r="FC42" s="82">
        <f t="shared" ref="FC42:FC56" si="222">FB42*E42</f>
        <v>2091864</v>
      </c>
      <c r="FD42" s="82"/>
      <c r="FE42" s="82"/>
      <c r="FF42" s="82">
        <f t="shared" ref="FF42:FF56" si="223">sum(FD42:FE42)</f>
        <v>0</v>
      </c>
      <c r="FG42" s="82">
        <f t="shared" ref="FG42:FG56" si="224">FF42*BW42</f>
        <v>0</v>
      </c>
      <c r="FH42" s="82"/>
      <c r="FI42" s="82"/>
      <c r="FJ42" s="82"/>
      <c r="FK42" s="82"/>
      <c r="FL42" s="82">
        <f t="shared" ref="FL42:FL56" si="225">sum(FH42:FK42)</f>
        <v>0</v>
      </c>
      <c r="FM42" s="82">
        <f t="shared" ref="FM42:FM56" si="226">FL42*BW42</f>
        <v>0</v>
      </c>
      <c r="FN42" s="82">
        <f t="shared" ref="FN42:FN56" si="227">FB42+FF42-FL42</f>
        <v>86</v>
      </c>
      <c r="FO42" s="82">
        <f t="shared" ref="FO42:FO56" si="228">FN42*E42</f>
        <v>2091864</v>
      </c>
      <c r="FP42" s="82"/>
      <c r="FQ42" s="82"/>
      <c r="FR42" s="82">
        <f t="shared" ref="FR42:FR56" si="229">sum(FP42:FQ42)</f>
        <v>0</v>
      </c>
      <c r="FS42" s="82">
        <f t="shared" ref="FS42:FS56" si="230">FR42*CI42</f>
        <v>0</v>
      </c>
      <c r="FT42" s="82"/>
      <c r="FU42" s="82"/>
      <c r="FV42" s="82"/>
      <c r="FW42" s="82"/>
      <c r="FX42" s="82">
        <f t="shared" ref="FX42:FX56" si="231">sum(FT42:FW42)</f>
        <v>0</v>
      </c>
      <c r="FY42" s="82">
        <f t="shared" ref="FY42:FY56" si="232">FX42*CI42</f>
        <v>0</v>
      </c>
      <c r="FZ42" s="82">
        <f t="shared" ref="FZ42:FZ56" si="233">FN42+FR42-FX42</f>
        <v>86</v>
      </c>
      <c r="GA42" s="82">
        <f t="shared" ref="GA42:GA56" si="234">FZ42*E42</f>
        <v>2091864</v>
      </c>
      <c r="GB42" s="82">
        <f t="shared" ref="GB42:GB56" si="235">ET42+FF42+FR42</f>
        <v>0</v>
      </c>
      <c r="GC42" s="82">
        <f t="shared" ref="GC42:GC56" si="236">EZ42+FL42+FX42</f>
        <v>0</v>
      </c>
      <c r="GD42" s="82">
        <f t="shared" ref="GD42:GD56" si="237">EP42+GB42-GC42</f>
        <v>86</v>
      </c>
      <c r="GE42" s="82">
        <f t="shared" ref="GE42:GE56" si="238">GD42*E42</f>
        <v>2091864</v>
      </c>
      <c r="GF42" s="85"/>
    </row>
    <row r="43" ht="29.25" customHeight="1">
      <c r="A43" s="96">
        <v>20.0</v>
      </c>
      <c r="B43" s="97"/>
      <c r="C43" s="77" t="s">
        <v>122</v>
      </c>
      <c r="D43" s="92" t="s">
        <v>114</v>
      </c>
      <c r="E43" s="86">
        <v>19820.0</v>
      </c>
      <c r="F43" s="80" t="s">
        <v>86</v>
      </c>
      <c r="G43" s="81">
        <v>36.0</v>
      </c>
      <c r="H43" s="82">
        <v>713520.0</v>
      </c>
      <c r="I43" s="82"/>
      <c r="J43" s="82"/>
      <c r="K43" s="82">
        <f t="shared" si="162"/>
        <v>0</v>
      </c>
      <c r="L43" s="82">
        <f t="shared" si="163"/>
        <v>0</v>
      </c>
      <c r="M43" s="82"/>
      <c r="N43" s="82"/>
      <c r="O43" s="82"/>
      <c r="P43" s="83">
        <v>3.0</v>
      </c>
      <c r="Q43" s="82"/>
      <c r="R43" s="82"/>
      <c r="S43" s="82"/>
      <c r="T43" s="82"/>
      <c r="U43" s="83">
        <v>3.0</v>
      </c>
      <c r="V43" s="83">
        <v>3.0</v>
      </c>
      <c r="W43" s="82"/>
      <c r="X43" s="82"/>
      <c r="Y43" s="82"/>
      <c r="Z43" s="82"/>
      <c r="AA43" s="82"/>
      <c r="AB43" s="82">
        <f t="shared" si="164"/>
        <v>9</v>
      </c>
      <c r="AC43" s="82">
        <f t="shared" si="165"/>
        <v>178380</v>
      </c>
      <c r="AD43" s="82">
        <f t="shared" si="89"/>
        <v>27</v>
      </c>
      <c r="AE43" s="82">
        <f t="shared" si="166"/>
        <v>535140</v>
      </c>
      <c r="AF43" s="82"/>
      <c r="AG43" s="82"/>
      <c r="AH43" s="82">
        <f t="shared" si="167"/>
        <v>0</v>
      </c>
      <c r="AI43" s="82">
        <f t="shared" si="168"/>
        <v>0</v>
      </c>
      <c r="AJ43" s="82"/>
      <c r="AK43" s="82"/>
      <c r="AL43" s="82"/>
      <c r="AM43" s="82"/>
      <c r="AN43" s="82">
        <f t="shared" si="169"/>
        <v>0</v>
      </c>
      <c r="AO43" s="82">
        <f t="shared" si="170"/>
        <v>0</v>
      </c>
      <c r="AP43" s="82">
        <f t="shared" si="11"/>
        <v>27</v>
      </c>
      <c r="AQ43" s="82">
        <f t="shared" si="171"/>
        <v>535140</v>
      </c>
      <c r="AR43" s="82"/>
      <c r="AS43" s="82"/>
      <c r="AT43" s="82"/>
      <c r="AU43" s="82">
        <f t="shared" si="172"/>
        <v>0</v>
      </c>
      <c r="AV43" s="82">
        <f t="shared" si="173"/>
        <v>0</v>
      </c>
      <c r="AW43" s="82"/>
      <c r="AX43" s="82"/>
      <c r="AY43" s="82"/>
      <c r="AZ43" s="82"/>
      <c r="BA43" s="82">
        <f t="shared" si="174"/>
        <v>0</v>
      </c>
      <c r="BB43" s="82">
        <f t="shared" si="175"/>
        <v>0</v>
      </c>
      <c r="BC43" s="82">
        <f t="shared" si="99"/>
        <v>27</v>
      </c>
      <c r="BD43" s="82">
        <f t="shared" si="176"/>
        <v>535140</v>
      </c>
      <c r="BE43" s="82">
        <f t="shared" si="177"/>
        <v>0</v>
      </c>
      <c r="BF43" s="82">
        <f t="shared" si="178"/>
        <v>9</v>
      </c>
      <c r="BG43" s="82">
        <f t="shared" si="103"/>
        <v>27</v>
      </c>
      <c r="BH43" s="82">
        <f t="shared" si="179"/>
        <v>535140</v>
      </c>
      <c r="BI43" s="82"/>
      <c r="BJ43" s="83"/>
      <c r="BK43" s="82">
        <f t="shared" si="180"/>
        <v>0</v>
      </c>
      <c r="BL43" s="82">
        <f t="shared" si="181"/>
        <v>0</v>
      </c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>
        <f t="shared" si="182"/>
        <v>0</v>
      </c>
      <c r="BX43" s="82">
        <f t="shared" si="183"/>
        <v>0</v>
      </c>
      <c r="BY43" s="82">
        <f t="shared" si="109"/>
        <v>27</v>
      </c>
      <c r="BZ43" s="82">
        <f t="shared" si="184"/>
        <v>535140</v>
      </c>
      <c r="CA43" s="82"/>
      <c r="CB43" s="82"/>
      <c r="CC43" s="82">
        <f t="shared" si="185"/>
        <v>0</v>
      </c>
      <c r="CD43" s="82">
        <f t="shared" si="186"/>
        <v>0</v>
      </c>
      <c r="CE43" s="83">
        <v>2.0</v>
      </c>
      <c r="CF43" s="82"/>
      <c r="CG43" s="82"/>
      <c r="CH43" s="82"/>
      <c r="CI43" s="82">
        <f t="shared" si="187"/>
        <v>2</v>
      </c>
      <c r="CJ43" s="82">
        <f t="shared" si="188"/>
        <v>39640</v>
      </c>
      <c r="CK43" s="82">
        <f t="shared" si="189"/>
        <v>25</v>
      </c>
      <c r="CL43" s="82">
        <f t="shared" si="190"/>
        <v>495500</v>
      </c>
      <c r="CM43" s="82"/>
      <c r="CN43" s="82"/>
      <c r="CO43" s="82">
        <f t="shared" si="35"/>
        <v>0</v>
      </c>
      <c r="CP43" s="82">
        <f t="shared" si="36"/>
        <v>0</v>
      </c>
      <c r="CQ43" s="82"/>
      <c r="CR43" s="82"/>
      <c r="CS43" s="82"/>
      <c r="CT43" s="82"/>
      <c r="CU43" s="82">
        <f t="shared" si="191"/>
        <v>0</v>
      </c>
      <c r="CV43" s="82">
        <f t="shared" si="192"/>
        <v>0</v>
      </c>
      <c r="CW43" s="82">
        <f t="shared" si="39"/>
        <v>25</v>
      </c>
      <c r="CX43" s="82">
        <f t="shared" si="193"/>
        <v>495500</v>
      </c>
      <c r="CY43" s="82">
        <f t="shared" si="41"/>
        <v>0</v>
      </c>
      <c r="CZ43" s="82">
        <f t="shared" si="194"/>
        <v>2</v>
      </c>
      <c r="DA43" s="82">
        <f t="shared" si="43"/>
        <v>25</v>
      </c>
      <c r="DB43" s="82">
        <f t="shared" si="44"/>
        <v>495500</v>
      </c>
      <c r="DC43" s="84">
        <v>24.0</v>
      </c>
      <c r="DD43" s="82"/>
      <c r="DE43" s="82"/>
      <c r="DF43" s="82">
        <f t="shared" si="195"/>
        <v>0</v>
      </c>
      <c r="DG43" s="82">
        <f t="shared" si="196"/>
        <v>0</v>
      </c>
      <c r="DH43" s="82"/>
      <c r="DI43" s="82"/>
      <c r="DJ43" s="82"/>
      <c r="DK43" s="82"/>
      <c r="DL43" s="82">
        <f t="shared" si="197"/>
        <v>0</v>
      </c>
      <c r="DM43" s="82">
        <f t="shared" si="198"/>
        <v>0</v>
      </c>
      <c r="DN43" s="82">
        <f t="shared" si="199"/>
        <v>25</v>
      </c>
      <c r="DO43" s="82">
        <f t="shared" si="200"/>
        <v>495500</v>
      </c>
      <c r="DP43" s="82"/>
      <c r="DQ43" s="82"/>
      <c r="DR43" s="82">
        <f t="shared" si="201"/>
        <v>0</v>
      </c>
      <c r="DS43" s="82">
        <f t="shared" si="202"/>
        <v>0</v>
      </c>
      <c r="DT43" s="82"/>
      <c r="DU43" s="82"/>
      <c r="DV43" s="82"/>
      <c r="DW43" s="82"/>
      <c r="DX43" s="82">
        <f t="shared" si="203"/>
        <v>0</v>
      </c>
      <c r="DY43" s="82">
        <f t="shared" si="204"/>
        <v>0</v>
      </c>
      <c r="DZ43" s="82">
        <f t="shared" si="205"/>
        <v>25</v>
      </c>
      <c r="EA43" s="82">
        <f t="shared" si="206"/>
        <v>495500</v>
      </c>
      <c r="EB43" s="82"/>
      <c r="EC43" s="82"/>
      <c r="ED43" s="82">
        <f t="shared" si="207"/>
        <v>0</v>
      </c>
      <c r="EE43" s="82">
        <f t="shared" si="208"/>
        <v>0</v>
      </c>
      <c r="EF43" s="82"/>
      <c r="EG43" s="82"/>
      <c r="EH43" s="82"/>
      <c r="EI43" s="82"/>
      <c r="EJ43" s="82">
        <f t="shared" si="209"/>
        <v>0</v>
      </c>
      <c r="EK43" s="82">
        <f t="shared" si="210"/>
        <v>0</v>
      </c>
      <c r="EL43" s="82">
        <f t="shared" si="211"/>
        <v>25</v>
      </c>
      <c r="EM43" s="82">
        <f t="shared" si="212"/>
        <v>495500</v>
      </c>
      <c r="EN43" s="82">
        <f t="shared" si="213"/>
        <v>0</v>
      </c>
      <c r="EO43" s="82">
        <f t="shared" si="214"/>
        <v>0</v>
      </c>
      <c r="EP43" s="82">
        <f t="shared" si="215"/>
        <v>25</v>
      </c>
      <c r="EQ43" s="82">
        <f t="shared" si="216"/>
        <v>495500</v>
      </c>
      <c r="ER43" s="82"/>
      <c r="ES43" s="82"/>
      <c r="ET43" s="82">
        <f t="shared" si="217"/>
        <v>0</v>
      </c>
      <c r="EU43" s="82">
        <f t="shared" si="218"/>
        <v>0</v>
      </c>
      <c r="EV43" s="82"/>
      <c r="EW43" s="82"/>
      <c r="EX43" s="82"/>
      <c r="EY43" s="82"/>
      <c r="EZ43" s="82">
        <f t="shared" si="219"/>
        <v>0</v>
      </c>
      <c r="FA43" s="82">
        <f t="shared" si="220"/>
        <v>0</v>
      </c>
      <c r="FB43" s="82">
        <f t="shared" si="221"/>
        <v>25</v>
      </c>
      <c r="FC43" s="82">
        <f t="shared" si="222"/>
        <v>495500</v>
      </c>
      <c r="FD43" s="82"/>
      <c r="FE43" s="82"/>
      <c r="FF43" s="82">
        <f t="shared" si="223"/>
        <v>0</v>
      </c>
      <c r="FG43" s="82">
        <f t="shared" si="224"/>
        <v>0</v>
      </c>
      <c r="FH43" s="82"/>
      <c r="FI43" s="82"/>
      <c r="FJ43" s="82"/>
      <c r="FK43" s="82"/>
      <c r="FL43" s="82">
        <f t="shared" si="225"/>
        <v>0</v>
      </c>
      <c r="FM43" s="82">
        <f t="shared" si="226"/>
        <v>0</v>
      </c>
      <c r="FN43" s="82">
        <f t="shared" si="227"/>
        <v>25</v>
      </c>
      <c r="FO43" s="82">
        <f t="shared" si="228"/>
        <v>495500</v>
      </c>
      <c r="FP43" s="82"/>
      <c r="FQ43" s="82"/>
      <c r="FR43" s="82">
        <f t="shared" si="229"/>
        <v>0</v>
      </c>
      <c r="FS43" s="82">
        <f t="shared" si="230"/>
        <v>0</v>
      </c>
      <c r="FT43" s="82"/>
      <c r="FU43" s="82"/>
      <c r="FV43" s="82"/>
      <c r="FW43" s="82"/>
      <c r="FX43" s="82">
        <f t="shared" si="231"/>
        <v>0</v>
      </c>
      <c r="FY43" s="82">
        <f t="shared" si="232"/>
        <v>0</v>
      </c>
      <c r="FZ43" s="82">
        <f t="shared" si="233"/>
        <v>25</v>
      </c>
      <c r="GA43" s="82">
        <f t="shared" si="234"/>
        <v>495500</v>
      </c>
      <c r="GB43" s="82">
        <f t="shared" si="235"/>
        <v>0</v>
      </c>
      <c r="GC43" s="82">
        <f t="shared" si="236"/>
        <v>0</v>
      </c>
      <c r="GD43" s="82">
        <f t="shared" si="237"/>
        <v>25</v>
      </c>
      <c r="GE43" s="82">
        <f t="shared" si="238"/>
        <v>495500</v>
      </c>
      <c r="GF43" s="85"/>
    </row>
    <row r="44" ht="29.25" customHeight="1">
      <c r="A44" s="76">
        <v>21.0</v>
      </c>
      <c r="B44" s="87"/>
      <c r="C44" s="77" t="s">
        <v>123</v>
      </c>
      <c r="D44" s="92" t="s">
        <v>114</v>
      </c>
      <c r="E44" s="98">
        <v>3157.95</v>
      </c>
      <c r="F44" s="61" t="s">
        <v>97</v>
      </c>
      <c r="G44" s="81">
        <v>8.0</v>
      </c>
      <c r="H44" s="82">
        <v>25263.6</v>
      </c>
      <c r="I44" s="82"/>
      <c r="J44" s="82"/>
      <c r="K44" s="82">
        <f t="shared" si="162"/>
        <v>0</v>
      </c>
      <c r="L44" s="82">
        <f t="shared" si="163"/>
        <v>0</v>
      </c>
      <c r="M44" s="83">
        <v>2.0</v>
      </c>
      <c r="N44" s="82"/>
      <c r="O44" s="82"/>
      <c r="P44" s="83">
        <v>3.0</v>
      </c>
      <c r="Q44" s="82"/>
      <c r="R44" s="82"/>
      <c r="S44" s="82"/>
      <c r="T44" s="82"/>
      <c r="U44" s="82"/>
      <c r="V44" s="83">
        <v>3.0</v>
      </c>
      <c r="W44" s="82"/>
      <c r="X44" s="82"/>
      <c r="Y44" s="82"/>
      <c r="Z44" s="82"/>
      <c r="AA44" s="82"/>
      <c r="AB44" s="82">
        <f t="shared" si="164"/>
        <v>8</v>
      </c>
      <c r="AC44" s="82">
        <f t="shared" si="165"/>
        <v>25263.6</v>
      </c>
      <c r="AD44" s="82">
        <f t="shared" si="89"/>
        <v>0</v>
      </c>
      <c r="AE44" s="82">
        <f t="shared" si="166"/>
        <v>0</v>
      </c>
      <c r="AF44" s="82"/>
      <c r="AG44" s="82"/>
      <c r="AH44" s="82">
        <f t="shared" si="167"/>
        <v>0</v>
      </c>
      <c r="AI44" s="82">
        <f t="shared" si="168"/>
        <v>0</v>
      </c>
      <c r="AJ44" s="82"/>
      <c r="AK44" s="82"/>
      <c r="AL44" s="82"/>
      <c r="AM44" s="82"/>
      <c r="AN44" s="82">
        <f t="shared" si="169"/>
        <v>0</v>
      </c>
      <c r="AO44" s="82">
        <f t="shared" si="170"/>
        <v>0</v>
      </c>
      <c r="AP44" s="82">
        <f t="shared" si="11"/>
        <v>0</v>
      </c>
      <c r="AQ44" s="82">
        <f t="shared" si="171"/>
        <v>0</v>
      </c>
      <c r="AR44" s="82"/>
      <c r="AS44" s="82"/>
      <c r="AT44" s="82"/>
      <c r="AU44" s="82">
        <f t="shared" si="172"/>
        <v>0</v>
      </c>
      <c r="AV44" s="82">
        <f t="shared" si="173"/>
        <v>0</v>
      </c>
      <c r="AW44" s="82"/>
      <c r="AX44" s="82"/>
      <c r="AY44" s="82"/>
      <c r="AZ44" s="82"/>
      <c r="BA44" s="82">
        <f t="shared" si="174"/>
        <v>0</v>
      </c>
      <c r="BB44" s="82">
        <f t="shared" si="175"/>
        <v>0</v>
      </c>
      <c r="BC44" s="82">
        <f t="shared" si="99"/>
        <v>0</v>
      </c>
      <c r="BD44" s="82">
        <f t="shared" si="176"/>
        <v>0</v>
      </c>
      <c r="BE44" s="82">
        <f t="shared" si="177"/>
        <v>0</v>
      </c>
      <c r="BF44" s="82">
        <f t="shared" si="178"/>
        <v>8</v>
      </c>
      <c r="BG44" s="82">
        <f t="shared" si="103"/>
        <v>0</v>
      </c>
      <c r="BH44" s="82">
        <f t="shared" si="179"/>
        <v>0</v>
      </c>
      <c r="BI44" s="82"/>
      <c r="BJ44" s="83"/>
      <c r="BK44" s="82">
        <f t="shared" si="180"/>
        <v>0</v>
      </c>
      <c r="BL44" s="82">
        <f t="shared" si="181"/>
        <v>0</v>
      </c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>
        <f t="shared" si="182"/>
        <v>0</v>
      </c>
      <c r="BX44" s="82">
        <f t="shared" si="183"/>
        <v>0</v>
      </c>
      <c r="BY44" s="82">
        <f t="shared" si="109"/>
        <v>0</v>
      </c>
      <c r="BZ44" s="82">
        <f t="shared" si="184"/>
        <v>0</v>
      </c>
      <c r="CA44" s="82"/>
      <c r="CB44" s="82"/>
      <c r="CC44" s="82">
        <f t="shared" si="185"/>
        <v>0</v>
      </c>
      <c r="CD44" s="82">
        <f t="shared" si="186"/>
        <v>0</v>
      </c>
      <c r="CE44" s="83"/>
      <c r="CF44" s="82"/>
      <c r="CG44" s="82"/>
      <c r="CH44" s="82"/>
      <c r="CI44" s="82">
        <f t="shared" si="187"/>
        <v>0</v>
      </c>
      <c r="CJ44" s="82">
        <f t="shared" si="188"/>
        <v>0</v>
      </c>
      <c r="CK44" s="82">
        <f t="shared" si="189"/>
        <v>0</v>
      </c>
      <c r="CL44" s="82">
        <f t="shared" si="190"/>
        <v>0</v>
      </c>
      <c r="CM44" s="82"/>
      <c r="CN44" s="82"/>
      <c r="CO44" s="82">
        <f t="shared" si="35"/>
        <v>0</v>
      </c>
      <c r="CP44" s="82">
        <f t="shared" si="36"/>
        <v>0</v>
      </c>
      <c r="CQ44" s="82"/>
      <c r="CR44" s="82"/>
      <c r="CS44" s="82"/>
      <c r="CT44" s="82"/>
      <c r="CU44" s="82">
        <f t="shared" si="191"/>
        <v>0</v>
      </c>
      <c r="CV44" s="82">
        <f t="shared" si="192"/>
        <v>0</v>
      </c>
      <c r="CW44" s="82">
        <f t="shared" si="39"/>
        <v>0</v>
      </c>
      <c r="CX44" s="82">
        <f t="shared" si="193"/>
        <v>0</v>
      </c>
      <c r="CY44" s="82">
        <f t="shared" si="41"/>
        <v>0</v>
      </c>
      <c r="CZ44" s="82">
        <f t="shared" si="194"/>
        <v>0</v>
      </c>
      <c r="DA44" s="82">
        <f t="shared" si="43"/>
        <v>0</v>
      </c>
      <c r="DB44" s="82">
        <f t="shared" si="44"/>
        <v>0</v>
      </c>
      <c r="DC44" s="91"/>
      <c r="DD44" s="82"/>
      <c r="DE44" s="82"/>
      <c r="DF44" s="82">
        <f t="shared" si="195"/>
        <v>0</v>
      </c>
      <c r="DG44" s="82">
        <f t="shared" si="196"/>
        <v>0</v>
      </c>
      <c r="DH44" s="82"/>
      <c r="DI44" s="82"/>
      <c r="DJ44" s="82"/>
      <c r="DK44" s="82"/>
      <c r="DL44" s="82">
        <f t="shared" si="197"/>
        <v>0</v>
      </c>
      <c r="DM44" s="82">
        <f t="shared" si="198"/>
        <v>0</v>
      </c>
      <c r="DN44" s="82">
        <f t="shared" si="199"/>
        <v>0</v>
      </c>
      <c r="DO44" s="82">
        <f t="shared" si="200"/>
        <v>0</v>
      </c>
      <c r="DP44" s="82"/>
      <c r="DQ44" s="82"/>
      <c r="DR44" s="82">
        <f t="shared" si="201"/>
        <v>0</v>
      </c>
      <c r="DS44" s="82">
        <f t="shared" si="202"/>
        <v>0</v>
      </c>
      <c r="DT44" s="82"/>
      <c r="DU44" s="82"/>
      <c r="DV44" s="82"/>
      <c r="DW44" s="82"/>
      <c r="DX44" s="82">
        <f t="shared" si="203"/>
        <v>0</v>
      </c>
      <c r="DY44" s="82">
        <f t="shared" si="204"/>
        <v>0</v>
      </c>
      <c r="DZ44" s="82">
        <f t="shared" si="205"/>
        <v>0</v>
      </c>
      <c r="EA44" s="82">
        <f t="shared" si="206"/>
        <v>0</v>
      </c>
      <c r="EB44" s="82"/>
      <c r="EC44" s="82"/>
      <c r="ED44" s="82">
        <f t="shared" si="207"/>
        <v>0</v>
      </c>
      <c r="EE44" s="82">
        <f t="shared" si="208"/>
        <v>0</v>
      </c>
      <c r="EF44" s="82"/>
      <c r="EG44" s="82"/>
      <c r="EH44" s="82"/>
      <c r="EI44" s="82"/>
      <c r="EJ44" s="82">
        <f t="shared" si="209"/>
        <v>0</v>
      </c>
      <c r="EK44" s="82">
        <f t="shared" si="210"/>
        <v>0</v>
      </c>
      <c r="EL44" s="82">
        <f t="shared" si="211"/>
        <v>0</v>
      </c>
      <c r="EM44" s="82">
        <f t="shared" si="212"/>
        <v>0</v>
      </c>
      <c r="EN44" s="82">
        <f t="shared" si="213"/>
        <v>0</v>
      </c>
      <c r="EO44" s="82">
        <f t="shared" si="214"/>
        <v>0</v>
      </c>
      <c r="EP44" s="82">
        <f t="shared" si="215"/>
        <v>0</v>
      </c>
      <c r="EQ44" s="82">
        <f t="shared" si="216"/>
        <v>0</v>
      </c>
      <c r="ER44" s="82"/>
      <c r="ES44" s="82"/>
      <c r="ET44" s="82">
        <f t="shared" si="217"/>
        <v>0</v>
      </c>
      <c r="EU44" s="82">
        <f t="shared" si="218"/>
        <v>0</v>
      </c>
      <c r="EV44" s="82"/>
      <c r="EW44" s="82"/>
      <c r="EX44" s="82"/>
      <c r="EY44" s="82"/>
      <c r="EZ44" s="82">
        <f t="shared" si="219"/>
        <v>0</v>
      </c>
      <c r="FA44" s="82">
        <f t="shared" si="220"/>
        <v>0</v>
      </c>
      <c r="FB44" s="82">
        <f t="shared" si="221"/>
        <v>0</v>
      </c>
      <c r="FC44" s="82">
        <f t="shared" si="222"/>
        <v>0</v>
      </c>
      <c r="FD44" s="82"/>
      <c r="FE44" s="82"/>
      <c r="FF44" s="82">
        <f t="shared" si="223"/>
        <v>0</v>
      </c>
      <c r="FG44" s="82">
        <f t="shared" si="224"/>
        <v>0</v>
      </c>
      <c r="FH44" s="82"/>
      <c r="FI44" s="82"/>
      <c r="FJ44" s="82"/>
      <c r="FK44" s="82"/>
      <c r="FL44" s="82">
        <f t="shared" si="225"/>
        <v>0</v>
      </c>
      <c r="FM44" s="82">
        <f t="shared" si="226"/>
        <v>0</v>
      </c>
      <c r="FN44" s="82">
        <f t="shared" si="227"/>
        <v>0</v>
      </c>
      <c r="FO44" s="82">
        <f t="shared" si="228"/>
        <v>0</v>
      </c>
      <c r="FP44" s="82"/>
      <c r="FQ44" s="82"/>
      <c r="FR44" s="82">
        <f t="shared" si="229"/>
        <v>0</v>
      </c>
      <c r="FS44" s="82">
        <f t="shared" si="230"/>
        <v>0</v>
      </c>
      <c r="FT44" s="82"/>
      <c r="FU44" s="82"/>
      <c r="FV44" s="82"/>
      <c r="FW44" s="82"/>
      <c r="FX44" s="82">
        <f t="shared" si="231"/>
        <v>0</v>
      </c>
      <c r="FY44" s="82">
        <f t="shared" si="232"/>
        <v>0</v>
      </c>
      <c r="FZ44" s="82">
        <f t="shared" si="233"/>
        <v>0</v>
      </c>
      <c r="GA44" s="82">
        <f t="shared" si="234"/>
        <v>0</v>
      </c>
      <c r="GB44" s="82">
        <f t="shared" si="235"/>
        <v>0</v>
      </c>
      <c r="GC44" s="82">
        <f t="shared" si="236"/>
        <v>0</v>
      </c>
      <c r="GD44" s="82">
        <f t="shared" si="237"/>
        <v>0</v>
      </c>
      <c r="GE44" s="82">
        <f t="shared" si="238"/>
        <v>0</v>
      </c>
      <c r="GF44" s="85"/>
    </row>
    <row r="45" ht="29.25" customHeight="1">
      <c r="A45" s="50"/>
      <c r="B45" s="50"/>
      <c r="C45" s="50"/>
      <c r="D45" s="92" t="s">
        <v>114</v>
      </c>
      <c r="E45" s="86">
        <v>3153.0</v>
      </c>
      <c r="F45" s="80" t="s">
        <v>86</v>
      </c>
      <c r="G45" s="81">
        <v>25.0</v>
      </c>
      <c r="H45" s="82">
        <v>78825.0</v>
      </c>
      <c r="I45" s="82"/>
      <c r="J45" s="82"/>
      <c r="K45" s="82">
        <f t="shared" si="162"/>
        <v>0</v>
      </c>
      <c r="L45" s="82">
        <f t="shared" si="163"/>
        <v>0</v>
      </c>
      <c r="M45" s="82"/>
      <c r="N45" s="82"/>
      <c r="O45" s="82"/>
      <c r="P45" s="82"/>
      <c r="Q45" s="82"/>
      <c r="R45" s="82"/>
      <c r="S45" s="82"/>
      <c r="T45" s="82"/>
      <c r="U45" s="82"/>
      <c r="V45" s="83">
        <v>2.0</v>
      </c>
      <c r="W45" s="82"/>
      <c r="X45" s="82"/>
      <c r="Y45" s="82"/>
      <c r="Z45" s="82"/>
      <c r="AA45" s="82"/>
      <c r="AB45" s="82">
        <f t="shared" si="164"/>
        <v>2</v>
      </c>
      <c r="AC45" s="82">
        <f t="shared" si="165"/>
        <v>6306</v>
      </c>
      <c r="AD45" s="82">
        <f t="shared" si="89"/>
        <v>23</v>
      </c>
      <c r="AE45" s="82">
        <f t="shared" si="166"/>
        <v>72519</v>
      </c>
      <c r="AF45" s="82"/>
      <c r="AG45" s="82"/>
      <c r="AH45" s="82">
        <f t="shared" si="167"/>
        <v>0</v>
      </c>
      <c r="AI45" s="82">
        <f t="shared" si="168"/>
        <v>0</v>
      </c>
      <c r="AJ45" s="82"/>
      <c r="AK45" s="82"/>
      <c r="AL45" s="82"/>
      <c r="AM45" s="82"/>
      <c r="AN45" s="82">
        <f t="shared" si="169"/>
        <v>0</v>
      </c>
      <c r="AO45" s="82">
        <f t="shared" si="170"/>
        <v>0</v>
      </c>
      <c r="AP45" s="82">
        <f t="shared" si="11"/>
        <v>23</v>
      </c>
      <c r="AQ45" s="82">
        <f t="shared" si="171"/>
        <v>72519</v>
      </c>
      <c r="AR45" s="82"/>
      <c r="AS45" s="82"/>
      <c r="AT45" s="82"/>
      <c r="AU45" s="82">
        <f t="shared" si="172"/>
        <v>0</v>
      </c>
      <c r="AV45" s="82">
        <f t="shared" si="173"/>
        <v>0</v>
      </c>
      <c r="AW45" s="82"/>
      <c r="AX45" s="82"/>
      <c r="AY45" s="82"/>
      <c r="AZ45" s="82"/>
      <c r="BA45" s="82">
        <f t="shared" si="174"/>
        <v>0</v>
      </c>
      <c r="BB45" s="82">
        <f t="shared" si="175"/>
        <v>0</v>
      </c>
      <c r="BC45" s="82">
        <f t="shared" si="99"/>
        <v>23</v>
      </c>
      <c r="BD45" s="82">
        <f t="shared" si="176"/>
        <v>72519</v>
      </c>
      <c r="BE45" s="82">
        <f t="shared" si="177"/>
        <v>0</v>
      </c>
      <c r="BF45" s="82">
        <f t="shared" si="178"/>
        <v>2</v>
      </c>
      <c r="BG45" s="82">
        <f t="shared" si="103"/>
        <v>23</v>
      </c>
      <c r="BH45" s="82">
        <f t="shared" si="179"/>
        <v>72519</v>
      </c>
      <c r="BI45" s="82"/>
      <c r="BJ45" s="83"/>
      <c r="BK45" s="82">
        <f t="shared" si="180"/>
        <v>0</v>
      </c>
      <c r="BL45" s="82">
        <f t="shared" si="181"/>
        <v>0</v>
      </c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>
        <f t="shared" si="182"/>
        <v>0</v>
      </c>
      <c r="BX45" s="82">
        <f t="shared" si="183"/>
        <v>0</v>
      </c>
      <c r="BY45" s="82">
        <f t="shared" si="109"/>
        <v>23</v>
      </c>
      <c r="BZ45" s="82">
        <f t="shared" si="184"/>
        <v>72519</v>
      </c>
      <c r="CA45" s="82"/>
      <c r="CB45" s="82"/>
      <c r="CC45" s="82">
        <f t="shared" si="185"/>
        <v>0</v>
      </c>
      <c r="CD45" s="82">
        <f t="shared" si="186"/>
        <v>0</v>
      </c>
      <c r="CE45" s="83">
        <v>1.0</v>
      </c>
      <c r="CF45" s="82"/>
      <c r="CG45" s="82"/>
      <c r="CH45" s="82"/>
      <c r="CI45" s="82">
        <f t="shared" si="187"/>
        <v>1</v>
      </c>
      <c r="CJ45" s="82">
        <f t="shared" si="188"/>
        <v>3153</v>
      </c>
      <c r="CK45" s="82">
        <f t="shared" si="189"/>
        <v>22</v>
      </c>
      <c r="CL45" s="82">
        <f t="shared" si="190"/>
        <v>69366</v>
      </c>
      <c r="CM45" s="82"/>
      <c r="CN45" s="82"/>
      <c r="CO45" s="82">
        <f t="shared" si="35"/>
        <v>0</v>
      </c>
      <c r="CP45" s="82">
        <f t="shared" si="36"/>
        <v>0</v>
      </c>
      <c r="CQ45" s="82"/>
      <c r="CR45" s="82"/>
      <c r="CS45" s="82"/>
      <c r="CT45" s="82"/>
      <c r="CU45" s="82">
        <f t="shared" si="191"/>
        <v>0</v>
      </c>
      <c r="CV45" s="82">
        <f t="shared" si="192"/>
        <v>0</v>
      </c>
      <c r="CW45" s="82">
        <f t="shared" si="39"/>
        <v>22</v>
      </c>
      <c r="CX45" s="82">
        <f t="shared" si="193"/>
        <v>69366</v>
      </c>
      <c r="CY45" s="82">
        <f t="shared" si="41"/>
        <v>0</v>
      </c>
      <c r="CZ45" s="82">
        <f t="shared" si="194"/>
        <v>1</v>
      </c>
      <c r="DA45" s="82">
        <f t="shared" si="43"/>
        <v>22</v>
      </c>
      <c r="DB45" s="82">
        <f t="shared" si="44"/>
        <v>69366</v>
      </c>
      <c r="DC45" s="91"/>
      <c r="DD45" s="82"/>
      <c r="DE45" s="82"/>
      <c r="DF45" s="82">
        <f t="shared" si="195"/>
        <v>0</v>
      </c>
      <c r="DG45" s="82">
        <f t="shared" si="196"/>
        <v>0</v>
      </c>
      <c r="DH45" s="82"/>
      <c r="DI45" s="82"/>
      <c r="DJ45" s="82"/>
      <c r="DK45" s="82"/>
      <c r="DL45" s="82">
        <f t="shared" si="197"/>
        <v>0</v>
      </c>
      <c r="DM45" s="82">
        <f t="shared" si="198"/>
        <v>0</v>
      </c>
      <c r="DN45" s="82">
        <f t="shared" si="199"/>
        <v>22</v>
      </c>
      <c r="DO45" s="82">
        <f t="shared" si="200"/>
        <v>69366</v>
      </c>
      <c r="DP45" s="82"/>
      <c r="DQ45" s="82"/>
      <c r="DR45" s="82">
        <f t="shared" si="201"/>
        <v>0</v>
      </c>
      <c r="DS45" s="82">
        <f t="shared" si="202"/>
        <v>0</v>
      </c>
      <c r="DT45" s="82"/>
      <c r="DU45" s="82"/>
      <c r="DV45" s="82"/>
      <c r="DW45" s="82"/>
      <c r="DX45" s="82">
        <f t="shared" si="203"/>
        <v>0</v>
      </c>
      <c r="DY45" s="82">
        <f t="shared" si="204"/>
        <v>0</v>
      </c>
      <c r="DZ45" s="82">
        <f t="shared" si="205"/>
        <v>22</v>
      </c>
      <c r="EA45" s="82">
        <f t="shared" si="206"/>
        <v>69366</v>
      </c>
      <c r="EB45" s="82"/>
      <c r="EC45" s="82"/>
      <c r="ED45" s="82">
        <f t="shared" si="207"/>
        <v>0</v>
      </c>
      <c r="EE45" s="82">
        <f t="shared" si="208"/>
        <v>0</v>
      </c>
      <c r="EF45" s="82"/>
      <c r="EG45" s="82"/>
      <c r="EH45" s="82"/>
      <c r="EI45" s="82"/>
      <c r="EJ45" s="82">
        <f t="shared" si="209"/>
        <v>0</v>
      </c>
      <c r="EK45" s="82">
        <f t="shared" si="210"/>
        <v>0</v>
      </c>
      <c r="EL45" s="82">
        <f t="shared" si="211"/>
        <v>22</v>
      </c>
      <c r="EM45" s="82">
        <f t="shared" si="212"/>
        <v>69366</v>
      </c>
      <c r="EN45" s="82">
        <f t="shared" si="213"/>
        <v>0</v>
      </c>
      <c r="EO45" s="82">
        <f t="shared" si="214"/>
        <v>0</v>
      </c>
      <c r="EP45" s="82">
        <f t="shared" si="215"/>
        <v>22</v>
      </c>
      <c r="EQ45" s="82">
        <f t="shared" si="216"/>
        <v>69366</v>
      </c>
      <c r="ER45" s="82"/>
      <c r="ES45" s="82"/>
      <c r="ET45" s="82">
        <f t="shared" si="217"/>
        <v>0</v>
      </c>
      <c r="EU45" s="82">
        <f t="shared" si="218"/>
        <v>0</v>
      </c>
      <c r="EV45" s="82"/>
      <c r="EW45" s="82"/>
      <c r="EX45" s="82"/>
      <c r="EY45" s="82"/>
      <c r="EZ45" s="82">
        <f t="shared" si="219"/>
        <v>0</v>
      </c>
      <c r="FA45" s="82">
        <f t="shared" si="220"/>
        <v>0</v>
      </c>
      <c r="FB45" s="82">
        <f t="shared" si="221"/>
        <v>22</v>
      </c>
      <c r="FC45" s="82">
        <f t="shared" si="222"/>
        <v>69366</v>
      </c>
      <c r="FD45" s="82"/>
      <c r="FE45" s="82"/>
      <c r="FF45" s="82">
        <f t="shared" si="223"/>
        <v>0</v>
      </c>
      <c r="FG45" s="82">
        <f t="shared" si="224"/>
        <v>0</v>
      </c>
      <c r="FH45" s="82"/>
      <c r="FI45" s="82"/>
      <c r="FJ45" s="82"/>
      <c r="FK45" s="82"/>
      <c r="FL45" s="82">
        <f t="shared" si="225"/>
        <v>0</v>
      </c>
      <c r="FM45" s="82">
        <f t="shared" si="226"/>
        <v>0</v>
      </c>
      <c r="FN45" s="82">
        <f t="shared" si="227"/>
        <v>22</v>
      </c>
      <c r="FO45" s="82">
        <f t="shared" si="228"/>
        <v>69366</v>
      </c>
      <c r="FP45" s="82"/>
      <c r="FQ45" s="82"/>
      <c r="FR45" s="82">
        <f t="shared" si="229"/>
        <v>0</v>
      </c>
      <c r="FS45" s="82">
        <f t="shared" si="230"/>
        <v>0</v>
      </c>
      <c r="FT45" s="82"/>
      <c r="FU45" s="82"/>
      <c r="FV45" s="82"/>
      <c r="FW45" s="82"/>
      <c r="FX45" s="82">
        <f t="shared" si="231"/>
        <v>0</v>
      </c>
      <c r="FY45" s="82">
        <f t="shared" si="232"/>
        <v>0</v>
      </c>
      <c r="FZ45" s="82">
        <f t="shared" si="233"/>
        <v>22</v>
      </c>
      <c r="GA45" s="82">
        <f t="shared" si="234"/>
        <v>69366</v>
      </c>
      <c r="GB45" s="82">
        <f t="shared" si="235"/>
        <v>0</v>
      </c>
      <c r="GC45" s="82">
        <f t="shared" si="236"/>
        <v>0</v>
      </c>
      <c r="GD45" s="82">
        <f t="shared" si="237"/>
        <v>22</v>
      </c>
      <c r="GE45" s="82">
        <f t="shared" si="238"/>
        <v>69366</v>
      </c>
      <c r="GF45" s="85"/>
    </row>
    <row r="46" ht="29.25" customHeight="1">
      <c r="A46" s="96">
        <v>22.0</v>
      </c>
      <c r="B46" s="97"/>
      <c r="C46" s="77" t="s">
        <v>124</v>
      </c>
      <c r="D46" s="78" t="s">
        <v>96</v>
      </c>
      <c r="E46" s="79">
        <v>8880.0</v>
      </c>
      <c r="F46" s="80" t="s">
        <v>94</v>
      </c>
      <c r="G46" s="93">
        <v>18.0</v>
      </c>
      <c r="H46" s="94">
        <v>159840.0</v>
      </c>
      <c r="I46" s="82"/>
      <c r="J46" s="82"/>
      <c r="K46" s="82">
        <f t="shared" si="162"/>
        <v>0</v>
      </c>
      <c r="L46" s="82">
        <f t="shared" si="163"/>
        <v>0</v>
      </c>
      <c r="M46" s="83">
        <v>1.0</v>
      </c>
      <c r="N46" s="83">
        <v>2.0</v>
      </c>
      <c r="O46" s="82"/>
      <c r="P46" s="82"/>
      <c r="Q46" s="83">
        <v>1.0</v>
      </c>
      <c r="R46" s="82"/>
      <c r="S46" s="83">
        <v>1.0</v>
      </c>
      <c r="T46" s="82"/>
      <c r="U46" s="82"/>
      <c r="V46" s="83">
        <v>1.0</v>
      </c>
      <c r="W46" s="82"/>
      <c r="X46" s="83">
        <v>1.0</v>
      </c>
      <c r="Y46" s="82"/>
      <c r="Z46" s="83">
        <v>1.0</v>
      </c>
      <c r="AA46" s="82"/>
      <c r="AB46" s="82">
        <f t="shared" si="164"/>
        <v>8</v>
      </c>
      <c r="AC46" s="82">
        <f t="shared" si="165"/>
        <v>71040</v>
      </c>
      <c r="AD46" s="82">
        <f t="shared" si="89"/>
        <v>10</v>
      </c>
      <c r="AE46" s="82">
        <f t="shared" si="166"/>
        <v>88800</v>
      </c>
      <c r="AF46" s="82"/>
      <c r="AG46" s="82"/>
      <c r="AH46" s="82">
        <f t="shared" si="167"/>
        <v>0</v>
      </c>
      <c r="AI46" s="82">
        <f t="shared" si="168"/>
        <v>0</v>
      </c>
      <c r="AJ46" s="82"/>
      <c r="AK46" s="82"/>
      <c r="AL46" s="82"/>
      <c r="AM46" s="82"/>
      <c r="AN46" s="82">
        <f t="shared" si="169"/>
        <v>0</v>
      </c>
      <c r="AO46" s="82">
        <f t="shared" si="170"/>
        <v>0</v>
      </c>
      <c r="AP46" s="82">
        <f t="shared" si="11"/>
        <v>10</v>
      </c>
      <c r="AQ46" s="82">
        <f t="shared" si="171"/>
        <v>88800</v>
      </c>
      <c r="AR46" s="82"/>
      <c r="AS46" s="82"/>
      <c r="AT46" s="82"/>
      <c r="AU46" s="82">
        <f t="shared" si="172"/>
        <v>0</v>
      </c>
      <c r="AV46" s="82">
        <f t="shared" si="173"/>
        <v>0</v>
      </c>
      <c r="AW46" s="82"/>
      <c r="AX46" s="82"/>
      <c r="AY46" s="82"/>
      <c r="AZ46" s="82"/>
      <c r="BA46" s="82">
        <f t="shared" si="174"/>
        <v>0</v>
      </c>
      <c r="BB46" s="82">
        <f t="shared" si="175"/>
        <v>0</v>
      </c>
      <c r="BC46" s="82">
        <f t="shared" si="99"/>
        <v>10</v>
      </c>
      <c r="BD46" s="82">
        <f t="shared" si="176"/>
        <v>88800</v>
      </c>
      <c r="BE46" s="82">
        <f t="shared" si="177"/>
        <v>0</v>
      </c>
      <c r="BF46" s="82">
        <f t="shared" si="178"/>
        <v>8</v>
      </c>
      <c r="BG46" s="82">
        <f t="shared" si="103"/>
        <v>10</v>
      </c>
      <c r="BH46" s="82">
        <f t="shared" si="179"/>
        <v>88800</v>
      </c>
      <c r="BI46" s="82"/>
      <c r="BJ46" s="83"/>
      <c r="BK46" s="82">
        <f t="shared" si="180"/>
        <v>0</v>
      </c>
      <c r="BL46" s="82">
        <f t="shared" si="181"/>
        <v>0</v>
      </c>
      <c r="BM46" s="82"/>
      <c r="BN46" s="82"/>
      <c r="BO46" s="82"/>
      <c r="BP46" s="82"/>
      <c r="BQ46" s="82"/>
      <c r="BR46" s="83">
        <v>1.0</v>
      </c>
      <c r="BS46" s="82"/>
      <c r="BT46" s="83">
        <v>2.0</v>
      </c>
      <c r="BU46" s="83"/>
      <c r="BV46" s="83">
        <v>1.0</v>
      </c>
      <c r="BW46" s="82">
        <f t="shared" si="182"/>
        <v>4</v>
      </c>
      <c r="BX46" s="82">
        <f t="shared" si="183"/>
        <v>35520</v>
      </c>
      <c r="BY46" s="82">
        <f t="shared" si="109"/>
        <v>6</v>
      </c>
      <c r="BZ46" s="82">
        <f t="shared" si="184"/>
        <v>53280</v>
      </c>
      <c r="CA46" s="82"/>
      <c r="CB46" s="82"/>
      <c r="CC46" s="82">
        <f t="shared" si="185"/>
        <v>0</v>
      </c>
      <c r="CD46" s="82">
        <f t="shared" si="186"/>
        <v>0</v>
      </c>
      <c r="CE46" s="82"/>
      <c r="CF46" s="82"/>
      <c r="CG46" s="82"/>
      <c r="CH46" s="82"/>
      <c r="CI46" s="82">
        <f t="shared" si="187"/>
        <v>0</v>
      </c>
      <c r="CJ46" s="82">
        <f t="shared" si="188"/>
        <v>0</v>
      </c>
      <c r="CK46" s="82">
        <f t="shared" si="189"/>
        <v>6</v>
      </c>
      <c r="CL46" s="82">
        <f t="shared" si="190"/>
        <v>53280</v>
      </c>
      <c r="CM46" s="82"/>
      <c r="CN46" s="82"/>
      <c r="CO46" s="82">
        <f t="shared" si="35"/>
        <v>0</v>
      </c>
      <c r="CP46" s="82">
        <f t="shared" si="36"/>
        <v>0</v>
      </c>
      <c r="CQ46" s="82"/>
      <c r="CR46" s="82"/>
      <c r="CS46" s="82"/>
      <c r="CT46" s="82"/>
      <c r="CU46" s="82">
        <f t="shared" si="191"/>
        <v>0</v>
      </c>
      <c r="CV46" s="82">
        <f t="shared" si="192"/>
        <v>0</v>
      </c>
      <c r="CW46" s="82">
        <f t="shared" si="39"/>
        <v>6</v>
      </c>
      <c r="CX46" s="82">
        <f t="shared" si="193"/>
        <v>53280</v>
      </c>
      <c r="CY46" s="82">
        <f t="shared" si="41"/>
        <v>0</v>
      </c>
      <c r="CZ46" s="82">
        <f t="shared" si="194"/>
        <v>4</v>
      </c>
      <c r="DA46" s="82">
        <f t="shared" si="43"/>
        <v>6</v>
      </c>
      <c r="DB46" s="82">
        <f t="shared" si="44"/>
        <v>53280</v>
      </c>
      <c r="DC46" s="84">
        <v>5.0</v>
      </c>
      <c r="DD46" s="82"/>
      <c r="DE46" s="82"/>
      <c r="DF46" s="82">
        <f t="shared" si="195"/>
        <v>0</v>
      </c>
      <c r="DG46" s="82">
        <f t="shared" si="196"/>
        <v>0</v>
      </c>
      <c r="DH46" s="82"/>
      <c r="DI46" s="82"/>
      <c r="DJ46" s="82"/>
      <c r="DK46" s="82"/>
      <c r="DL46" s="82">
        <f t="shared" si="197"/>
        <v>0</v>
      </c>
      <c r="DM46" s="82">
        <f t="shared" si="198"/>
        <v>0</v>
      </c>
      <c r="DN46" s="82">
        <f t="shared" si="199"/>
        <v>6</v>
      </c>
      <c r="DO46" s="82">
        <f t="shared" si="200"/>
        <v>53280</v>
      </c>
      <c r="DP46" s="82"/>
      <c r="DQ46" s="82"/>
      <c r="DR46" s="82">
        <f t="shared" si="201"/>
        <v>0</v>
      </c>
      <c r="DS46" s="82">
        <f t="shared" si="202"/>
        <v>0</v>
      </c>
      <c r="DT46" s="82"/>
      <c r="DU46" s="82"/>
      <c r="DV46" s="82"/>
      <c r="DW46" s="82"/>
      <c r="DX46" s="82">
        <f t="shared" si="203"/>
        <v>0</v>
      </c>
      <c r="DY46" s="82">
        <f t="shared" si="204"/>
        <v>0</v>
      </c>
      <c r="DZ46" s="82">
        <f t="shared" si="205"/>
        <v>6</v>
      </c>
      <c r="EA46" s="82">
        <f t="shared" si="206"/>
        <v>53280</v>
      </c>
      <c r="EB46" s="82"/>
      <c r="EC46" s="82"/>
      <c r="ED46" s="82">
        <f t="shared" si="207"/>
        <v>0</v>
      </c>
      <c r="EE46" s="82">
        <f t="shared" si="208"/>
        <v>0</v>
      </c>
      <c r="EF46" s="82"/>
      <c r="EG46" s="82"/>
      <c r="EH46" s="82"/>
      <c r="EI46" s="82"/>
      <c r="EJ46" s="82">
        <f t="shared" si="209"/>
        <v>0</v>
      </c>
      <c r="EK46" s="82">
        <f t="shared" si="210"/>
        <v>0</v>
      </c>
      <c r="EL46" s="82">
        <f t="shared" si="211"/>
        <v>6</v>
      </c>
      <c r="EM46" s="82">
        <f t="shared" si="212"/>
        <v>53280</v>
      </c>
      <c r="EN46" s="82">
        <f t="shared" si="213"/>
        <v>0</v>
      </c>
      <c r="EO46" s="82">
        <f t="shared" si="214"/>
        <v>0</v>
      </c>
      <c r="EP46" s="82">
        <f t="shared" si="215"/>
        <v>6</v>
      </c>
      <c r="EQ46" s="82">
        <f t="shared" si="216"/>
        <v>53280</v>
      </c>
      <c r="ER46" s="82"/>
      <c r="ES46" s="82"/>
      <c r="ET46" s="82">
        <f t="shared" si="217"/>
        <v>0</v>
      </c>
      <c r="EU46" s="82">
        <f t="shared" si="218"/>
        <v>0</v>
      </c>
      <c r="EV46" s="82"/>
      <c r="EW46" s="82"/>
      <c r="EX46" s="82"/>
      <c r="EY46" s="82"/>
      <c r="EZ46" s="82">
        <f t="shared" si="219"/>
        <v>0</v>
      </c>
      <c r="FA46" s="82">
        <f t="shared" si="220"/>
        <v>0</v>
      </c>
      <c r="FB46" s="82">
        <f t="shared" si="221"/>
        <v>6</v>
      </c>
      <c r="FC46" s="82">
        <f t="shared" si="222"/>
        <v>53280</v>
      </c>
      <c r="FD46" s="82"/>
      <c r="FE46" s="82"/>
      <c r="FF46" s="82">
        <f t="shared" si="223"/>
        <v>0</v>
      </c>
      <c r="FG46" s="82">
        <f t="shared" si="224"/>
        <v>0</v>
      </c>
      <c r="FH46" s="82"/>
      <c r="FI46" s="82"/>
      <c r="FJ46" s="82"/>
      <c r="FK46" s="82"/>
      <c r="FL46" s="82">
        <f t="shared" si="225"/>
        <v>0</v>
      </c>
      <c r="FM46" s="82">
        <f t="shared" si="226"/>
        <v>0</v>
      </c>
      <c r="FN46" s="82">
        <f t="shared" si="227"/>
        <v>6</v>
      </c>
      <c r="FO46" s="82">
        <f t="shared" si="228"/>
        <v>53280</v>
      </c>
      <c r="FP46" s="82"/>
      <c r="FQ46" s="82"/>
      <c r="FR46" s="82">
        <f t="shared" si="229"/>
        <v>0</v>
      </c>
      <c r="FS46" s="82">
        <f t="shared" si="230"/>
        <v>0</v>
      </c>
      <c r="FT46" s="82"/>
      <c r="FU46" s="82"/>
      <c r="FV46" s="82"/>
      <c r="FW46" s="82"/>
      <c r="FX46" s="82">
        <f t="shared" si="231"/>
        <v>0</v>
      </c>
      <c r="FY46" s="82">
        <f t="shared" si="232"/>
        <v>0</v>
      </c>
      <c r="FZ46" s="82">
        <f t="shared" si="233"/>
        <v>6</v>
      </c>
      <c r="GA46" s="82">
        <f t="shared" si="234"/>
        <v>53280</v>
      </c>
      <c r="GB46" s="82">
        <f t="shared" si="235"/>
        <v>0</v>
      </c>
      <c r="GC46" s="82">
        <f t="shared" si="236"/>
        <v>0</v>
      </c>
      <c r="GD46" s="82">
        <f t="shared" si="237"/>
        <v>6</v>
      </c>
      <c r="GE46" s="82">
        <f t="shared" si="238"/>
        <v>53280</v>
      </c>
      <c r="GF46" s="95"/>
    </row>
    <row r="47" ht="29.25" customHeight="1">
      <c r="A47" s="96">
        <v>23.0</v>
      </c>
      <c r="B47" s="97"/>
      <c r="C47" s="58" t="s">
        <v>125</v>
      </c>
      <c r="D47" s="99" t="s">
        <v>126</v>
      </c>
      <c r="E47" s="79">
        <v>1320.0</v>
      </c>
      <c r="F47" s="61"/>
      <c r="G47" s="81">
        <v>3726.0</v>
      </c>
      <c r="H47" s="82">
        <v>4918320.0</v>
      </c>
      <c r="I47" s="82"/>
      <c r="J47" s="82"/>
      <c r="K47" s="82">
        <f t="shared" si="162"/>
        <v>0</v>
      </c>
      <c r="L47" s="82">
        <f t="shared" si="163"/>
        <v>0</v>
      </c>
      <c r="M47" s="82"/>
      <c r="N47" s="82"/>
      <c r="O47" s="82"/>
      <c r="P47" s="83">
        <v>20.0</v>
      </c>
      <c r="Q47" s="83">
        <v>20.0</v>
      </c>
      <c r="R47" s="82"/>
      <c r="S47" s="82"/>
      <c r="T47" s="82"/>
      <c r="U47" s="82"/>
      <c r="V47" s="83">
        <v>20.0</v>
      </c>
      <c r="W47" s="82"/>
      <c r="X47" s="82"/>
      <c r="Y47" s="82"/>
      <c r="Z47" s="82"/>
      <c r="AA47" s="82"/>
      <c r="AB47" s="82">
        <f t="shared" si="164"/>
        <v>60</v>
      </c>
      <c r="AC47" s="82">
        <f t="shared" si="165"/>
        <v>79200</v>
      </c>
      <c r="AD47" s="82">
        <f t="shared" si="89"/>
        <v>3666</v>
      </c>
      <c r="AE47" s="82">
        <f t="shared" si="166"/>
        <v>4839120</v>
      </c>
      <c r="AF47" s="82"/>
      <c r="AG47" s="82"/>
      <c r="AH47" s="82">
        <f t="shared" si="167"/>
        <v>0</v>
      </c>
      <c r="AI47" s="82">
        <f t="shared" si="168"/>
        <v>0</v>
      </c>
      <c r="AJ47" s="82"/>
      <c r="AK47" s="82"/>
      <c r="AL47" s="82"/>
      <c r="AM47" s="82"/>
      <c r="AN47" s="82">
        <f t="shared" si="169"/>
        <v>0</v>
      </c>
      <c r="AO47" s="82">
        <f t="shared" si="170"/>
        <v>0</v>
      </c>
      <c r="AP47" s="82">
        <f t="shared" si="11"/>
        <v>3666</v>
      </c>
      <c r="AQ47" s="82">
        <f t="shared" si="171"/>
        <v>4839120</v>
      </c>
      <c r="AR47" s="82"/>
      <c r="AS47" s="82"/>
      <c r="AT47" s="82"/>
      <c r="AU47" s="82">
        <f t="shared" si="172"/>
        <v>0</v>
      </c>
      <c r="AV47" s="82">
        <f t="shared" si="173"/>
        <v>0</v>
      </c>
      <c r="AW47" s="82"/>
      <c r="AX47" s="82"/>
      <c r="AY47" s="82"/>
      <c r="AZ47" s="82"/>
      <c r="BA47" s="82">
        <f t="shared" si="174"/>
        <v>0</v>
      </c>
      <c r="BB47" s="82">
        <f t="shared" si="175"/>
        <v>0</v>
      </c>
      <c r="BC47" s="82">
        <f t="shared" si="99"/>
        <v>3666</v>
      </c>
      <c r="BD47" s="82">
        <f t="shared" si="176"/>
        <v>4839120</v>
      </c>
      <c r="BE47" s="82">
        <f t="shared" si="177"/>
        <v>0</v>
      </c>
      <c r="BF47" s="82">
        <f t="shared" si="178"/>
        <v>60</v>
      </c>
      <c r="BG47" s="82">
        <f t="shared" si="103"/>
        <v>3666</v>
      </c>
      <c r="BH47" s="82">
        <f t="shared" si="179"/>
        <v>4839120</v>
      </c>
      <c r="BI47" s="82"/>
      <c r="BJ47" s="83"/>
      <c r="BK47" s="82">
        <f t="shared" si="180"/>
        <v>0</v>
      </c>
      <c r="BL47" s="82">
        <f t="shared" si="181"/>
        <v>0</v>
      </c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>
        <f t="shared" si="182"/>
        <v>0</v>
      </c>
      <c r="BX47" s="82">
        <f t="shared" si="183"/>
        <v>0</v>
      </c>
      <c r="BY47" s="82">
        <f t="shared" si="109"/>
        <v>3666</v>
      </c>
      <c r="BZ47" s="82">
        <f t="shared" si="184"/>
        <v>4839120</v>
      </c>
      <c r="CA47" s="82"/>
      <c r="CB47" s="82"/>
      <c r="CC47" s="82">
        <f t="shared" si="185"/>
        <v>0</v>
      </c>
      <c r="CD47" s="82">
        <f t="shared" si="186"/>
        <v>0</v>
      </c>
      <c r="CE47" s="83">
        <v>20.0</v>
      </c>
      <c r="CF47" s="82"/>
      <c r="CG47" s="82"/>
      <c r="CH47" s="82"/>
      <c r="CI47" s="82">
        <f t="shared" si="187"/>
        <v>20</v>
      </c>
      <c r="CJ47" s="82">
        <f t="shared" si="188"/>
        <v>26400</v>
      </c>
      <c r="CK47" s="82">
        <f t="shared" si="189"/>
        <v>3646</v>
      </c>
      <c r="CL47" s="82">
        <f t="shared" si="190"/>
        <v>4812720</v>
      </c>
      <c r="CM47" s="82"/>
      <c r="CN47" s="82"/>
      <c r="CO47" s="82">
        <f t="shared" si="35"/>
        <v>0</v>
      </c>
      <c r="CP47" s="82">
        <f t="shared" si="36"/>
        <v>0</v>
      </c>
      <c r="CQ47" s="82"/>
      <c r="CR47" s="82"/>
      <c r="CS47" s="82"/>
      <c r="CT47" s="82"/>
      <c r="CU47" s="82">
        <f t="shared" si="191"/>
        <v>0</v>
      </c>
      <c r="CV47" s="82">
        <f t="shared" si="192"/>
        <v>0</v>
      </c>
      <c r="CW47" s="82">
        <f t="shared" si="39"/>
        <v>3646</v>
      </c>
      <c r="CX47" s="82">
        <f t="shared" si="193"/>
        <v>4812720</v>
      </c>
      <c r="CY47" s="82">
        <f t="shared" si="41"/>
        <v>0</v>
      </c>
      <c r="CZ47" s="82">
        <f t="shared" si="194"/>
        <v>20</v>
      </c>
      <c r="DA47" s="82">
        <f t="shared" si="43"/>
        <v>3646</v>
      </c>
      <c r="DB47" s="82">
        <f t="shared" si="44"/>
        <v>4812720</v>
      </c>
      <c r="DC47" s="91"/>
      <c r="DD47" s="82"/>
      <c r="DE47" s="82"/>
      <c r="DF47" s="82">
        <f t="shared" si="195"/>
        <v>0</v>
      </c>
      <c r="DG47" s="82">
        <f t="shared" si="196"/>
        <v>0</v>
      </c>
      <c r="DH47" s="82"/>
      <c r="DI47" s="82"/>
      <c r="DJ47" s="82"/>
      <c r="DK47" s="82"/>
      <c r="DL47" s="82">
        <f t="shared" si="197"/>
        <v>0</v>
      </c>
      <c r="DM47" s="82">
        <f t="shared" si="198"/>
        <v>0</v>
      </c>
      <c r="DN47" s="82">
        <f t="shared" si="199"/>
        <v>3646</v>
      </c>
      <c r="DO47" s="82">
        <f t="shared" si="200"/>
        <v>4812720</v>
      </c>
      <c r="DP47" s="82"/>
      <c r="DQ47" s="82"/>
      <c r="DR47" s="82">
        <f t="shared" si="201"/>
        <v>0</v>
      </c>
      <c r="DS47" s="82">
        <f t="shared" si="202"/>
        <v>0</v>
      </c>
      <c r="DT47" s="82"/>
      <c r="DU47" s="82"/>
      <c r="DV47" s="82"/>
      <c r="DW47" s="82"/>
      <c r="DX47" s="82">
        <f t="shared" si="203"/>
        <v>0</v>
      </c>
      <c r="DY47" s="82">
        <f t="shared" si="204"/>
        <v>0</v>
      </c>
      <c r="DZ47" s="82">
        <f t="shared" si="205"/>
        <v>3646</v>
      </c>
      <c r="EA47" s="82">
        <f t="shared" si="206"/>
        <v>4812720</v>
      </c>
      <c r="EB47" s="82"/>
      <c r="EC47" s="82"/>
      <c r="ED47" s="82">
        <f t="shared" si="207"/>
        <v>0</v>
      </c>
      <c r="EE47" s="82">
        <f t="shared" si="208"/>
        <v>0</v>
      </c>
      <c r="EF47" s="82"/>
      <c r="EG47" s="82"/>
      <c r="EH47" s="82"/>
      <c r="EI47" s="82"/>
      <c r="EJ47" s="82">
        <f t="shared" si="209"/>
        <v>0</v>
      </c>
      <c r="EK47" s="82">
        <f t="shared" si="210"/>
        <v>0</v>
      </c>
      <c r="EL47" s="82">
        <f t="shared" si="211"/>
        <v>3646</v>
      </c>
      <c r="EM47" s="82">
        <f t="shared" si="212"/>
        <v>4812720</v>
      </c>
      <c r="EN47" s="82">
        <f t="shared" si="213"/>
        <v>0</v>
      </c>
      <c r="EO47" s="82">
        <f t="shared" si="214"/>
        <v>0</v>
      </c>
      <c r="EP47" s="82">
        <f t="shared" si="215"/>
        <v>3646</v>
      </c>
      <c r="EQ47" s="82">
        <f t="shared" si="216"/>
        <v>4812720</v>
      </c>
      <c r="ER47" s="82"/>
      <c r="ES47" s="82"/>
      <c r="ET47" s="82">
        <f t="shared" si="217"/>
        <v>0</v>
      </c>
      <c r="EU47" s="82">
        <f t="shared" si="218"/>
        <v>0</v>
      </c>
      <c r="EV47" s="82"/>
      <c r="EW47" s="82"/>
      <c r="EX47" s="82"/>
      <c r="EY47" s="82"/>
      <c r="EZ47" s="82">
        <f t="shared" si="219"/>
        <v>0</v>
      </c>
      <c r="FA47" s="82">
        <f t="shared" si="220"/>
        <v>0</v>
      </c>
      <c r="FB47" s="82">
        <f t="shared" si="221"/>
        <v>3646</v>
      </c>
      <c r="FC47" s="82">
        <f t="shared" si="222"/>
        <v>4812720</v>
      </c>
      <c r="FD47" s="82"/>
      <c r="FE47" s="82"/>
      <c r="FF47" s="82">
        <f t="shared" si="223"/>
        <v>0</v>
      </c>
      <c r="FG47" s="82">
        <f t="shared" si="224"/>
        <v>0</v>
      </c>
      <c r="FH47" s="82"/>
      <c r="FI47" s="82"/>
      <c r="FJ47" s="82"/>
      <c r="FK47" s="82"/>
      <c r="FL47" s="82">
        <f t="shared" si="225"/>
        <v>0</v>
      </c>
      <c r="FM47" s="82">
        <f t="shared" si="226"/>
        <v>0</v>
      </c>
      <c r="FN47" s="82">
        <f t="shared" si="227"/>
        <v>3646</v>
      </c>
      <c r="FO47" s="82">
        <f t="shared" si="228"/>
        <v>4812720</v>
      </c>
      <c r="FP47" s="82"/>
      <c r="FQ47" s="82"/>
      <c r="FR47" s="82">
        <f t="shared" si="229"/>
        <v>0</v>
      </c>
      <c r="FS47" s="82">
        <f t="shared" si="230"/>
        <v>0</v>
      </c>
      <c r="FT47" s="82"/>
      <c r="FU47" s="82"/>
      <c r="FV47" s="82"/>
      <c r="FW47" s="82"/>
      <c r="FX47" s="82">
        <f t="shared" si="231"/>
        <v>0</v>
      </c>
      <c r="FY47" s="82">
        <f t="shared" si="232"/>
        <v>0</v>
      </c>
      <c r="FZ47" s="82">
        <f t="shared" si="233"/>
        <v>3646</v>
      </c>
      <c r="GA47" s="82">
        <f t="shared" si="234"/>
        <v>4812720</v>
      </c>
      <c r="GB47" s="82">
        <f t="shared" si="235"/>
        <v>0</v>
      </c>
      <c r="GC47" s="82">
        <f t="shared" si="236"/>
        <v>0</v>
      </c>
      <c r="GD47" s="82">
        <f t="shared" si="237"/>
        <v>3646</v>
      </c>
      <c r="GE47" s="82">
        <f t="shared" si="238"/>
        <v>4812720</v>
      </c>
      <c r="GF47" s="85"/>
    </row>
    <row r="48" ht="29.25" customHeight="1">
      <c r="A48" s="96">
        <v>24.0</v>
      </c>
      <c r="B48" s="97"/>
      <c r="C48" s="58" t="s">
        <v>127</v>
      </c>
      <c r="D48" s="99" t="s">
        <v>126</v>
      </c>
      <c r="E48" s="79">
        <v>5610.0</v>
      </c>
      <c r="F48" s="61"/>
      <c r="G48" s="81">
        <v>1507.0</v>
      </c>
      <c r="H48" s="82">
        <v>8454270.0</v>
      </c>
      <c r="I48" s="82"/>
      <c r="J48" s="82"/>
      <c r="K48" s="82">
        <f t="shared" si="162"/>
        <v>0</v>
      </c>
      <c r="L48" s="82">
        <f t="shared" si="163"/>
        <v>0</v>
      </c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3"/>
      <c r="AA48" s="82"/>
      <c r="AB48" s="82">
        <f t="shared" si="164"/>
        <v>0</v>
      </c>
      <c r="AC48" s="82">
        <f t="shared" si="165"/>
        <v>0</v>
      </c>
      <c r="AD48" s="82">
        <f t="shared" si="89"/>
        <v>1507</v>
      </c>
      <c r="AE48" s="82">
        <f t="shared" si="166"/>
        <v>8454270</v>
      </c>
      <c r="AF48" s="82"/>
      <c r="AG48" s="82"/>
      <c r="AH48" s="82">
        <f t="shared" si="167"/>
        <v>0</v>
      </c>
      <c r="AI48" s="82">
        <f t="shared" si="168"/>
        <v>0</v>
      </c>
      <c r="AJ48" s="82"/>
      <c r="AK48" s="82"/>
      <c r="AL48" s="82"/>
      <c r="AM48" s="82"/>
      <c r="AN48" s="82">
        <f t="shared" si="169"/>
        <v>0</v>
      </c>
      <c r="AO48" s="82">
        <f t="shared" si="170"/>
        <v>0</v>
      </c>
      <c r="AP48" s="82">
        <f t="shared" si="11"/>
        <v>1507</v>
      </c>
      <c r="AQ48" s="82">
        <f t="shared" si="171"/>
        <v>8454270</v>
      </c>
      <c r="AR48" s="82"/>
      <c r="AS48" s="82"/>
      <c r="AT48" s="82"/>
      <c r="AU48" s="82">
        <f t="shared" si="172"/>
        <v>0</v>
      </c>
      <c r="AV48" s="82">
        <f t="shared" si="173"/>
        <v>0</v>
      </c>
      <c r="AW48" s="82"/>
      <c r="AX48" s="82"/>
      <c r="AY48" s="82"/>
      <c r="AZ48" s="82"/>
      <c r="BA48" s="82">
        <f t="shared" si="174"/>
        <v>0</v>
      </c>
      <c r="BB48" s="82">
        <f t="shared" si="175"/>
        <v>0</v>
      </c>
      <c r="BC48" s="82">
        <f t="shared" si="99"/>
        <v>1507</v>
      </c>
      <c r="BD48" s="82">
        <f t="shared" si="176"/>
        <v>8454270</v>
      </c>
      <c r="BE48" s="82">
        <f t="shared" si="177"/>
        <v>0</v>
      </c>
      <c r="BF48" s="82">
        <f t="shared" si="178"/>
        <v>0</v>
      </c>
      <c r="BG48" s="82">
        <f t="shared" si="103"/>
        <v>1507</v>
      </c>
      <c r="BH48" s="82">
        <f t="shared" si="179"/>
        <v>8454270</v>
      </c>
      <c r="BI48" s="82"/>
      <c r="BJ48" s="83"/>
      <c r="BK48" s="82">
        <f t="shared" si="180"/>
        <v>0</v>
      </c>
      <c r="BL48" s="82">
        <f t="shared" si="181"/>
        <v>0</v>
      </c>
      <c r="BM48" s="82"/>
      <c r="BN48" s="82"/>
      <c r="BO48" s="82"/>
      <c r="BP48" s="82"/>
      <c r="BQ48" s="82"/>
      <c r="BR48" s="82"/>
      <c r="BS48" s="82"/>
      <c r="BT48" s="83"/>
      <c r="BU48" s="83"/>
      <c r="BV48" s="83"/>
      <c r="BW48" s="82">
        <f t="shared" si="182"/>
        <v>0</v>
      </c>
      <c r="BX48" s="82">
        <f t="shared" si="183"/>
        <v>0</v>
      </c>
      <c r="BY48" s="82">
        <f t="shared" si="109"/>
        <v>1507</v>
      </c>
      <c r="BZ48" s="82">
        <f t="shared" si="184"/>
        <v>8454270</v>
      </c>
      <c r="CA48" s="82"/>
      <c r="CB48" s="82"/>
      <c r="CC48" s="82">
        <f t="shared" si="185"/>
        <v>0</v>
      </c>
      <c r="CD48" s="82">
        <f t="shared" si="186"/>
        <v>0</v>
      </c>
      <c r="CE48" s="82"/>
      <c r="CF48" s="82"/>
      <c r="CG48" s="82"/>
      <c r="CH48" s="82"/>
      <c r="CI48" s="82">
        <f t="shared" si="187"/>
        <v>0</v>
      </c>
      <c r="CJ48" s="82">
        <f t="shared" si="188"/>
        <v>0</v>
      </c>
      <c r="CK48" s="82">
        <f t="shared" si="189"/>
        <v>1507</v>
      </c>
      <c r="CL48" s="82">
        <f t="shared" si="190"/>
        <v>8454270</v>
      </c>
      <c r="CM48" s="82"/>
      <c r="CN48" s="82"/>
      <c r="CO48" s="82">
        <f t="shared" si="35"/>
        <v>0</v>
      </c>
      <c r="CP48" s="82">
        <f t="shared" si="36"/>
        <v>0</v>
      </c>
      <c r="CQ48" s="82"/>
      <c r="CR48" s="82"/>
      <c r="CS48" s="82"/>
      <c r="CT48" s="82"/>
      <c r="CU48" s="82">
        <f t="shared" si="191"/>
        <v>0</v>
      </c>
      <c r="CV48" s="82">
        <f t="shared" si="192"/>
        <v>0</v>
      </c>
      <c r="CW48" s="82">
        <f t="shared" si="39"/>
        <v>1507</v>
      </c>
      <c r="CX48" s="82">
        <f t="shared" si="193"/>
        <v>8454270</v>
      </c>
      <c r="CY48" s="82">
        <f t="shared" si="41"/>
        <v>0</v>
      </c>
      <c r="CZ48" s="82">
        <f t="shared" si="194"/>
        <v>0</v>
      </c>
      <c r="DA48" s="82">
        <f t="shared" si="43"/>
        <v>1507</v>
      </c>
      <c r="DB48" s="82">
        <f t="shared" si="44"/>
        <v>8454270</v>
      </c>
      <c r="DC48" s="91"/>
      <c r="DD48" s="82"/>
      <c r="DE48" s="82"/>
      <c r="DF48" s="82">
        <f t="shared" si="195"/>
        <v>0</v>
      </c>
      <c r="DG48" s="82">
        <f t="shared" si="196"/>
        <v>0</v>
      </c>
      <c r="DH48" s="82"/>
      <c r="DI48" s="82"/>
      <c r="DJ48" s="82"/>
      <c r="DK48" s="82"/>
      <c r="DL48" s="82">
        <f t="shared" si="197"/>
        <v>0</v>
      </c>
      <c r="DM48" s="82">
        <f t="shared" si="198"/>
        <v>0</v>
      </c>
      <c r="DN48" s="82">
        <f t="shared" si="199"/>
        <v>1507</v>
      </c>
      <c r="DO48" s="82">
        <f t="shared" si="200"/>
        <v>8454270</v>
      </c>
      <c r="DP48" s="82"/>
      <c r="DQ48" s="82"/>
      <c r="DR48" s="82">
        <f t="shared" si="201"/>
        <v>0</v>
      </c>
      <c r="DS48" s="82">
        <f t="shared" si="202"/>
        <v>0</v>
      </c>
      <c r="DT48" s="82"/>
      <c r="DU48" s="82"/>
      <c r="DV48" s="82"/>
      <c r="DW48" s="82"/>
      <c r="DX48" s="82">
        <f t="shared" si="203"/>
        <v>0</v>
      </c>
      <c r="DY48" s="82">
        <f t="shared" si="204"/>
        <v>0</v>
      </c>
      <c r="DZ48" s="82">
        <f t="shared" si="205"/>
        <v>1507</v>
      </c>
      <c r="EA48" s="82">
        <f t="shared" si="206"/>
        <v>8454270</v>
      </c>
      <c r="EB48" s="82"/>
      <c r="EC48" s="82"/>
      <c r="ED48" s="82">
        <f t="shared" si="207"/>
        <v>0</v>
      </c>
      <c r="EE48" s="82">
        <f t="shared" si="208"/>
        <v>0</v>
      </c>
      <c r="EF48" s="82"/>
      <c r="EG48" s="82"/>
      <c r="EH48" s="82"/>
      <c r="EI48" s="82"/>
      <c r="EJ48" s="82">
        <f t="shared" si="209"/>
        <v>0</v>
      </c>
      <c r="EK48" s="82">
        <f t="shared" si="210"/>
        <v>0</v>
      </c>
      <c r="EL48" s="82">
        <f t="shared" si="211"/>
        <v>1507</v>
      </c>
      <c r="EM48" s="82">
        <f t="shared" si="212"/>
        <v>8454270</v>
      </c>
      <c r="EN48" s="82">
        <f t="shared" si="213"/>
        <v>0</v>
      </c>
      <c r="EO48" s="82">
        <f t="shared" si="214"/>
        <v>0</v>
      </c>
      <c r="EP48" s="82">
        <f t="shared" si="215"/>
        <v>1507</v>
      </c>
      <c r="EQ48" s="82">
        <f t="shared" si="216"/>
        <v>8454270</v>
      </c>
      <c r="ER48" s="82"/>
      <c r="ES48" s="82"/>
      <c r="ET48" s="82">
        <f t="shared" si="217"/>
        <v>0</v>
      </c>
      <c r="EU48" s="82">
        <f t="shared" si="218"/>
        <v>0</v>
      </c>
      <c r="EV48" s="82"/>
      <c r="EW48" s="82"/>
      <c r="EX48" s="82"/>
      <c r="EY48" s="82"/>
      <c r="EZ48" s="82">
        <f t="shared" si="219"/>
        <v>0</v>
      </c>
      <c r="FA48" s="82">
        <f t="shared" si="220"/>
        <v>0</v>
      </c>
      <c r="FB48" s="82">
        <f t="shared" si="221"/>
        <v>1507</v>
      </c>
      <c r="FC48" s="82">
        <f t="shared" si="222"/>
        <v>8454270</v>
      </c>
      <c r="FD48" s="82"/>
      <c r="FE48" s="82"/>
      <c r="FF48" s="82">
        <f t="shared" si="223"/>
        <v>0</v>
      </c>
      <c r="FG48" s="82">
        <f t="shared" si="224"/>
        <v>0</v>
      </c>
      <c r="FH48" s="82"/>
      <c r="FI48" s="82"/>
      <c r="FJ48" s="82"/>
      <c r="FK48" s="82"/>
      <c r="FL48" s="82">
        <f t="shared" si="225"/>
        <v>0</v>
      </c>
      <c r="FM48" s="82">
        <f t="shared" si="226"/>
        <v>0</v>
      </c>
      <c r="FN48" s="82">
        <f t="shared" si="227"/>
        <v>1507</v>
      </c>
      <c r="FO48" s="82">
        <f t="shared" si="228"/>
        <v>8454270</v>
      </c>
      <c r="FP48" s="82"/>
      <c r="FQ48" s="82"/>
      <c r="FR48" s="82">
        <f t="shared" si="229"/>
        <v>0</v>
      </c>
      <c r="FS48" s="82">
        <f t="shared" si="230"/>
        <v>0</v>
      </c>
      <c r="FT48" s="82"/>
      <c r="FU48" s="82"/>
      <c r="FV48" s="82"/>
      <c r="FW48" s="82"/>
      <c r="FX48" s="82">
        <f t="shared" si="231"/>
        <v>0</v>
      </c>
      <c r="FY48" s="82">
        <f t="shared" si="232"/>
        <v>0</v>
      </c>
      <c r="FZ48" s="82">
        <f t="shared" si="233"/>
        <v>1507</v>
      </c>
      <c r="GA48" s="82">
        <f t="shared" si="234"/>
        <v>8454270</v>
      </c>
      <c r="GB48" s="82">
        <f t="shared" si="235"/>
        <v>0</v>
      </c>
      <c r="GC48" s="82">
        <f t="shared" si="236"/>
        <v>0</v>
      </c>
      <c r="GD48" s="82">
        <f t="shared" si="237"/>
        <v>1507</v>
      </c>
      <c r="GE48" s="82">
        <f t="shared" si="238"/>
        <v>8454270</v>
      </c>
      <c r="GF48" s="85"/>
    </row>
    <row r="49" ht="29.25" customHeight="1">
      <c r="A49" s="76">
        <v>25.0</v>
      </c>
      <c r="B49" s="87"/>
      <c r="C49" s="77" t="s">
        <v>128</v>
      </c>
      <c r="D49" s="92" t="s">
        <v>121</v>
      </c>
      <c r="E49" s="86">
        <v>67568.0</v>
      </c>
      <c r="F49" s="80" t="s">
        <v>86</v>
      </c>
      <c r="G49" s="81">
        <v>15.0</v>
      </c>
      <c r="H49" s="82">
        <v>1013520.0</v>
      </c>
      <c r="I49" s="82"/>
      <c r="J49" s="82"/>
      <c r="K49" s="82">
        <f t="shared" si="162"/>
        <v>0</v>
      </c>
      <c r="L49" s="82">
        <f t="shared" si="163"/>
        <v>0</v>
      </c>
      <c r="M49" s="82"/>
      <c r="N49" s="82"/>
      <c r="O49" s="82"/>
      <c r="P49" s="82"/>
      <c r="Q49" s="82"/>
      <c r="R49" s="82"/>
      <c r="S49" s="82"/>
      <c r="T49" s="82"/>
      <c r="U49" s="82"/>
      <c r="V49" s="83">
        <v>5.0</v>
      </c>
      <c r="W49" s="82"/>
      <c r="X49" s="82"/>
      <c r="Y49" s="82"/>
      <c r="Z49" s="83">
        <v>1.0</v>
      </c>
      <c r="AA49" s="82"/>
      <c r="AB49" s="82">
        <f t="shared" si="164"/>
        <v>6</v>
      </c>
      <c r="AC49" s="82">
        <f t="shared" si="165"/>
        <v>405408</v>
      </c>
      <c r="AD49" s="82">
        <f t="shared" si="89"/>
        <v>9</v>
      </c>
      <c r="AE49" s="82">
        <f t="shared" si="166"/>
        <v>608112</v>
      </c>
      <c r="AF49" s="82"/>
      <c r="AG49" s="82"/>
      <c r="AH49" s="82">
        <f t="shared" si="167"/>
        <v>0</v>
      </c>
      <c r="AI49" s="82">
        <f t="shared" si="168"/>
        <v>0</v>
      </c>
      <c r="AJ49" s="82"/>
      <c r="AK49" s="82"/>
      <c r="AL49" s="82"/>
      <c r="AM49" s="82"/>
      <c r="AN49" s="82">
        <f t="shared" si="169"/>
        <v>0</v>
      </c>
      <c r="AO49" s="82">
        <f t="shared" si="170"/>
        <v>0</v>
      </c>
      <c r="AP49" s="82">
        <f t="shared" si="11"/>
        <v>9</v>
      </c>
      <c r="AQ49" s="82">
        <f t="shared" si="171"/>
        <v>608112</v>
      </c>
      <c r="AR49" s="82"/>
      <c r="AS49" s="82"/>
      <c r="AT49" s="82"/>
      <c r="AU49" s="82">
        <f t="shared" si="172"/>
        <v>0</v>
      </c>
      <c r="AV49" s="82">
        <f t="shared" si="173"/>
        <v>0</v>
      </c>
      <c r="AW49" s="82"/>
      <c r="AX49" s="82"/>
      <c r="AY49" s="82"/>
      <c r="AZ49" s="82"/>
      <c r="BA49" s="82">
        <f t="shared" si="174"/>
        <v>0</v>
      </c>
      <c r="BB49" s="82">
        <f t="shared" si="175"/>
        <v>0</v>
      </c>
      <c r="BC49" s="82">
        <f t="shared" si="99"/>
        <v>9</v>
      </c>
      <c r="BD49" s="82">
        <f t="shared" si="176"/>
        <v>608112</v>
      </c>
      <c r="BE49" s="82">
        <f t="shared" si="177"/>
        <v>0</v>
      </c>
      <c r="BF49" s="82">
        <f t="shared" si="178"/>
        <v>6</v>
      </c>
      <c r="BG49" s="82">
        <f t="shared" si="103"/>
        <v>9</v>
      </c>
      <c r="BH49" s="82">
        <f t="shared" si="179"/>
        <v>608112</v>
      </c>
      <c r="BI49" s="82"/>
      <c r="BJ49" s="83"/>
      <c r="BK49" s="82">
        <f t="shared" si="180"/>
        <v>0</v>
      </c>
      <c r="BL49" s="82">
        <f t="shared" si="181"/>
        <v>0</v>
      </c>
      <c r="BM49" s="82"/>
      <c r="BN49" s="82"/>
      <c r="BO49" s="82"/>
      <c r="BP49" s="82"/>
      <c r="BQ49" s="82"/>
      <c r="BR49" s="82"/>
      <c r="BS49" s="82"/>
      <c r="BT49" s="82"/>
      <c r="BU49" s="82"/>
      <c r="BV49" s="83">
        <v>3.0</v>
      </c>
      <c r="BW49" s="82">
        <f t="shared" si="182"/>
        <v>3</v>
      </c>
      <c r="BX49" s="82">
        <f t="shared" si="183"/>
        <v>202704</v>
      </c>
      <c r="BY49" s="82">
        <f t="shared" si="109"/>
        <v>6</v>
      </c>
      <c r="BZ49" s="82">
        <f t="shared" si="184"/>
        <v>405408</v>
      </c>
      <c r="CA49" s="82"/>
      <c r="CB49" s="82"/>
      <c r="CC49" s="82">
        <f t="shared" si="185"/>
        <v>0</v>
      </c>
      <c r="CD49" s="82">
        <f t="shared" si="186"/>
        <v>0</v>
      </c>
      <c r="CE49" s="83">
        <v>2.0</v>
      </c>
      <c r="CF49" s="82"/>
      <c r="CG49" s="82"/>
      <c r="CH49" s="82"/>
      <c r="CI49" s="82">
        <f t="shared" si="187"/>
        <v>2</v>
      </c>
      <c r="CJ49" s="82">
        <f t="shared" si="188"/>
        <v>135136</v>
      </c>
      <c r="CK49" s="82">
        <f t="shared" si="189"/>
        <v>4</v>
      </c>
      <c r="CL49" s="82">
        <f t="shared" si="190"/>
        <v>270272</v>
      </c>
      <c r="CM49" s="82"/>
      <c r="CN49" s="82"/>
      <c r="CO49" s="82">
        <f t="shared" si="35"/>
        <v>0</v>
      </c>
      <c r="CP49" s="82">
        <f t="shared" si="36"/>
        <v>0</v>
      </c>
      <c r="CQ49" s="82"/>
      <c r="CR49" s="82"/>
      <c r="CS49" s="82"/>
      <c r="CT49" s="82"/>
      <c r="CU49" s="82">
        <f t="shared" si="191"/>
        <v>0</v>
      </c>
      <c r="CV49" s="82">
        <f t="shared" si="192"/>
        <v>0</v>
      </c>
      <c r="CW49" s="82">
        <f t="shared" si="39"/>
        <v>4</v>
      </c>
      <c r="CX49" s="82">
        <f t="shared" si="193"/>
        <v>270272</v>
      </c>
      <c r="CY49" s="82">
        <f t="shared" si="41"/>
        <v>0</v>
      </c>
      <c r="CZ49" s="82">
        <f t="shared" si="194"/>
        <v>5</v>
      </c>
      <c r="DA49" s="82">
        <f t="shared" si="43"/>
        <v>4</v>
      </c>
      <c r="DB49" s="82">
        <f t="shared" si="44"/>
        <v>270272</v>
      </c>
      <c r="DC49" s="84">
        <v>0.0</v>
      </c>
      <c r="DD49" s="82"/>
      <c r="DE49" s="82"/>
      <c r="DF49" s="82">
        <f t="shared" si="195"/>
        <v>0</v>
      </c>
      <c r="DG49" s="82">
        <f t="shared" si="196"/>
        <v>0</v>
      </c>
      <c r="DH49" s="82"/>
      <c r="DI49" s="82"/>
      <c r="DJ49" s="82"/>
      <c r="DK49" s="82"/>
      <c r="DL49" s="82">
        <f t="shared" si="197"/>
        <v>0</v>
      </c>
      <c r="DM49" s="82">
        <f t="shared" si="198"/>
        <v>0</v>
      </c>
      <c r="DN49" s="82">
        <f t="shared" si="199"/>
        <v>4</v>
      </c>
      <c r="DO49" s="82">
        <f t="shared" si="200"/>
        <v>270272</v>
      </c>
      <c r="DP49" s="82"/>
      <c r="DQ49" s="82"/>
      <c r="DR49" s="82">
        <f t="shared" si="201"/>
        <v>0</v>
      </c>
      <c r="DS49" s="82">
        <f t="shared" si="202"/>
        <v>0</v>
      </c>
      <c r="DT49" s="82"/>
      <c r="DU49" s="82"/>
      <c r="DV49" s="82"/>
      <c r="DW49" s="82"/>
      <c r="DX49" s="82">
        <f t="shared" si="203"/>
        <v>0</v>
      </c>
      <c r="DY49" s="82">
        <f t="shared" si="204"/>
        <v>0</v>
      </c>
      <c r="DZ49" s="82">
        <f t="shared" si="205"/>
        <v>4</v>
      </c>
      <c r="EA49" s="82">
        <f t="shared" si="206"/>
        <v>270272</v>
      </c>
      <c r="EB49" s="82"/>
      <c r="EC49" s="82"/>
      <c r="ED49" s="82">
        <f t="shared" si="207"/>
        <v>0</v>
      </c>
      <c r="EE49" s="82">
        <f t="shared" si="208"/>
        <v>0</v>
      </c>
      <c r="EF49" s="82"/>
      <c r="EG49" s="82"/>
      <c r="EH49" s="82"/>
      <c r="EI49" s="82"/>
      <c r="EJ49" s="82">
        <f t="shared" si="209"/>
        <v>0</v>
      </c>
      <c r="EK49" s="82">
        <f t="shared" si="210"/>
        <v>0</v>
      </c>
      <c r="EL49" s="82">
        <f t="shared" si="211"/>
        <v>4</v>
      </c>
      <c r="EM49" s="82">
        <f t="shared" si="212"/>
        <v>270272</v>
      </c>
      <c r="EN49" s="82">
        <f t="shared" si="213"/>
        <v>0</v>
      </c>
      <c r="EO49" s="82">
        <f t="shared" si="214"/>
        <v>0</v>
      </c>
      <c r="EP49" s="82">
        <f t="shared" si="215"/>
        <v>4</v>
      </c>
      <c r="EQ49" s="82">
        <f t="shared" si="216"/>
        <v>270272</v>
      </c>
      <c r="ER49" s="82"/>
      <c r="ES49" s="82"/>
      <c r="ET49" s="82">
        <f t="shared" si="217"/>
        <v>0</v>
      </c>
      <c r="EU49" s="82">
        <f t="shared" si="218"/>
        <v>0</v>
      </c>
      <c r="EV49" s="82"/>
      <c r="EW49" s="82"/>
      <c r="EX49" s="82"/>
      <c r="EY49" s="82"/>
      <c r="EZ49" s="82">
        <f t="shared" si="219"/>
        <v>0</v>
      </c>
      <c r="FA49" s="82">
        <f t="shared" si="220"/>
        <v>0</v>
      </c>
      <c r="FB49" s="82">
        <f t="shared" si="221"/>
        <v>4</v>
      </c>
      <c r="FC49" s="82">
        <f t="shared" si="222"/>
        <v>270272</v>
      </c>
      <c r="FD49" s="82"/>
      <c r="FE49" s="82"/>
      <c r="FF49" s="82">
        <f t="shared" si="223"/>
        <v>0</v>
      </c>
      <c r="FG49" s="82">
        <f t="shared" si="224"/>
        <v>0</v>
      </c>
      <c r="FH49" s="82"/>
      <c r="FI49" s="82"/>
      <c r="FJ49" s="82"/>
      <c r="FK49" s="82"/>
      <c r="FL49" s="82">
        <f t="shared" si="225"/>
        <v>0</v>
      </c>
      <c r="FM49" s="82">
        <f t="shared" si="226"/>
        <v>0</v>
      </c>
      <c r="FN49" s="82">
        <f t="shared" si="227"/>
        <v>4</v>
      </c>
      <c r="FO49" s="82">
        <f t="shared" si="228"/>
        <v>270272</v>
      </c>
      <c r="FP49" s="82"/>
      <c r="FQ49" s="82"/>
      <c r="FR49" s="82">
        <f t="shared" si="229"/>
        <v>0</v>
      </c>
      <c r="FS49" s="82">
        <f t="shared" si="230"/>
        <v>0</v>
      </c>
      <c r="FT49" s="82"/>
      <c r="FU49" s="82"/>
      <c r="FV49" s="82"/>
      <c r="FW49" s="82"/>
      <c r="FX49" s="82">
        <f t="shared" si="231"/>
        <v>0</v>
      </c>
      <c r="FY49" s="82">
        <f t="shared" si="232"/>
        <v>0</v>
      </c>
      <c r="FZ49" s="82">
        <f t="shared" si="233"/>
        <v>4</v>
      </c>
      <c r="GA49" s="82">
        <f t="shared" si="234"/>
        <v>270272</v>
      </c>
      <c r="GB49" s="82">
        <f t="shared" si="235"/>
        <v>0</v>
      </c>
      <c r="GC49" s="82">
        <f t="shared" si="236"/>
        <v>0</v>
      </c>
      <c r="GD49" s="82">
        <f t="shared" si="237"/>
        <v>4</v>
      </c>
      <c r="GE49" s="82">
        <f t="shared" si="238"/>
        <v>270272</v>
      </c>
      <c r="GF49" s="85"/>
    </row>
    <row r="50" ht="29.25" customHeight="1">
      <c r="A50" s="16"/>
      <c r="B50" s="16"/>
      <c r="C50" s="88" t="s">
        <v>129</v>
      </c>
      <c r="D50" s="92" t="s">
        <v>121</v>
      </c>
      <c r="E50" s="86">
        <v>67568.0</v>
      </c>
      <c r="F50" s="80" t="s">
        <v>86</v>
      </c>
      <c r="G50" s="81">
        <v>14.0</v>
      </c>
      <c r="H50" s="82">
        <v>945952.0</v>
      </c>
      <c r="I50" s="82"/>
      <c r="J50" s="82"/>
      <c r="K50" s="82">
        <f t="shared" si="162"/>
        <v>0</v>
      </c>
      <c r="L50" s="82">
        <f t="shared" si="163"/>
        <v>0</v>
      </c>
      <c r="M50" s="82"/>
      <c r="N50" s="82"/>
      <c r="O50" s="82"/>
      <c r="P50" s="82"/>
      <c r="Q50" s="83">
        <v>1.0</v>
      </c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>
        <f t="shared" si="164"/>
        <v>1</v>
      </c>
      <c r="AC50" s="82">
        <f t="shared" si="165"/>
        <v>67568</v>
      </c>
      <c r="AD50" s="82">
        <f t="shared" si="89"/>
        <v>13</v>
      </c>
      <c r="AE50" s="82">
        <f t="shared" si="166"/>
        <v>878384</v>
      </c>
      <c r="AF50" s="82"/>
      <c r="AG50" s="82"/>
      <c r="AH50" s="82">
        <f t="shared" si="167"/>
        <v>0</v>
      </c>
      <c r="AI50" s="82">
        <f t="shared" si="168"/>
        <v>0</v>
      </c>
      <c r="AJ50" s="82"/>
      <c r="AK50" s="82"/>
      <c r="AL50" s="82"/>
      <c r="AM50" s="82"/>
      <c r="AN50" s="82">
        <f t="shared" si="169"/>
        <v>0</v>
      </c>
      <c r="AO50" s="82">
        <f t="shared" si="170"/>
        <v>0</v>
      </c>
      <c r="AP50" s="82">
        <f t="shared" si="11"/>
        <v>13</v>
      </c>
      <c r="AQ50" s="82">
        <f t="shared" si="171"/>
        <v>878384</v>
      </c>
      <c r="AR50" s="82"/>
      <c r="AS50" s="82"/>
      <c r="AT50" s="82"/>
      <c r="AU50" s="82">
        <f t="shared" si="172"/>
        <v>0</v>
      </c>
      <c r="AV50" s="82">
        <f t="shared" si="173"/>
        <v>0</v>
      </c>
      <c r="AW50" s="82"/>
      <c r="AX50" s="82"/>
      <c r="AY50" s="82"/>
      <c r="AZ50" s="82"/>
      <c r="BA50" s="82">
        <f t="shared" si="174"/>
        <v>0</v>
      </c>
      <c r="BB50" s="82">
        <f t="shared" si="175"/>
        <v>0</v>
      </c>
      <c r="BC50" s="82">
        <f t="shared" si="99"/>
        <v>13</v>
      </c>
      <c r="BD50" s="82">
        <f t="shared" si="176"/>
        <v>878384</v>
      </c>
      <c r="BE50" s="82">
        <f t="shared" si="177"/>
        <v>0</v>
      </c>
      <c r="BF50" s="82">
        <f t="shared" si="178"/>
        <v>1</v>
      </c>
      <c r="BG50" s="82">
        <f t="shared" si="103"/>
        <v>13</v>
      </c>
      <c r="BH50" s="82">
        <f t="shared" si="179"/>
        <v>878384</v>
      </c>
      <c r="BI50" s="82"/>
      <c r="BJ50" s="83"/>
      <c r="BK50" s="82">
        <f t="shared" si="180"/>
        <v>0</v>
      </c>
      <c r="BL50" s="82">
        <f t="shared" si="181"/>
        <v>0</v>
      </c>
      <c r="BM50" s="82"/>
      <c r="BN50" s="82"/>
      <c r="BO50" s="82"/>
      <c r="BP50" s="82"/>
      <c r="BQ50" s="82"/>
      <c r="BR50" s="82"/>
      <c r="BS50" s="83">
        <v>4.0</v>
      </c>
      <c r="BT50" s="82"/>
      <c r="BU50" s="82"/>
      <c r="BV50" s="82"/>
      <c r="BW50" s="82">
        <f t="shared" si="182"/>
        <v>4</v>
      </c>
      <c r="BX50" s="82">
        <f t="shared" si="183"/>
        <v>270272</v>
      </c>
      <c r="BY50" s="82">
        <f t="shared" si="109"/>
        <v>9</v>
      </c>
      <c r="BZ50" s="82">
        <f t="shared" si="184"/>
        <v>608112</v>
      </c>
      <c r="CA50" s="82"/>
      <c r="CB50" s="82"/>
      <c r="CC50" s="82">
        <f t="shared" si="185"/>
        <v>0</v>
      </c>
      <c r="CD50" s="82">
        <f t="shared" si="186"/>
        <v>0</v>
      </c>
      <c r="CE50" s="82"/>
      <c r="CF50" s="82"/>
      <c r="CG50" s="82"/>
      <c r="CH50" s="82"/>
      <c r="CI50" s="82">
        <f t="shared" si="187"/>
        <v>0</v>
      </c>
      <c r="CJ50" s="82">
        <f t="shared" si="188"/>
        <v>0</v>
      </c>
      <c r="CK50" s="82">
        <f t="shared" si="189"/>
        <v>9</v>
      </c>
      <c r="CL50" s="82">
        <f t="shared" si="190"/>
        <v>608112</v>
      </c>
      <c r="CM50" s="82"/>
      <c r="CN50" s="82"/>
      <c r="CO50" s="82">
        <f t="shared" si="35"/>
        <v>0</v>
      </c>
      <c r="CP50" s="82">
        <f t="shared" si="36"/>
        <v>0</v>
      </c>
      <c r="CQ50" s="82"/>
      <c r="CR50" s="82"/>
      <c r="CS50" s="82"/>
      <c r="CT50" s="82"/>
      <c r="CU50" s="82">
        <f t="shared" si="191"/>
        <v>0</v>
      </c>
      <c r="CV50" s="82">
        <f t="shared" si="192"/>
        <v>0</v>
      </c>
      <c r="CW50" s="82">
        <f t="shared" si="39"/>
        <v>9</v>
      </c>
      <c r="CX50" s="82">
        <f t="shared" si="193"/>
        <v>608112</v>
      </c>
      <c r="CY50" s="82">
        <f t="shared" si="41"/>
        <v>0</v>
      </c>
      <c r="CZ50" s="82">
        <f t="shared" si="194"/>
        <v>4</v>
      </c>
      <c r="DA50" s="82">
        <f t="shared" si="43"/>
        <v>9</v>
      </c>
      <c r="DB50" s="82">
        <f t="shared" si="44"/>
        <v>608112</v>
      </c>
      <c r="DC50" s="84">
        <v>8.0</v>
      </c>
      <c r="DD50" s="82"/>
      <c r="DE50" s="82"/>
      <c r="DF50" s="82">
        <f t="shared" si="195"/>
        <v>0</v>
      </c>
      <c r="DG50" s="82">
        <f t="shared" si="196"/>
        <v>0</v>
      </c>
      <c r="DH50" s="82"/>
      <c r="DI50" s="82"/>
      <c r="DJ50" s="82"/>
      <c r="DK50" s="82"/>
      <c r="DL50" s="82">
        <f t="shared" si="197"/>
        <v>0</v>
      </c>
      <c r="DM50" s="82">
        <f t="shared" si="198"/>
        <v>0</v>
      </c>
      <c r="DN50" s="82">
        <f t="shared" si="199"/>
        <v>9</v>
      </c>
      <c r="DO50" s="82">
        <f t="shared" si="200"/>
        <v>608112</v>
      </c>
      <c r="DP50" s="82"/>
      <c r="DQ50" s="82"/>
      <c r="DR50" s="82">
        <f t="shared" si="201"/>
        <v>0</v>
      </c>
      <c r="DS50" s="82">
        <f t="shared" si="202"/>
        <v>0</v>
      </c>
      <c r="DT50" s="82"/>
      <c r="DU50" s="82"/>
      <c r="DV50" s="82"/>
      <c r="DW50" s="82"/>
      <c r="DX50" s="82">
        <f t="shared" si="203"/>
        <v>0</v>
      </c>
      <c r="DY50" s="82">
        <f t="shared" si="204"/>
        <v>0</v>
      </c>
      <c r="DZ50" s="82">
        <f t="shared" si="205"/>
        <v>9</v>
      </c>
      <c r="EA50" s="82">
        <f t="shared" si="206"/>
        <v>608112</v>
      </c>
      <c r="EB50" s="82"/>
      <c r="EC50" s="82"/>
      <c r="ED50" s="82">
        <f t="shared" si="207"/>
        <v>0</v>
      </c>
      <c r="EE50" s="82">
        <f t="shared" si="208"/>
        <v>0</v>
      </c>
      <c r="EF50" s="82"/>
      <c r="EG50" s="82"/>
      <c r="EH50" s="82"/>
      <c r="EI50" s="82"/>
      <c r="EJ50" s="82">
        <f t="shared" si="209"/>
        <v>0</v>
      </c>
      <c r="EK50" s="82">
        <f t="shared" si="210"/>
        <v>0</v>
      </c>
      <c r="EL50" s="82">
        <f t="shared" si="211"/>
        <v>9</v>
      </c>
      <c r="EM50" s="82">
        <f t="shared" si="212"/>
        <v>608112</v>
      </c>
      <c r="EN50" s="82">
        <f t="shared" si="213"/>
        <v>0</v>
      </c>
      <c r="EO50" s="82">
        <f t="shared" si="214"/>
        <v>0</v>
      </c>
      <c r="EP50" s="82">
        <f t="shared" si="215"/>
        <v>9</v>
      </c>
      <c r="EQ50" s="82">
        <f t="shared" si="216"/>
        <v>608112</v>
      </c>
      <c r="ER50" s="82"/>
      <c r="ES50" s="82"/>
      <c r="ET50" s="82">
        <f t="shared" si="217"/>
        <v>0</v>
      </c>
      <c r="EU50" s="82">
        <f t="shared" si="218"/>
        <v>0</v>
      </c>
      <c r="EV50" s="82"/>
      <c r="EW50" s="82"/>
      <c r="EX50" s="82"/>
      <c r="EY50" s="82"/>
      <c r="EZ50" s="82">
        <f t="shared" si="219"/>
        <v>0</v>
      </c>
      <c r="FA50" s="82">
        <f t="shared" si="220"/>
        <v>0</v>
      </c>
      <c r="FB50" s="82">
        <f t="shared" si="221"/>
        <v>9</v>
      </c>
      <c r="FC50" s="82">
        <f t="shared" si="222"/>
        <v>608112</v>
      </c>
      <c r="FD50" s="82"/>
      <c r="FE50" s="82"/>
      <c r="FF50" s="82">
        <f t="shared" si="223"/>
        <v>0</v>
      </c>
      <c r="FG50" s="82">
        <f t="shared" si="224"/>
        <v>0</v>
      </c>
      <c r="FH50" s="82"/>
      <c r="FI50" s="82"/>
      <c r="FJ50" s="82"/>
      <c r="FK50" s="82"/>
      <c r="FL50" s="82">
        <f t="shared" si="225"/>
        <v>0</v>
      </c>
      <c r="FM50" s="82">
        <f t="shared" si="226"/>
        <v>0</v>
      </c>
      <c r="FN50" s="82">
        <f t="shared" si="227"/>
        <v>9</v>
      </c>
      <c r="FO50" s="82">
        <f t="shared" si="228"/>
        <v>608112</v>
      </c>
      <c r="FP50" s="82"/>
      <c r="FQ50" s="82"/>
      <c r="FR50" s="82">
        <f t="shared" si="229"/>
        <v>0</v>
      </c>
      <c r="FS50" s="82">
        <f t="shared" si="230"/>
        <v>0</v>
      </c>
      <c r="FT50" s="82"/>
      <c r="FU50" s="82"/>
      <c r="FV50" s="82"/>
      <c r="FW50" s="82"/>
      <c r="FX50" s="82">
        <f t="shared" si="231"/>
        <v>0</v>
      </c>
      <c r="FY50" s="82">
        <f t="shared" si="232"/>
        <v>0</v>
      </c>
      <c r="FZ50" s="82">
        <f t="shared" si="233"/>
        <v>9</v>
      </c>
      <c r="GA50" s="82">
        <f t="shared" si="234"/>
        <v>608112</v>
      </c>
      <c r="GB50" s="82">
        <f t="shared" si="235"/>
        <v>0</v>
      </c>
      <c r="GC50" s="82">
        <f t="shared" si="236"/>
        <v>0</v>
      </c>
      <c r="GD50" s="82">
        <f t="shared" si="237"/>
        <v>9</v>
      </c>
      <c r="GE50" s="82">
        <f t="shared" si="238"/>
        <v>608112</v>
      </c>
      <c r="GF50" s="85"/>
    </row>
    <row r="51" ht="29.25" customHeight="1">
      <c r="A51" s="76">
        <v>26.0</v>
      </c>
      <c r="B51" s="87"/>
      <c r="C51" s="77" t="s">
        <v>130</v>
      </c>
      <c r="D51" s="78" t="s">
        <v>121</v>
      </c>
      <c r="E51" s="86">
        <v>17117.0</v>
      </c>
      <c r="F51" s="80" t="s">
        <v>86</v>
      </c>
      <c r="G51" s="81">
        <v>25.0</v>
      </c>
      <c r="H51" s="82">
        <v>427925.0</v>
      </c>
      <c r="I51" s="82"/>
      <c r="J51" s="82"/>
      <c r="K51" s="82">
        <f t="shared" si="162"/>
        <v>0</v>
      </c>
      <c r="L51" s="82">
        <f t="shared" si="163"/>
        <v>0</v>
      </c>
      <c r="M51" s="82"/>
      <c r="N51" s="82"/>
      <c r="O51" s="82"/>
      <c r="P51" s="82"/>
      <c r="Q51" s="82"/>
      <c r="R51" s="82"/>
      <c r="S51" s="82"/>
      <c r="T51" s="82"/>
      <c r="U51" s="82"/>
      <c r="V51" s="83">
        <v>5.0</v>
      </c>
      <c r="W51" s="82"/>
      <c r="X51" s="82"/>
      <c r="Y51" s="82"/>
      <c r="Z51" s="83">
        <v>2.0</v>
      </c>
      <c r="AA51" s="82"/>
      <c r="AB51" s="82">
        <f t="shared" si="164"/>
        <v>7</v>
      </c>
      <c r="AC51" s="82">
        <f t="shared" si="165"/>
        <v>119819</v>
      </c>
      <c r="AD51" s="82">
        <f t="shared" si="89"/>
        <v>18</v>
      </c>
      <c r="AE51" s="82">
        <f t="shared" si="166"/>
        <v>308106</v>
      </c>
      <c r="AF51" s="82"/>
      <c r="AG51" s="82"/>
      <c r="AH51" s="82">
        <f t="shared" si="167"/>
        <v>0</v>
      </c>
      <c r="AI51" s="82">
        <f t="shared" si="168"/>
        <v>0</v>
      </c>
      <c r="AJ51" s="82"/>
      <c r="AK51" s="82"/>
      <c r="AL51" s="82"/>
      <c r="AM51" s="82"/>
      <c r="AN51" s="82">
        <f t="shared" si="169"/>
        <v>0</v>
      </c>
      <c r="AO51" s="82">
        <f t="shared" si="170"/>
        <v>0</v>
      </c>
      <c r="AP51" s="82">
        <f t="shared" si="11"/>
        <v>18</v>
      </c>
      <c r="AQ51" s="82">
        <f t="shared" si="171"/>
        <v>308106</v>
      </c>
      <c r="AR51" s="82"/>
      <c r="AS51" s="82"/>
      <c r="AT51" s="82"/>
      <c r="AU51" s="82">
        <f t="shared" si="172"/>
        <v>0</v>
      </c>
      <c r="AV51" s="82">
        <f t="shared" si="173"/>
        <v>0</v>
      </c>
      <c r="AW51" s="82"/>
      <c r="AX51" s="82"/>
      <c r="AY51" s="82"/>
      <c r="AZ51" s="82"/>
      <c r="BA51" s="82">
        <f t="shared" si="174"/>
        <v>0</v>
      </c>
      <c r="BB51" s="82">
        <f t="shared" si="175"/>
        <v>0</v>
      </c>
      <c r="BC51" s="82">
        <f t="shared" si="99"/>
        <v>18</v>
      </c>
      <c r="BD51" s="82">
        <f t="shared" si="176"/>
        <v>308106</v>
      </c>
      <c r="BE51" s="82">
        <f t="shared" si="177"/>
        <v>0</v>
      </c>
      <c r="BF51" s="82">
        <f t="shared" si="178"/>
        <v>7</v>
      </c>
      <c r="BG51" s="82">
        <f t="shared" si="103"/>
        <v>18</v>
      </c>
      <c r="BH51" s="82">
        <f t="shared" si="179"/>
        <v>308106</v>
      </c>
      <c r="BI51" s="82"/>
      <c r="BJ51" s="83"/>
      <c r="BK51" s="82">
        <f t="shared" si="180"/>
        <v>0</v>
      </c>
      <c r="BL51" s="82">
        <f t="shared" si="181"/>
        <v>0</v>
      </c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>
        <f t="shared" si="182"/>
        <v>0</v>
      </c>
      <c r="BX51" s="82">
        <f t="shared" si="183"/>
        <v>0</v>
      </c>
      <c r="BY51" s="82">
        <f t="shared" si="109"/>
        <v>18</v>
      </c>
      <c r="BZ51" s="82">
        <f t="shared" si="184"/>
        <v>308106</v>
      </c>
      <c r="CA51" s="82"/>
      <c r="CB51" s="82"/>
      <c r="CC51" s="82">
        <f t="shared" si="185"/>
        <v>0</v>
      </c>
      <c r="CD51" s="82">
        <f t="shared" si="186"/>
        <v>0</v>
      </c>
      <c r="CE51" s="82"/>
      <c r="CF51" s="82"/>
      <c r="CG51" s="82"/>
      <c r="CH51" s="82"/>
      <c r="CI51" s="82">
        <f t="shared" si="187"/>
        <v>0</v>
      </c>
      <c r="CJ51" s="82">
        <f t="shared" si="188"/>
        <v>0</v>
      </c>
      <c r="CK51" s="82">
        <f t="shared" si="189"/>
        <v>18</v>
      </c>
      <c r="CL51" s="82">
        <f t="shared" si="190"/>
        <v>308106</v>
      </c>
      <c r="CM51" s="82"/>
      <c r="CN51" s="82"/>
      <c r="CO51" s="82">
        <f t="shared" si="35"/>
        <v>0</v>
      </c>
      <c r="CP51" s="82">
        <f t="shared" si="36"/>
        <v>0</v>
      </c>
      <c r="CQ51" s="82"/>
      <c r="CR51" s="82"/>
      <c r="CS51" s="82"/>
      <c r="CT51" s="82"/>
      <c r="CU51" s="82">
        <f t="shared" si="191"/>
        <v>0</v>
      </c>
      <c r="CV51" s="82">
        <f t="shared" si="192"/>
        <v>0</v>
      </c>
      <c r="CW51" s="82">
        <f t="shared" si="39"/>
        <v>18</v>
      </c>
      <c r="CX51" s="82">
        <f t="shared" si="193"/>
        <v>308106</v>
      </c>
      <c r="CY51" s="82">
        <f t="shared" si="41"/>
        <v>0</v>
      </c>
      <c r="CZ51" s="82">
        <f t="shared" si="194"/>
        <v>0</v>
      </c>
      <c r="DA51" s="82">
        <f t="shared" si="43"/>
        <v>18</v>
      </c>
      <c r="DB51" s="82">
        <f t="shared" si="44"/>
        <v>308106</v>
      </c>
      <c r="DC51" s="84">
        <v>17.0</v>
      </c>
      <c r="DD51" s="82"/>
      <c r="DE51" s="82"/>
      <c r="DF51" s="82">
        <f t="shared" si="195"/>
        <v>0</v>
      </c>
      <c r="DG51" s="82">
        <f t="shared" si="196"/>
        <v>0</v>
      </c>
      <c r="DH51" s="82"/>
      <c r="DI51" s="82"/>
      <c r="DJ51" s="82"/>
      <c r="DK51" s="82"/>
      <c r="DL51" s="82">
        <f t="shared" si="197"/>
        <v>0</v>
      </c>
      <c r="DM51" s="82">
        <f t="shared" si="198"/>
        <v>0</v>
      </c>
      <c r="DN51" s="82">
        <f t="shared" si="199"/>
        <v>18</v>
      </c>
      <c r="DO51" s="82">
        <f t="shared" si="200"/>
        <v>308106</v>
      </c>
      <c r="DP51" s="82"/>
      <c r="DQ51" s="82"/>
      <c r="DR51" s="82">
        <f t="shared" si="201"/>
        <v>0</v>
      </c>
      <c r="DS51" s="82">
        <f t="shared" si="202"/>
        <v>0</v>
      </c>
      <c r="DT51" s="82"/>
      <c r="DU51" s="82"/>
      <c r="DV51" s="82"/>
      <c r="DW51" s="82"/>
      <c r="DX51" s="82">
        <f t="shared" si="203"/>
        <v>0</v>
      </c>
      <c r="DY51" s="82">
        <f t="shared" si="204"/>
        <v>0</v>
      </c>
      <c r="DZ51" s="82">
        <f t="shared" si="205"/>
        <v>18</v>
      </c>
      <c r="EA51" s="82">
        <f t="shared" si="206"/>
        <v>308106</v>
      </c>
      <c r="EB51" s="82"/>
      <c r="EC51" s="82"/>
      <c r="ED51" s="82">
        <f t="shared" si="207"/>
        <v>0</v>
      </c>
      <c r="EE51" s="82">
        <f t="shared" si="208"/>
        <v>0</v>
      </c>
      <c r="EF51" s="82"/>
      <c r="EG51" s="82"/>
      <c r="EH51" s="82"/>
      <c r="EI51" s="82"/>
      <c r="EJ51" s="82">
        <f t="shared" si="209"/>
        <v>0</v>
      </c>
      <c r="EK51" s="82">
        <f t="shared" si="210"/>
        <v>0</v>
      </c>
      <c r="EL51" s="82">
        <f t="shared" si="211"/>
        <v>18</v>
      </c>
      <c r="EM51" s="82">
        <f t="shared" si="212"/>
        <v>308106</v>
      </c>
      <c r="EN51" s="82">
        <f t="shared" si="213"/>
        <v>0</v>
      </c>
      <c r="EO51" s="82">
        <f t="shared" si="214"/>
        <v>0</v>
      </c>
      <c r="EP51" s="82">
        <f t="shared" si="215"/>
        <v>18</v>
      </c>
      <c r="EQ51" s="82">
        <f t="shared" si="216"/>
        <v>308106</v>
      </c>
      <c r="ER51" s="82"/>
      <c r="ES51" s="82"/>
      <c r="ET51" s="82">
        <f t="shared" si="217"/>
        <v>0</v>
      </c>
      <c r="EU51" s="82">
        <f t="shared" si="218"/>
        <v>0</v>
      </c>
      <c r="EV51" s="82"/>
      <c r="EW51" s="82"/>
      <c r="EX51" s="82"/>
      <c r="EY51" s="82"/>
      <c r="EZ51" s="82">
        <f t="shared" si="219"/>
        <v>0</v>
      </c>
      <c r="FA51" s="82">
        <f t="shared" si="220"/>
        <v>0</v>
      </c>
      <c r="FB51" s="82">
        <f t="shared" si="221"/>
        <v>18</v>
      </c>
      <c r="FC51" s="82">
        <f t="shared" si="222"/>
        <v>308106</v>
      </c>
      <c r="FD51" s="82"/>
      <c r="FE51" s="82"/>
      <c r="FF51" s="82">
        <f t="shared" si="223"/>
        <v>0</v>
      </c>
      <c r="FG51" s="82">
        <f t="shared" si="224"/>
        <v>0</v>
      </c>
      <c r="FH51" s="82"/>
      <c r="FI51" s="82"/>
      <c r="FJ51" s="82"/>
      <c r="FK51" s="82"/>
      <c r="FL51" s="82">
        <f t="shared" si="225"/>
        <v>0</v>
      </c>
      <c r="FM51" s="82">
        <f t="shared" si="226"/>
        <v>0</v>
      </c>
      <c r="FN51" s="82">
        <f t="shared" si="227"/>
        <v>18</v>
      </c>
      <c r="FO51" s="82">
        <f t="shared" si="228"/>
        <v>308106</v>
      </c>
      <c r="FP51" s="82"/>
      <c r="FQ51" s="82"/>
      <c r="FR51" s="82">
        <f t="shared" si="229"/>
        <v>0</v>
      </c>
      <c r="FS51" s="82">
        <f t="shared" si="230"/>
        <v>0</v>
      </c>
      <c r="FT51" s="82"/>
      <c r="FU51" s="82"/>
      <c r="FV51" s="82"/>
      <c r="FW51" s="82"/>
      <c r="FX51" s="82">
        <f t="shared" si="231"/>
        <v>0</v>
      </c>
      <c r="FY51" s="82">
        <f t="shared" si="232"/>
        <v>0</v>
      </c>
      <c r="FZ51" s="82">
        <f t="shared" si="233"/>
        <v>18</v>
      </c>
      <c r="GA51" s="82">
        <f t="shared" si="234"/>
        <v>308106</v>
      </c>
      <c r="GB51" s="82">
        <f t="shared" si="235"/>
        <v>0</v>
      </c>
      <c r="GC51" s="82">
        <f t="shared" si="236"/>
        <v>0</v>
      </c>
      <c r="GD51" s="82">
        <f t="shared" si="237"/>
        <v>18</v>
      </c>
      <c r="GE51" s="82">
        <f t="shared" si="238"/>
        <v>308106</v>
      </c>
      <c r="GF51" s="85"/>
    </row>
    <row r="52" ht="29.25" customHeight="1">
      <c r="A52" s="76">
        <v>27.0</v>
      </c>
      <c r="B52" s="87"/>
      <c r="C52" s="77" t="s">
        <v>131</v>
      </c>
      <c r="D52" s="78" t="s">
        <v>121</v>
      </c>
      <c r="E52" s="79">
        <v>9570.0</v>
      </c>
      <c r="F52" s="61"/>
      <c r="G52" s="81">
        <v>3.0</v>
      </c>
      <c r="H52" s="82">
        <v>28710.0</v>
      </c>
      <c r="I52" s="82"/>
      <c r="J52" s="82"/>
      <c r="K52" s="82">
        <f t="shared" si="162"/>
        <v>0</v>
      </c>
      <c r="L52" s="82">
        <f t="shared" si="163"/>
        <v>0</v>
      </c>
      <c r="M52" s="82"/>
      <c r="N52" s="82"/>
      <c r="O52" s="82"/>
      <c r="P52" s="82"/>
      <c r="Q52" s="82"/>
      <c r="R52" s="82"/>
      <c r="S52" s="82"/>
      <c r="T52" s="82"/>
      <c r="U52" s="82"/>
      <c r="V52" s="83">
        <v>3.0</v>
      </c>
      <c r="W52" s="82"/>
      <c r="X52" s="82"/>
      <c r="Y52" s="82"/>
      <c r="Z52" s="82"/>
      <c r="AA52" s="82"/>
      <c r="AB52" s="82">
        <f t="shared" si="164"/>
        <v>3</v>
      </c>
      <c r="AC52" s="82">
        <f t="shared" si="165"/>
        <v>28710</v>
      </c>
      <c r="AD52" s="82">
        <f t="shared" si="89"/>
        <v>0</v>
      </c>
      <c r="AE52" s="82">
        <f t="shared" si="166"/>
        <v>0</v>
      </c>
      <c r="AF52" s="82"/>
      <c r="AG52" s="82"/>
      <c r="AH52" s="82">
        <f t="shared" si="167"/>
        <v>0</v>
      </c>
      <c r="AI52" s="82">
        <f t="shared" si="168"/>
        <v>0</v>
      </c>
      <c r="AJ52" s="82"/>
      <c r="AK52" s="82"/>
      <c r="AL52" s="82"/>
      <c r="AM52" s="82"/>
      <c r="AN52" s="82">
        <f t="shared" si="169"/>
        <v>0</v>
      </c>
      <c r="AO52" s="82">
        <f t="shared" si="170"/>
        <v>0</v>
      </c>
      <c r="AP52" s="82">
        <f t="shared" si="11"/>
        <v>0</v>
      </c>
      <c r="AQ52" s="82">
        <f t="shared" si="171"/>
        <v>0</v>
      </c>
      <c r="AR52" s="82"/>
      <c r="AS52" s="82"/>
      <c r="AT52" s="82"/>
      <c r="AU52" s="82">
        <f t="shared" si="172"/>
        <v>0</v>
      </c>
      <c r="AV52" s="82">
        <f t="shared" si="173"/>
        <v>0</v>
      </c>
      <c r="AW52" s="82"/>
      <c r="AX52" s="82"/>
      <c r="AY52" s="82"/>
      <c r="AZ52" s="82"/>
      <c r="BA52" s="82">
        <f t="shared" si="174"/>
        <v>0</v>
      </c>
      <c r="BB52" s="82">
        <f t="shared" si="175"/>
        <v>0</v>
      </c>
      <c r="BC52" s="82">
        <f t="shared" si="99"/>
        <v>0</v>
      </c>
      <c r="BD52" s="82">
        <f t="shared" si="176"/>
        <v>0</v>
      </c>
      <c r="BE52" s="82">
        <f t="shared" si="177"/>
        <v>0</v>
      </c>
      <c r="BF52" s="82">
        <f t="shared" si="178"/>
        <v>3</v>
      </c>
      <c r="BG52" s="82">
        <f t="shared" si="103"/>
        <v>0</v>
      </c>
      <c r="BH52" s="82">
        <f t="shared" si="179"/>
        <v>0</v>
      </c>
      <c r="BI52" s="82"/>
      <c r="BJ52" s="83"/>
      <c r="BK52" s="82">
        <f t="shared" si="180"/>
        <v>0</v>
      </c>
      <c r="BL52" s="82">
        <f t="shared" si="181"/>
        <v>0</v>
      </c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>
        <f t="shared" si="182"/>
        <v>0</v>
      </c>
      <c r="BX52" s="82">
        <f t="shared" si="183"/>
        <v>0</v>
      </c>
      <c r="BY52" s="82">
        <f t="shared" si="109"/>
        <v>0</v>
      </c>
      <c r="BZ52" s="82">
        <f t="shared" si="184"/>
        <v>0</v>
      </c>
      <c r="CA52" s="82"/>
      <c r="CB52" s="82"/>
      <c r="CC52" s="82">
        <f t="shared" si="185"/>
        <v>0</v>
      </c>
      <c r="CD52" s="82">
        <f t="shared" si="186"/>
        <v>0</v>
      </c>
      <c r="CE52" s="82"/>
      <c r="CF52" s="82"/>
      <c r="CG52" s="82"/>
      <c r="CH52" s="82"/>
      <c r="CI52" s="82">
        <f t="shared" si="187"/>
        <v>0</v>
      </c>
      <c r="CJ52" s="82">
        <f t="shared" si="188"/>
        <v>0</v>
      </c>
      <c r="CK52" s="82">
        <f t="shared" si="189"/>
        <v>0</v>
      </c>
      <c r="CL52" s="82">
        <f t="shared" si="190"/>
        <v>0</v>
      </c>
      <c r="CM52" s="82"/>
      <c r="CN52" s="82"/>
      <c r="CO52" s="82">
        <f t="shared" si="35"/>
        <v>0</v>
      </c>
      <c r="CP52" s="82">
        <f t="shared" si="36"/>
        <v>0</v>
      </c>
      <c r="CQ52" s="82"/>
      <c r="CR52" s="82"/>
      <c r="CS52" s="82"/>
      <c r="CT52" s="82"/>
      <c r="CU52" s="82">
        <f t="shared" si="191"/>
        <v>0</v>
      </c>
      <c r="CV52" s="82">
        <f t="shared" si="192"/>
        <v>0</v>
      </c>
      <c r="CW52" s="82">
        <f t="shared" si="39"/>
        <v>0</v>
      </c>
      <c r="CX52" s="82">
        <f t="shared" si="193"/>
        <v>0</v>
      </c>
      <c r="CY52" s="82">
        <f t="shared" si="41"/>
        <v>0</v>
      </c>
      <c r="CZ52" s="82">
        <f t="shared" si="194"/>
        <v>0</v>
      </c>
      <c r="DA52" s="82">
        <f t="shared" si="43"/>
        <v>0</v>
      </c>
      <c r="DB52" s="82">
        <f t="shared" si="44"/>
        <v>0</v>
      </c>
      <c r="DC52" s="91"/>
      <c r="DD52" s="82"/>
      <c r="DE52" s="82"/>
      <c r="DF52" s="82">
        <f t="shared" si="195"/>
        <v>0</v>
      </c>
      <c r="DG52" s="82">
        <f t="shared" si="196"/>
        <v>0</v>
      </c>
      <c r="DH52" s="82"/>
      <c r="DI52" s="82"/>
      <c r="DJ52" s="82"/>
      <c r="DK52" s="82"/>
      <c r="DL52" s="82">
        <f t="shared" si="197"/>
        <v>0</v>
      </c>
      <c r="DM52" s="82">
        <f t="shared" si="198"/>
        <v>0</v>
      </c>
      <c r="DN52" s="82">
        <f t="shared" si="199"/>
        <v>0</v>
      </c>
      <c r="DO52" s="82">
        <f t="shared" si="200"/>
        <v>0</v>
      </c>
      <c r="DP52" s="82"/>
      <c r="DQ52" s="82"/>
      <c r="DR52" s="82">
        <f t="shared" si="201"/>
        <v>0</v>
      </c>
      <c r="DS52" s="82">
        <f t="shared" si="202"/>
        <v>0</v>
      </c>
      <c r="DT52" s="82"/>
      <c r="DU52" s="82"/>
      <c r="DV52" s="82"/>
      <c r="DW52" s="82"/>
      <c r="DX52" s="82">
        <f t="shared" si="203"/>
        <v>0</v>
      </c>
      <c r="DY52" s="82">
        <f t="shared" si="204"/>
        <v>0</v>
      </c>
      <c r="DZ52" s="82">
        <f t="shared" si="205"/>
        <v>0</v>
      </c>
      <c r="EA52" s="82">
        <f t="shared" si="206"/>
        <v>0</v>
      </c>
      <c r="EB52" s="82"/>
      <c r="EC52" s="82"/>
      <c r="ED52" s="82">
        <f t="shared" si="207"/>
        <v>0</v>
      </c>
      <c r="EE52" s="82">
        <f t="shared" si="208"/>
        <v>0</v>
      </c>
      <c r="EF52" s="82"/>
      <c r="EG52" s="82"/>
      <c r="EH52" s="82"/>
      <c r="EI52" s="82"/>
      <c r="EJ52" s="82">
        <f t="shared" si="209"/>
        <v>0</v>
      </c>
      <c r="EK52" s="82">
        <f t="shared" si="210"/>
        <v>0</v>
      </c>
      <c r="EL52" s="82">
        <f t="shared" si="211"/>
        <v>0</v>
      </c>
      <c r="EM52" s="82">
        <f t="shared" si="212"/>
        <v>0</v>
      </c>
      <c r="EN52" s="82">
        <f t="shared" si="213"/>
        <v>0</v>
      </c>
      <c r="EO52" s="82">
        <f t="shared" si="214"/>
        <v>0</v>
      </c>
      <c r="EP52" s="82">
        <f t="shared" si="215"/>
        <v>0</v>
      </c>
      <c r="EQ52" s="82">
        <f t="shared" si="216"/>
        <v>0</v>
      </c>
      <c r="ER52" s="82"/>
      <c r="ES52" s="82"/>
      <c r="ET52" s="82">
        <f t="shared" si="217"/>
        <v>0</v>
      </c>
      <c r="EU52" s="82">
        <f t="shared" si="218"/>
        <v>0</v>
      </c>
      <c r="EV52" s="82"/>
      <c r="EW52" s="82"/>
      <c r="EX52" s="82"/>
      <c r="EY52" s="82"/>
      <c r="EZ52" s="82">
        <f t="shared" si="219"/>
        <v>0</v>
      </c>
      <c r="FA52" s="82">
        <f t="shared" si="220"/>
        <v>0</v>
      </c>
      <c r="FB52" s="82">
        <f t="shared" si="221"/>
        <v>0</v>
      </c>
      <c r="FC52" s="82">
        <f t="shared" si="222"/>
        <v>0</v>
      </c>
      <c r="FD52" s="82"/>
      <c r="FE52" s="82"/>
      <c r="FF52" s="82">
        <f t="shared" si="223"/>
        <v>0</v>
      </c>
      <c r="FG52" s="82">
        <f t="shared" si="224"/>
        <v>0</v>
      </c>
      <c r="FH52" s="82"/>
      <c r="FI52" s="82"/>
      <c r="FJ52" s="82"/>
      <c r="FK52" s="82"/>
      <c r="FL52" s="82">
        <f t="shared" si="225"/>
        <v>0</v>
      </c>
      <c r="FM52" s="82">
        <f t="shared" si="226"/>
        <v>0</v>
      </c>
      <c r="FN52" s="82">
        <f t="shared" si="227"/>
        <v>0</v>
      </c>
      <c r="FO52" s="82">
        <f t="shared" si="228"/>
        <v>0</v>
      </c>
      <c r="FP52" s="82"/>
      <c r="FQ52" s="82"/>
      <c r="FR52" s="82">
        <f t="shared" si="229"/>
        <v>0</v>
      </c>
      <c r="FS52" s="82">
        <f t="shared" si="230"/>
        <v>0</v>
      </c>
      <c r="FT52" s="82"/>
      <c r="FU52" s="82"/>
      <c r="FV52" s="82"/>
      <c r="FW52" s="82"/>
      <c r="FX52" s="82">
        <f t="shared" si="231"/>
        <v>0</v>
      </c>
      <c r="FY52" s="82">
        <f t="shared" si="232"/>
        <v>0</v>
      </c>
      <c r="FZ52" s="82">
        <f t="shared" si="233"/>
        <v>0</v>
      </c>
      <c r="GA52" s="82">
        <f t="shared" si="234"/>
        <v>0</v>
      </c>
      <c r="GB52" s="82">
        <f t="shared" si="235"/>
        <v>0</v>
      </c>
      <c r="GC52" s="82">
        <f t="shared" si="236"/>
        <v>0</v>
      </c>
      <c r="GD52" s="82">
        <f t="shared" si="237"/>
        <v>0</v>
      </c>
      <c r="GE52" s="82">
        <f t="shared" si="238"/>
        <v>0</v>
      </c>
      <c r="GF52" s="85"/>
    </row>
    <row r="53" ht="29.25" customHeight="1">
      <c r="A53" s="50"/>
      <c r="B53" s="50"/>
      <c r="C53" s="50"/>
      <c r="D53" s="78" t="s">
        <v>121</v>
      </c>
      <c r="E53" s="86">
        <v>6757.0</v>
      </c>
      <c r="F53" s="80" t="s">
        <v>86</v>
      </c>
      <c r="G53" s="81">
        <v>29.0</v>
      </c>
      <c r="H53" s="82">
        <v>195953.0</v>
      </c>
      <c r="I53" s="82"/>
      <c r="J53" s="82"/>
      <c r="K53" s="82">
        <f t="shared" si="162"/>
        <v>0</v>
      </c>
      <c r="L53" s="82">
        <f t="shared" si="163"/>
        <v>0</v>
      </c>
      <c r="M53" s="82"/>
      <c r="N53" s="82"/>
      <c r="O53" s="82"/>
      <c r="P53" s="82"/>
      <c r="Q53" s="82"/>
      <c r="R53" s="82"/>
      <c r="S53" s="82"/>
      <c r="T53" s="82"/>
      <c r="U53" s="82"/>
      <c r="V53" s="83">
        <v>2.0</v>
      </c>
      <c r="W53" s="82"/>
      <c r="X53" s="82"/>
      <c r="Y53" s="82"/>
      <c r="Z53" s="82"/>
      <c r="AA53" s="82"/>
      <c r="AB53" s="82">
        <f t="shared" si="164"/>
        <v>2</v>
      </c>
      <c r="AC53" s="82">
        <f t="shared" si="165"/>
        <v>13514</v>
      </c>
      <c r="AD53" s="82">
        <f t="shared" si="89"/>
        <v>27</v>
      </c>
      <c r="AE53" s="82">
        <f t="shared" si="166"/>
        <v>182439</v>
      </c>
      <c r="AF53" s="82"/>
      <c r="AG53" s="82"/>
      <c r="AH53" s="82">
        <f t="shared" si="167"/>
        <v>0</v>
      </c>
      <c r="AI53" s="82">
        <f t="shared" si="168"/>
        <v>0</v>
      </c>
      <c r="AJ53" s="82"/>
      <c r="AK53" s="82"/>
      <c r="AL53" s="82"/>
      <c r="AM53" s="82"/>
      <c r="AN53" s="82">
        <f t="shared" si="169"/>
        <v>0</v>
      </c>
      <c r="AO53" s="82">
        <f t="shared" si="170"/>
        <v>0</v>
      </c>
      <c r="AP53" s="82">
        <f t="shared" si="11"/>
        <v>27</v>
      </c>
      <c r="AQ53" s="82">
        <f t="shared" si="171"/>
        <v>182439</v>
      </c>
      <c r="AR53" s="82"/>
      <c r="AS53" s="82"/>
      <c r="AT53" s="82"/>
      <c r="AU53" s="82">
        <f t="shared" si="172"/>
        <v>0</v>
      </c>
      <c r="AV53" s="82">
        <f t="shared" si="173"/>
        <v>0</v>
      </c>
      <c r="AW53" s="82"/>
      <c r="AX53" s="82"/>
      <c r="AY53" s="82"/>
      <c r="AZ53" s="82"/>
      <c r="BA53" s="82">
        <f t="shared" si="174"/>
        <v>0</v>
      </c>
      <c r="BB53" s="82">
        <f t="shared" si="175"/>
        <v>0</v>
      </c>
      <c r="BC53" s="82">
        <f t="shared" si="99"/>
        <v>27</v>
      </c>
      <c r="BD53" s="82">
        <f t="shared" si="176"/>
        <v>182439</v>
      </c>
      <c r="BE53" s="82">
        <f t="shared" si="177"/>
        <v>0</v>
      </c>
      <c r="BF53" s="82">
        <f t="shared" si="178"/>
        <v>2</v>
      </c>
      <c r="BG53" s="82">
        <f t="shared" si="103"/>
        <v>27</v>
      </c>
      <c r="BH53" s="82">
        <f t="shared" si="179"/>
        <v>182439</v>
      </c>
      <c r="BI53" s="82"/>
      <c r="BJ53" s="83"/>
      <c r="BK53" s="82">
        <f t="shared" si="180"/>
        <v>0</v>
      </c>
      <c r="BL53" s="82">
        <f t="shared" si="181"/>
        <v>0</v>
      </c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>
        <f t="shared" si="182"/>
        <v>0</v>
      </c>
      <c r="BX53" s="82">
        <f t="shared" si="183"/>
        <v>0</v>
      </c>
      <c r="BY53" s="82">
        <f t="shared" si="109"/>
        <v>27</v>
      </c>
      <c r="BZ53" s="82">
        <f t="shared" si="184"/>
        <v>182439</v>
      </c>
      <c r="CA53" s="82"/>
      <c r="CB53" s="82"/>
      <c r="CC53" s="82">
        <f t="shared" si="185"/>
        <v>0</v>
      </c>
      <c r="CD53" s="82">
        <f t="shared" si="186"/>
        <v>0</v>
      </c>
      <c r="CE53" s="83">
        <v>3.0</v>
      </c>
      <c r="CF53" s="82"/>
      <c r="CG53" s="82"/>
      <c r="CH53" s="82"/>
      <c r="CI53" s="82">
        <f t="shared" si="187"/>
        <v>3</v>
      </c>
      <c r="CJ53" s="82">
        <f t="shared" si="188"/>
        <v>20271</v>
      </c>
      <c r="CK53" s="82">
        <f t="shared" si="189"/>
        <v>24</v>
      </c>
      <c r="CL53" s="82">
        <f t="shared" si="190"/>
        <v>162168</v>
      </c>
      <c r="CM53" s="82"/>
      <c r="CN53" s="82"/>
      <c r="CO53" s="82">
        <f t="shared" si="35"/>
        <v>0</v>
      </c>
      <c r="CP53" s="82">
        <f t="shared" si="36"/>
        <v>0</v>
      </c>
      <c r="CQ53" s="82"/>
      <c r="CR53" s="82"/>
      <c r="CS53" s="82"/>
      <c r="CT53" s="82"/>
      <c r="CU53" s="82">
        <f t="shared" si="191"/>
        <v>0</v>
      </c>
      <c r="CV53" s="82">
        <f t="shared" si="192"/>
        <v>0</v>
      </c>
      <c r="CW53" s="82">
        <f t="shared" si="39"/>
        <v>24</v>
      </c>
      <c r="CX53" s="82">
        <f t="shared" si="193"/>
        <v>162168</v>
      </c>
      <c r="CY53" s="82">
        <f t="shared" si="41"/>
        <v>0</v>
      </c>
      <c r="CZ53" s="82">
        <f t="shared" si="194"/>
        <v>3</v>
      </c>
      <c r="DA53" s="82">
        <f t="shared" si="43"/>
        <v>24</v>
      </c>
      <c r="DB53" s="82">
        <f t="shared" si="44"/>
        <v>162168</v>
      </c>
      <c r="DC53" s="84">
        <v>27.0</v>
      </c>
      <c r="DD53" s="82"/>
      <c r="DE53" s="82"/>
      <c r="DF53" s="82">
        <f t="shared" si="195"/>
        <v>0</v>
      </c>
      <c r="DG53" s="82">
        <f t="shared" si="196"/>
        <v>0</v>
      </c>
      <c r="DH53" s="82"/>
      <c r="DI53" s="82"/>
      <c r="DJ53" s="82"/>
      <c r="DK53" s="82"/>
      <c r="DL53" s="82">
        <f t="shared" si="197"/>
        <v>0</v>
      </c>
      <c r="DM53" s="82">
        <f t="shared" si="198"/>
        <v>0</v>
      </c>
      <c r="DN53" s="82">
        <f t="shared" si="199"/>
        <v>24</v>
      </c>
      <c r="DO53" s="82">
        <f t="shared" si="200"/>
        <v>162168</v>
      </c>
      <c r="DP53" s="82"/>
      <c r="DQ53" s="82"/>
      <c r="DR53" s="82">
        <f t="shared" si="201"/>
        <v>0</v>
      </c>
      <c r="DS53" s="82">
        <f t="shared" si="202"/>
        <v>0</v>
      </c>
      <c r="DT53" s="82"/>
      <c r="DU53" s="82"/>
      <c r="DV53" s="82"/>
      <c r="DW53" s="82"/>
      <c r="DX53" s="82">
        <f t="shared" si="203"/>
        <v>0</v>
      </c>
      <c r="DY53" s="82">
        <f t="shared" si="204"/>
        <v>0</v>
      </c>
      <c r="DZ53" s="82">
        <f t="shared" si="205"/>
        <v>24</v>
      </c>
      <c r="EA53" s="82">
        <f t="shared" si="206"/>
        <v>162168</v>
      </c>
      <c r="EB53" s="82"/>
      <c r="EC53" s="82"/>
      <c r="ED53" s="82">
        <f t="shared" si="207"/>
        <v>0</v>
      </c>
      <c r="EE53" s="82">
        <f t="shared" si="208"/>
        <v>0</v>
      </c>
      <c r="EF53" s="82"/>
      <c r="EG53" s="82"/>
      <c r="EH53" s="82"/>
      <c r="EI53" s="82"/>
      <c r="EJ53" s="82">
        <f t="shared" si="209"/>
        <v>0</v>
      </c>
      <c r="EK53" s="82">
        <f t="shared" si="210"/>
        <v>0</v>
      </c>
      <c r="EL53" s="82">
        <f t="shared" si="211"/>
        <v>24</v>
      </c>
      <c r="EM53" s="82">
        <f t="shared" si="212"/>
        <v>162168</v>
      </c>
      <c r="EN53" s="82">
        <f t="shared" si="213"/>
        <v>0</v>
      </c>
      <c r="EO53" s="82">
        <f t="shared" si="214"/>
        <v>0</v>
      </c>
      <c r="EP53" s="82">
        <f t="shared" si="215"/>
        <v>24</v>
      </c>
      <c r="EQ53" s="82">
        <f t="shared" si="216"/>
        <v>162168</v>
      </c>
      <c r="ER53" s="82"/>
      <c r="ES53" s="82"/>
      <c r="ET53" s="82">
        <f t="shared" si="217"/>
        <v>0</v>
      </c>
      <c r="EU53" s="82">
        <f t="shared" si="218"/>
        <v>0</v>
      </c>
      <c r="EV53" s="82"/>
      <c r="EW53" s="82"/>
      <c r="EX53" s="82"/>
      <c r="EY53" s="82"/>
      <c r="EZ53" s="82">
        <f t="shared" si="219"/>
        <v>0</v>
      </c>
      <c r="FA53" s="82">
        <f t="shared" si="220"/>
        <v>0</v>
      </c>
      <c r="FB53" s="82">
        <f t="shared" si="221"/>
        <v>24</v>
      </c>
      <c r="FC53" s="82">
        <f t="shared" si="222"/>
        <v>162168</v>
      </c>
      <c r="FD53" s="82"/>
      <c r="FE53" s="82"/>
      <c r="FF53" s="82">
        <f t="shared" si="223"/>
        <v>0</v>
      </c>
      <c r="FG53" s="82">
        <f t="shared" si="224"/>
        <v>0</v>
      </c>
      <c r="FH53" s="82"/>
      <c r="FI53" s="82"/>
      <c r="FJ53" s="82"/>
      <c r="FK53" s="82"/>
      <c r="FL53" s="82">
        <f t="shared" si="225"/>
        <v>0</v>
      </c>
      <c r="FM53" s="82">
        <f t="shared" si="226"/>
        <v>0</v>
      </c>
      <c r="FN53" s="82">
        <f t="shared" si="227"/>
        <v>24</v>
      </c>
      <c r="FO53" s="82">
        <f t="shared" si="228"/>
        <v>162168</v>
      </c>
      <c r="FP53" s="82"/>
      <c r="FQ53" s="82"/>
      <c r="FR53" s="82">
        <f t="shared" si="229"/>
        <v>0</v>
      </c>
      <c r="FS53" s="82">
        <f t="shared" si="230"/>
        <v>0</v>
      </c>
      <c r="FT53" s="82"/>
      <c r="FU53" s="82"/>
      <c r="FV53" s="82"/>
      <c r="FW53" s="82"/>
      <c r="FX53" s="82">
        <f t="shared" si="231"/>
        <v>0</v>
      </c>
      <c r="FY53" s="82">
        <f t="shared" si="232"/>
        <v>0</v>
      </c>
      <c r="FZ53" s="82">
        <f t="shared" si="233"/>
        <v>24</v>
      </c>
      <c r="GA53" s="82">
        <f t="shared" si="234"/>
        <v>162168</v>
      </c>
      <c r="GB53" s="82">
        <f t="shared" si="235"/>
        <v>0</v>
      </c>
      <c r="GC53" s="82">
        <f t="shared" si="236"/>
        <v>0</v>
      </c>
      <c r="GD53" s="82">
        <f t="shared" si="237"/>
        <v>24</v>
      </c>
      <c r="GE53" s="82">
        <f t="shared" si="238"/>
        <v>162168</v>
      </c>
      <c r="GF53" s="85"/>
    </row>
    <row r="54" ht="29.25" customHeight="1">
      <c r="A54" s="96">
        <v>28.0</v>
      </c>
      <c r="B54" s="97"/>
      <c r="C54" s="58" t="s">
        <v>132</v>
      </c>
      <c r="D54" s="78" t="s">
        <v>99</v>
      </c>
      <c r="E54" s="79">
        <v>7480.0</v>
      </c>
      <c r="F54" s="61"/>
      <c r="G54" s="81">
        <v>31.0</v>
      </c>
      <c r="H54" s="82">
        <v>231880.0</v>
      </c>
      <c r="I54" s="82"/>
      <c r="J54" s="82"/>
      <c r="K54" s="82">
        <f t="shared" si="162"/>
        <v>0</v>
      </c>
      <c r="L54" s="82">
        <f t="shared" si="163"/>
        <v>0</v>
      </c>
      <c r="M54" s="82"/>
      <c r="N54" s="82"/>
      <c r="O54" s="82"/>
      <c r="P54" s="82"/>
      <c r="Q54" s="82"/>
      <c r="R54" s="82"/>
      <c r="S54" s="82"/>
      <c r="T54" s="82"/>
      <c r="U54" s="83">
        <v>3.0</v>
      </c>
      <c r="V54" s="82"/>
      <c r="W54" s="82"/>
      <c r="X54" s="82"/>
      <c r="Y54" s="82"/>
      <c r="Z54" s="82"/>
      <c r="AA54" s="82"/>
      <c r="AB54" s="82">
        <f t="shared" si="164"/>
        <v>3</v>
      </c>
      <c r="AC54" s="82">
        <f t="shared" si="165"/>
        <v>22440</v>
      </c>
      <c r="AD54" s="82">
        <f t="shared" si="89"/>
        <v>28</v>
      </c>
      <c r="AE54" s="82">
        <f t="shared" si="166"/>
        <v>209440</v>
      </c>
      <c r="AF54" s="82"/>
      <c r="AG54" s="82"/>
      <c r="AH54" s="82">
        <f t="shared" si="167"/>
        <v>0</v>
      </c>
      <c r="AI54" s="82">
        <f t="shared" si="168"/>
        <v>0</v>
      </c>
      <c r="AJ54" s="82"/>
      <c r="AK54" s="82"/>
      <c r="AL54" s="82"/>
      <c r="AM54" s="82"/>
      <c r="AN54" s="82">
        <f t="shared" si="169"/>
        <v>0</v>
      </c>
      <c r="AO54" s="82">
        <f t="shared" si="170"/>
        <v>0</v>
      </c>
      <c r="AP54" s="82">
        <f t="shared" si="11"/>
        <v>28</v>
      </c>
      <c r="AQ54" s="82">
        <f t="shared" si="171"/>
        <v>209440</v>
      </c>
      <c r="AR54" s="82"/>
      <c r="AS54" s="82"/>
      <c r="AT54" s="82"/>
      <c r="AU54" s="82">
        <f t="shared" si="172"/>
        <v>0</v>
      </c>
      <c r="AV54" s="82">
        <f t="shared" si="173"/>
        <v>0</v>
      </c>
      <c r="AW54" s="82"/>
      <c r="AX54" s="82"/>
      <c r="AY54" s="82"/>
      <c r="AZ54" s="82"/>
      <c r="BA54" s="82">
        <f t="shared" si="174"/>
        <v>0</v>
      </c>
      <c r="BB54" s="82">
        <f t="shared" si="175"/>
        <v>0</v>
      </c>
      <c r="BC54" s="82">
        <f t="shared" si="99"/>
        <v>28</v>
      </c>
      <c r="BD54" s="82">
        <f t="shared" si="176"/>
        <v>209440</v>
      </c>
      <c r="BE54" s="82">
        <f t="shared" si="177"/>
        <v>0</v>
      </c>
      <c r="BF54" s="82">
        <f t="shared" si="178"/>
        <v>3</v>
      </c>
      <c r="BG54" s="82">
        <f t="shared" si="103"/>
        <v>28</v>
      </c>
      <c r="BH54" s="82">
        <f t="shared" si="179"/>
        <v>209440</v>
      </c>
      <c r="BI54" s="82"/>
      <c r="BJ54" s="83"/>
      <c r="BK54" s="82">
        <f t="shared" si="180"/>
        <v>0</v>
      </c>
      <c r="BL54" s="82">
        <f t="shared" si="181"/>
        <v>0</v>
      </c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>
        <f t="shared" si="182"/>
        <v>0</v>
      </c>
      <c r="BX54" s="82">
        <f t="shared" si="183"/>
        <v>0</v>
      </c>
      <c r="BY54" s="82">
        <f t="shared" si="109"/>
        <v>28</v>
      </c>
      <c r="BZ54" s="82">
        <f t="shared" si="184"/>
        <v>209440</v>
      </c>
      <c r="CA54" s="82"/>
      <c r="CB54" s="82"/>
      <c r="CC54" s="82">
        <f t="shared" si="185"/>
        <v>0</v>
      </c>
      <c r="CD54" s="82">
        <f t="shared" si="186"/>
        <v>0</v>
      </c>
      <c r="CE54" s="82"/>
      <c r="CF54" s="82"/>
      <c r="CG54" s="82"/>
      <c r="CH54" s="82"/>
      <c r="CI54" s="82">
        <f t="shared" si="187"/>
        <v>0</v>
      </c>
      <c r="CJ54" s="82">
        <f t="shared" si="188"/>
        <v>0</v>
      </c>
      <c r="CK54" s="82">
        <f t="shared" si="189"/>
        <v>28</v>
      </c>
      <c r="CL54" s="82">
        <f t="shared" si="190"/>
        <v>209440</v>
      </c>
      <c r="CM54" s="82"/>
      <c r="CN54" s="82"/>
      <c r="CO54" s="82">
        <f t="shared" si="35"/>
        <v>0</v>
      </c>
      <c r="CP54" s="82">
        <f t="shared" si="36"/>
        <v>0</v>
      </c>
      <c r="CQ54" s="82"/>
      <c r="CR54" s="82"/>
      <c r="CS54" s="82"/>
      <c r="CT54" s="82"/>
      <c r="CU54" s="82">
        <f t="shared" si="191"/>
        <v>0</v>
      </c>
      <c r="CV54" s="82">
        <f t="shared" si="192"/>
        <v>0</v>
      </c>
      <c r="CW54" s="82">
        <f t="shared" si="39"/>
        <v>28</v>
      </c>
      <c r="CX54" s="82">
        <f t="shared" si="193"/>
        <v>209440</v>
      </c>
      <c r="CY54" s="82">
        <f t="shared" si="41"/>
        <v>0</v>
      </c>
      <c r="CZ54" s="82">
        <f t="shared" si="194"/>
        <v>0</v>
      </c>
      <c r="DA54" s="82">
        <f t="shared" si="43"/>
        <v>28</v>
      </c>
      <c r="DB54" s="82">
        <f t="shared" si="44"/>
        <v>209440</v>
      </c>
      <c r="DC54" s="84">
        <v>40.0</v>
      </c>
      <c r="DD54" s="82"/>
      <c r="DE54" s="82"/>
      <c r="DF54" s="82">
        <f t="shared" si="195"/>
        <v>0</v>
      </c>
      <c r="DG54" s="82">
        <f t="shared" si="196"/>
        <v>0</v>
      </c>
      <c r="DH54" s="82"/>
      <c r="DI54" s="82"/>
      <c r="DJ54" s="82"/>
      <c r="DK54" s="82"/>
      <c r="DL54" s="82">
        <f t="shared" si="197"/>
        <v>0</v>
      </c>
      <c r="DM54" s="82">
        <f t="shared" si="198"/>
        <v>0</v>
      </c>
      <c r="DN54" s="82">
        <f t="shared" si="199"/>
        <v>28</v>
      </c>
      <c r="DO54" s="82">
        <f t="shared" si="200"/>
        <v>209440</v>
      </c>
      <c r="DP54" s="82"/>
      <c r="DQ54" s="82"/>
      <c r="DR54" s="82">
        <f t="shared" si="201"/>
        <v>0</v>
      </c>
      <c r="DS54" s="82">
        <f t="shared" si="202"/>
        <v>0</v>
      </c>
      <c r="DT54" s="82"/>
      <c r="DU54" s="82"/>
      <c r="DV54" s="82"/>
      <c r="DW54" s="82"/>
      <c r="DX54" s="82">
        <f t="shared" si="203"/>
        <v>0</v>
      </c>
      <c r="DY54" s="82">
        <f t="shared" si="204"/>
        <v>0</v>
      </c>
      <c r="DZ54" s="82">
        <f t="shared" si="205"/>
        <v>28</v>
      </c>
      <c r="EA54" s="82">
        <f t="shared" si="206"/>
        <v>209440</v>
      </c>
      <c r="EB54" s="82"/>
      <c r="EC54" s="82"/>
      <c r="ED54" s="82">
        <f t="shared" si="207"/>
        <v>0</v>
      </c>
      <c r="EE54" s="82">
        <f t="shared" si="208"/>
        <v>0</v>
      </c>
      <c r="EF54" s="82"/>
      <c r="EG54" s="82"/>
      <c r="EH54" s="82"/>
      <c r="EI54" s="82"/>
      <c r="EJ54" s="82">
        <f t="shared" si="209"/>
        <v>0</v>
      </c>
      <c r="EK54" s="82">
        <f t="shared" si="210"/>
        <v>0</v>
      </c>
      <c r="EL54" s="82">
        <f t="shared" si="211"/>
        <v>28</v>
      </c>
      <c r="EM54" s="82">
        <f t="shared" si="212"/>
        <v>209440</v>
      </c>
      <c r="EN54" s="82">
        <f t="shared" si="213"/>
        <v>0</v>
      </c>
      <c r="EO54" s="82">
        <f t="shared" si="214"/>
        <v>0</v>
      </c>
      <c r="EP54" s="82">
        <f t="shared" si="215"/>
        <v>28</v>
      </c>
      <c r="EQ54" s="82">
        <f t="shared" si="216"/>
        <v>209440</v>
      </c>
      <c r="ER54" s="82"/>
      <c r="ES54" s="82"/>
      <c r="ET54" s="82">
        <f t="shared" si="217"/>
        <v>0</v>
      </c>
      <c r="EU54" s="82">
        <f t="shared" si="218"/>
        <v>0</v>
      </c>
      <c r="EV54" s="82"/>
      <c r="EW54" s="82"/>
      <c r="EX54" s="82"/>
      <c r="EY54" s="82"/>
      <c r="EZ54" s="82">
        <f t="shared" si="219"/>
        <v>0</v>
      </c>
      <c r="FA54" s="82">
        <f t="shared" si="220"/>
        <v>0</v>
      </c>
      <c r="FB54" s="82">
        <f t="shared" si="221"/>
        <v>28</v>
      </c>
      <c r="FC54" s="82">
        <f t="shared" si="222"/>
        <v>209440</v>
      </c>
      <c r="FD54" s="82"/>
      <c r="FE54" s="82"/>
      <c r="FF54" s="82">
        <f t="shared" si="223"/>
        <v>0</v>
      </c>
      <c r="FG54" s="82">
        <f t="shared" si="224"/>
        <v>0</v>
      </c>
      <c r="FH54" s="82"/>
      <c r="FI54" s="82"/>
      <c r="FJ54" s="82"/>
      <c r="FK54" s="82"/>
      <c r="FL54" s="82">
        <f t="shared" si="225"/>
        <v>0</v>
      </c>
      <c r="FM54" s="82">
        <f t="shared" si="226"/>
        <v>0</v>
      </c>
      <c r="FN54" s="82">
        <f t="shared" si="227"/>
        <v>28</v>
      </c>
      <c r="FO54" s="82">
        <f t="shared" si="228"/>
        <v>209440</v>
      </c>
      <c r="FP54" s="82"/>
      <c r="FQ54" s="82"/>
      <c r="FR54" s="82">
        <f t="shared" si="229"/>
        <v>0</v>
      </c>
      <c r="FS54" s="82">
        <f t="shared" si="230"/>
        <v>0</v>
      </c>
      <c r="FT54" s="82"/>
      <c r="FU54" s="82"/>
      <c r="FV54" s="82"/>
      <c r="FW54" s="82"/>
      <c r="FX54" s="82">
        <f t="shared" si="231"/>
        <v>0</v>
      </c>
      <c r="FY54" s="82">
        <f t="shared" si="232"/>
        <v>0</v>
      </c>
      <c r="FZ54" s="82">
        <f t="shared" si="233"/>
        <v>28</v>
      </c>
      <c r="GA54" s="82">
        <f t="shared" si="234"/>
        <v>209440</v>
      </c>
      <c r="GB54" s="82">
        <f t="shared" si="235"/>
        <v>0</v>
      </c>
      <c r="GC54" s="82">
        <f t="shared" si="236"/>
        <v>0</v>
      </c>
      <c r="GD54" s="82">
        <f t="shared" si="237"/>
        <v>28</v>
      </c>
      <c r="GE54" s="82">
        <f t="shared" si="238"/>
        <v>209440</v>
      </c>
      <c r="GF54" s="85"/>
    </row>
    <row r="55" ht="29.25" customHeight="1">
      <c r="A55" s="76">
        <v>29.0</v>
      </c>
      <c r="B55" s="76"/>
      <c r="C55" s="88" t="s">
        <v>133</v>
      </c>
      <c r="D55" s="78" t="s">
        <v>134</v>
      </c>
      <c r="E55" s="86">
        <v>54054.0</v>
      </c>
      <c r="F55" s="80" t="s">
        <v>86</v>
      </c>
      <c r="G55" s="81">
        <v>50.0</v>
      </c>
      <c r="H55" s="82">
        <v>2702700.0</v>
      </c>
      <c r="I55" s="82"/>
      <c r="J55" s="82"/>
      <c r="K55" s="82">
        <f t="shared" si="162"/>
        <v>0</v>
      </c>
      <c r="L55" s="82">
        <f t="shared" si="163"/>
        <v>0</v>
      </c>
      <c r="M55" s="83">
        <v>2.0</v>
      </c>
      <c r="N55" s="83">
        <v>7.0</v>
      </c>
      <c r="O55" s="83">
        <v>2.0</v>
      </c>
      <c r="P55" s="83">
        <v>5.0</v>
      </c>
      <c r="Q55" s="82"/>
      <c r="R55" s="82"/>
      <c r="S55" s="82"/>
      <c r="T55" s="82"/>
      <c r="U55" s="82"/>
      <c r="V55" s="83">
        <v>7.0</v>
      </c>
      <c r="W55" s="82"/>
      <c r="X55" s="82"/>
      <c r="Y55" s="82"/>
      <c r="Z55" s="82"/>
      <c r="AA55" s="82"/>
      <c r="AB55" s="82">
        <f t="shared" si="164"/>
        <v>23</v>
      </c>
      <c r="AC55" s="82">
        <f t="shared" si="165"/>
        <v>1243242</v>
      </c>
      <c r="AD55" s="82">
        <f t="shared" si="89"/>
        <v>27</v>
      </c>
      <c r="AE55" s="82">
        <f t="shared" si="166"/>
        <v>1459458</v>
      </c>
      <c r="AF55" s="82"/>
      <c r="AG55" s="82"/>
      <c r="AH55" s="82">
        <f t="shared" si="167"/>
        <v>0</v>
      </c>
      <c r="AI55" s="82">
        <f t="shared" si="168"/>
        <v>0</v>
      </c>
      <c r="AJ55" s="83">
        <v>2.0</v>
      </c>
      <c r="AK55" s="82"/>
      <c r="AL55" s="82"/>
      <c r="AM55" s="82"/>
      <c r="AN55" s="82">
        <f t="shared" si="169"/>
        <v>2</v>
      </c>
      <c r="AO55" s="82">
        <f t="shared" si="170"/>
        <v>108108</v>
      </c>
      <c r="AP55" s="82">
        <f t="shared" si="11"/>
        <v>25</v>
      </c>
      <c r="AQ55" s="82">
        <f t="shared" si="171"/>
        <v>1351350</v>
      </c>
      <c r="AR55" s="82"/>
      <c r="AS55" s="82"/>
      <c r="AT55" s="82"/>
      <c r="AU55" s="82">
        <f t="shared" si="172"/>
        <v>0</v>
      </c>
      <c r="AV55" s="82">
        <f t="shared" si="173"/>
        <v>0</v>
      </c>
      <c r="AW55" s="82"/>
      <c r="AX55" s="82"/>
      <c r="AY55" s="82"/>
      <c r="AZ55" s="82"/>
      <c r="BA55" s="82">
        <f t="shared" si="174"/>
        <v>0</v>
      </c>
      <c r="BB55" s="82">
        <f t="shared" si="175"/>
        <v>0</v>
      </c>
      <c r="BC55" s="82">
        <f t="shared" si="99"/>
        <v>25</v>
      </c>
      <c r="BD55" s="82">
        <f t="shared" si="176"/>
        <v>1351350</v>
      </c>
      <c r="BE55" s="82">
        <f t="shared" si="177"/>
        <v>0</v>
      </c>
      <c r="BF55" s="82">
        <f t="shared" si="178"/>
        <v>25</v>
      </c>
      <c r="BG55" s="82">
        <f t="shared" si="103"/>
        <v>25</v>
      </c>
      <c r="BH55" s="82">
        <f t="shared" si="179"/>
        <v>1351350</v>
      </c>
      <c r="BI55" s="82"/>
      <c r="BJ55" s="83"/>
      <c r="BK55" s="82">
        <f t="shared" si="180"/>
        <v>0</v>
      </c>
      <c r="BL55" s="82">
        <f t="shared" si="181"/>
        <v>0</v>
      </c>
      <c r="BM55" s="82"/>
      <c r="BN55" s="82"/>
      <c r="BO55" s="83">
        <v>2.0</v>
      </c>
      <c r="BP55" s="82"/>
      <c r="BQ55" s="83">
        <v>3.0</v>
      </c>
      <c r="BR55" s="83">
        <v>2.0</v>
      </c>
      <c r="BS55" s="83">
        <v>8.0</v>
      </c>
      <c r="BT55" s="83">
        <v>10.0</v>
      </c>
      <c r="BU55" s="83"/>
      <c r="BV55" s="83"/>
      <c r="BW55" s="82">
        <f t="shared" si="182"/>
        <v>25</v>
      </c>
      <c r="BX55" s="82">
        <f t="shared" si="183"/>
        <v>1351350</v>
      </c>
      <c r="BY55" s="82">
        <f t="shared" si="109"/>
        <v>0</v>
      </c>
      <c r="BZ55" s="82">
        <f t="shared" si="184"/>
        <v>0</v>
      </c>
      <c r="CA55" s="82"/>
      <c r="CB55" s="82"/>
      <c r="CC55" s="82">
        <f t="shared" si="185"/>
        <v>0</v>
      </c>
      <c r="CD55" s="82">
        <f t="shared" si="186"/>
        <v>0</v>
      </c>
      <c r="CE55" s="83"/>
      <c r="CF55" s="82"/>
      <c r="CG55" s="82"/>
      <c r="CH55" s="82"/>
      <c r="CI55" s="82">
        <f t="shared" si="187"/>
        <v>0</v>
      </c>
      <c r="CJ55" s="82">
        <f t="shared" si="188"/>
        <v>0</v>
      </c>
      <c r="CK55" s="82">
        <f t="shared" si="189"/>
        <v>0</v>
      </c>
      <c r="CL55" s="82">
        <f t="shared" si="190"/>
        <v>0</v>
      </c>
      <c r="CM55" s="82"/>
      <c r="CN55" s="82"/>
      <c r="CO55" s="82">
        <f t="shared" si="35"/>
        <v>0</v>
      </c>
      <c r="CP55" s="82">
        <f t="shared" si="36"/>
        <v>0</v>
      </c>
      <c r="CQ55" s="82"/>
      <c r="CR55" s="82"/>
      <c r="CS55" s="82"/>
      <c r="CT55" s="82"/>
      <c r="CU55" s="82">
        <f t="shared" si="191"/>
        <v>0</v>
      </c>
      <c r="CV55" s="82">
        <f t="shared" si="192"/>
        <v>0</v>
      </c>
      <c r="CW55" s="82">
        <f t="shared" si="39"/>
        <v>0</v>
      </c>
      <c r="CX55" s="82">
        <f t="shared" si="193"/>
        <v>0</v>
      </c>
      <c r="CY55" s="82">
        <f t="shared" si="41"/>
        <v>0</v>
      </c>
      <c r="CZ55" s="82">
        <f t="shared" si="194"/>
        <v>25</v>
      </c>
      <c r="DA55" s="82">
        <f t="shared" si="43"/>
        <v>0</v>
      </c>
      <c r="DB55" s="82">
        <f t="shared" si="44"/>
        <v>0</v>
      </c>
      <c r="DC55" s="84">
        <v>168.0</v>
      </c>
      <c r="DD55" s="82"/>
      <c r="DE55" s="82"/>
      <c r="DF55" s="82">
        <f t="shared" si="195"/>
        <v>0</v>
      </c>
      <c r="DG55" s="82">
        <f t="shared" si="196"/>
        <v>0</v>
      </c>
      <c r="DH55" s="82"/>
      <c r="DI55" s="82"/>
      <c r="DJ55" s="82"/>
      <c r="DK55" s="82"/>
      <c r="DL55" s="82">
        <f t="shared" si="197"/>
        <v>0</v>
      </c>
      <c r="DM55" s="82">
        <f t="shared" si="198"/>
        <v>0</v>
      </c>
      <c r="DN55" s="82">
        <f t="shared" si="199"/>
        <v>0</v>
      </c>
      <c r="DO55" s="82">
        <f t="shared" si="200"/>
        <v>0</v>
      </c>
      <c r="DP55" s="82"/>
      <c r="DQ55" s="82"/>
      <c r="DR55" s="82">
        <f t="shared" si="201"/>
        <v>0</v>
      </c>
      <c r="DS55" s="82">
        <f t="shared" si="202"/>
        <v>0</v>
      </c>
      <c r="DT55" s="82"/>
      <c r="DU55" s="82"/>
      <c r="DV55" s="82"/>
      <c r="DW55" s="82"/>
      <c r="DX55" s="82">
        <f t="shared" si="203"/>
        <v>0</v>
      </c>
      <c r="DY55" s="82">
        <f t="shared" si="204"/>
        <v>0</v>
      </c>
      <c r="DZ55" s="82">
        <f t="shared" si="205"/>
        <v>0</v>
      </c>
      <c r="EA55" s="82">
        <f t="shared" si="206"/>
        <v>0</v>
      </c>
      <c r="EB55" s="82"/>
      <c r="EC55" s="82"/>
      <c r="ED55" s="82">
        <f t="shared" si="207"/>
        <v>0</v>
      </c>
      <c r="EE55" s="82">
        <f t="shared" si="208"/>
        <v>0</v>
      </c>
      <c r="EF55" s="82"/>
      <c r="EG55" s="82"/>
      <c r="EH55" s="82"/>
      <c r="EI55" s="82"/>
      <c r="EJ55" s="82">
        <f t="shared" si="209"/>
        <v>0</v>
      </c>
      <c r="EK55" s="82">
        <f t="shared" si="210"/>
        <v>0</v>
      </c>
      <c r="EL55" s="82">
        <f t="shared" si="211"/>
        <v>0</v>
      </c>
      <c r="EM55" s="82">
        <f t="shared" si="212"/>
        <v>0</v>
      </c>
      <c r="EN55" s="82">
        <f t="shared" si="213"/>
        <v>0</v>
      </c>
      <c r="EO55" s="82">
        <f t="shared" si="214"/>
        <v>0</v>
      </c>
      <c r="EP55" s="82">
        <f t="shared" si="215"/>
        <v>0</v>
      </c>
      <c r="EQ55" s="82">
        <f t="shared" si="216"/>
        <v>0</v>
      </c>
      <c r="ER55" s="82"/>
      <c r="ES55" s="82"/>
      <c r="ET55" s="82">
        <f t="shared" si="217"/>
        <v>0</v>
      </c>
      <c r="EU55" s="82">
        <f t="shared" si="218"/>
        <v>0</v>
      </c>
      <c r="EV55" s="82"/>
      <c r="EW55" s="82"/>
      <c r="EX55" s="82"/>
      <c r="EY55" s="82"/>
      <c r="EZ55" s="82">
        <f t="shared" si="219"/>
        <v>0</v>
      </c>
      <c r="FA55" s="82">
        <f t="shared" si="220"/>
        <v>0</v>
      </c>
      <c r="FB55" s="82">
        <f t="shared" si="221"/>
        <v>0</v>
      </c>
      <c r="FC55" s="82">
        <f t="shared" si="222"/>
        <v>0</v>
      </c>
      <c r="FD55" s="82"/>
      <c r="FE55" s="82"/>
      <c r="FF55" s="82">
        <f t="shared" si="223"/>
        <v>0</v>
      </c>
      <c r="FG55" s="82">
        <f t="shared" si="224"/>
        <v>0</v>
      </c>
      <c r="FH55" s="82"/>
      <c r="FI55" s="82"/>
      <c r="FJ55" s="82"/>
      <c r="FK55" s="82"/>
      <c r="FL55" s="82">
        <f t="shared" si="225"/>
        <v>0</v>
      </c>
      <c r="FM55" s="82">
        <f t="shared" si="226"/>
        <v>0</v>
      </c>
      <c r="FN55" s="82">
        <f t="shared" si="227"/>
        <v>0</v>
      </c>
      <c r="FO55" s="82">
        <f t="shared" si="228"/>
        <v>0</v>
      </c>
      <c r="FP55" s="82"/>
      <c r="FQ55" s="82"/>
      <c r="FR55" s="82">
        <f t="shared" si="229"/>
        <v>0</v>
      </c>
      <c r="FS55" s="82">
        <f t="shared" si="230"/>
        <v>0</v>
      </c>
      <c r="FT55" s="82"/>
      <c r="FU55" s="82"/>
      <c r="FV55" s="82"/>
      <c r="FW55" s="82"/>
      <c r="FX55" s="82">
        <f t="shared" si="231"/>
        <v>0</v>
      </c>
      <c r="FY55" s="82">
        <f t="shared" si="232"/>
        <v>0</v>
      </c>
      <c r="FZ55" s="82">
        <f t="shared" si="233"/>
        <v>0</v>
      </c>
      <c r="GA55" s="82">
        <f t="shared" si="234"/>
        <v>0</v>
      </c>
      <c r="GB55" s="82">
        <f t="shared" si="235"/>
        <v>0</v>
      </c>
      <c r="GC55" s="82">
        <f t="shared" si="236"/>
        <v>0</v>
      </c>
      <c r="GD55" s="82">
        <f t="shared" si="237"/>
        <v>0</v>
      </c>
      <c r="GE55" s="82">
        <f t="shared" si="238"/>
        <v>0</v>
      </c>
      <c r="GF55" s="85"/>
    </row>
    <row r="56" ht="29.25" customHeight="1">
      <c r="A56" s="16"/>
      <c r="B56" s="16"/>
      <c r="C56" s="16"/>
      <c r="D56" s="78" t="s">
        <v>134</v>
      </c>
      <c r="E56" s="79">
        <v>61050.0</v>
      </c>
      <c r="F56" s="61" t="s">
        <v>135</v>
      </c>
      <c r="G56" s="93">
        <v>68.0</v>
      </c>
      <c r="H56" s="94">
        <v>4151400.0</v>
      </c>
      <c r="I56" s="82"/>
      <c r="J56" s="82"/>
      <c r="K56" s="82">
        <f t="shared" si="162"/>
        <v>0</v>
      </c>
      <c r="L56" s="82">
        <f t="shared" si="163"/>
        <v>0</v>
      </c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>
        <f t="shared" si="164"/>
        <v>0</v>
      </c>
      <c r="AC56" s="82">
        <f t="shared" si="165"/>
        <v>0</v>
      </c>
      <c r="AD56" s="82">
        <f t="shared" si="89"/>
        <v>68</v>
      </c>
      <c r="AE56" s="82">
        <f t="shared" si="166"/>
        <v>4151400</v>
      </c>
      <c r="AF56" s="82"/>
      <c r="AG56" s="82"/>
      <c r="AH56" s="82">
        <f t="shared" si="167"/>
        <v>0</v>
      </c>
      <c r="AI56" s="82">
        <f t="shared" si="168"/>
        <v>0</v>
      </c>
      <c r="AJ56" s="83">
        <v>8.0</v>
      </c>
      <c r="AK56" s="82"/>
      <c r="AL56" s="82"/>
      <c r="AM56" s="82"/>
      <c r="AN56" s="82">
        <f t="shared" si="169"/>
        <v>8</v>
      </c>
      <c r="AO56" s="82">
        <f t="shared" si="170"/>
        <v>488400</v>
      </c>
      <c r="AP56" s="82">
        <f t="shared" si="11"/>
        <v>60</v>
      </c>
      <c r="AQ56" s="82">
        <f t="shared" si="171"/>
        <v>3663000</v>
      </c>
      <c r="AR56" s="82"/>
      <c r="AS56" s="82"/>
      <c r="AT56" s="82"/>
      <c r="AU56" s="82">
        <f t="shared" si="172"/>
        <v>0</v>
      </c>
      <c r="AV56" s="82">
        <f t="shared" si="173"/>
        <v>0</v>
      </c>
      <c r="AW56" s="82"/>
      <c r="AX56" s="82"/>
      <c r="AY56" s="82"/>
      <c r="AZ56" s="82"/>
      <c r="BA56" s="82">
        <f t="shared" si="174"/>
        <v>0</v>
      </c>
      <c r="BB56" s="82">
        <f t="shared" si="175"/>
        <v>0</v>
      </c>
      <c r="BC56" s="82">
        <f t="shared" si="99"/>
        <v>60</v>
      </c>
      <c r="BD56" s="82">
        <f t="shared" si="176"/>
        <v>3663000</v>
      </c>
      <c r="BE56" s="82">
        <f t="shared" si="177"/>
        <v>0</v>
      </c>
      <c r="BF56" s="82">
        <f t="shared" si="178"/>
        <v>8</v>
      </c>
      <c r="BG56" s="82">
        <f t="shared" si="103"/>
        <v>60</v>
      </c>
      <c r="BH56" s="82">
        <f t="shared" si="179"/>
        <v>3663000</v>
      </c>
      <c r="BI56" s="82"/>
      <c r="BJ56" s="83"/>
      <c r="BK56" s="82">
        <f t="shared" si="180"/>
        <v>0</v>
      </c>
      <c r="BL56" s="82">
        <f t="shared" si="181"/>
        <v>0</v>
      </c>
      <c r="BM56" s="82"/>
      <c r="BN56" s="82"/>
      <c r="BO56" s="82"/>
      <c r="BP56" s="82"/>
      <c r="BQ56" s="82"/>
      <c r="BR56" s="82"/>
      <c r="BS56" s="83">
        <v>2.0</v>
      </c>
      <c r="BT56" s="82"/>
      <c r="BU56" s="82"/>
      <c r="BV56" s="83">
        <v>2.0</v>
      </c>
      <c r="BW56" s="82">
        <f t="shared" si="182"/>
        <v>4</v>
      </c>
      <c r="BX56" s="82">
        <f t="shared" si="183"/>
        <v>244200</v>
      </c>
      <c r="BY56" s="82">
        <f t="shared" si="109"/>
        <v>56</v>
      </c>
      <c r="BZ56" s="82">
        <f t="shared" si="184"/>
        <v>3418800</v>
      </c>
      <c r="CA56" s="82"/>
      <c r="CB56" s="82"/>
      <c r="CC56" s="82">
        <f t="shared" si="185"/>
        <v>0</v>
      </c>
      <c r="CD56" s="82">
        <f t="shared" si="186"/>
        <v>0</v>
      </c>
      <c r="CE56" s="83">
        <v>5.0</v>
      </c>
      <c r="CF56" s="82"/>
      <c r="CG56" s="82"/>
      <c r="CH56" s="82"/>
      <c r="CI56" s="82">
        <f t="shared" si="187"/>
        <v>5</v>
      </c>
      <c r="CJ56" s="82">
        <f t="shared" si="188"/>
        <v>305250</v>
      </c>
      <c r="CK56" s="82">
        <f t="shared" si="189"/>
        <v>51</v>
      </c>
      <c r="CL56" s="82">
        <f t="shared" si="190"/>
        <v>3113550</v>
      </c>
      <c r="CM56" s="82"/>
      <c r="CN56" s="82"/>
      <c r="CO56" s="82">
        <f t="shared" si="35"/>
        <v>0</v>
      </c>
      <c r="CP56" s="82">
        <f t="shared" si="36"/>
        <v>0</v>
      </c>
      <c r="CQ56" s="82"/>
      <c r="CR56" s="82"/>
      <c r="CS56" s="82"/>
      <c r="CT56" s="82"/>
      <c r="CU56" s="82">
        <f t="shared" si="191"/>
        <v>0</v>
      </c>
      <c r="CV56" s="82">
        <f t="shared" si="192"/>
        <v>0</v>
      </c>
      <c r="CW56" s="82">
        <f t="shared" si="39"/>
        <v>51</v>
      </c>
      <c r="CX56" s="82">
        <f t="shared" si="193"/>
        <v>3113550</v>
      </c>
      <c r="CY56" s="82">
        <f t="shared" si="41"/>
        <v>0</v>
      </c>
      <c r="CZ56" s="82">
        <f t="shared" si="194"/>
        <v>9</v>
      </c>
      <c r="DA56" s="82">
        <f t="shared" si="43"/>
        <v>51</v>
      </c>
      <c r="DB56" s="82">
        <f t="shared" si="44"/>
        <v>3113550</v>
      </c>
      <c r="DC56" s="91"/>
      <c r="DD56" s="82"/>
      <c r="DE56" s="82"/>
      <c r="DF56" s="82">
        <f t="shared" si="195"/>
        <v>0</v>
      </c>
      <c r="DG56" s="82">
        <f t="shared" si="196"/>
        <v>0</v>
      </c>
      <c r="DH56" s="82"/>
      <c r="DI56" s="82"/>
      <c r="DJ56" s="82"/>
      <c r="DK56" s="82"/>
      <c r="DL56" s="82">
        <f t="shared" si="197"/>
        <v>0</v>
      </c>
      <c r="DM56" s="82">
        <f t="shared" si="198"/>
        <v>0</v>
      </c>
      <c r="DN56" s="82">
        <f t="shared" si="199"/>
        <v>51</v>
      </c>
      <c r="DO56" s="82">
        <f t="shared" si="200"/>
        <v>3113550</v>
      </c>
      <c r="DP56" s="82"/>
      <c r="DQ56" s="82"/>
      <c r="DR56" s="82">
        <f t="shared" si="201"/>
        <v>0</v>
      </c>
      <c r="DS56" s="82">
        <f t="shared" si="202"/>
        <v>0</v>
      </c>
      <c r="DT56" s="82"/>
      <c r="DU56" s="82"/>
      <c r="DV56" s="82"/>
      <c r="DW56" s="82"/>
      <c r="DX56" s="82">
        <f t="shared" si="203"/>
        <v>0</v>
      </c>
      <c r="DY56" s="82">
        <f t="shared" si="204"/>
        <v>0</v>
      </c>
      <c r="DZ56" s="82">
        <f t="shared" si="205"/>
        <v>51</v>
      </c>
      <c r="EA56" s="82">
        <f t="shared" si="206"/>
        <v>3113550</v>
      </c>
      <c r="EB56" s="82"/>
      <c r="EC56" s="82"/>
      <c r="ED56" s="82">
        <f t="shared" si="207"/>
        <v>0</v>
      </c>
      <c r="EE56" s="82">
        <f t="shared" si="208"/>
        <v>0</v>
      </c>
      <c r="EF56" s="82"/>
      <c r="EG56" s="82"/>
      <c r="EH56" s="82"/>
      <c r="EI56" s="82"/>
      <c r="EJ56" s="82">
        <f t="shared" si="209"/>
        <v>0</v>
      </c>
      <c r="EK56" s="82">
        <f t="shared" si="210"/>
        <v>0</v>
      </c>
      <c r="EL56" s="82">
        <f t="shared" si="211"/>
        <v>51</v>
      </c>
      <c r="EM56" s="82">
        <f t="shared" si="212"/>
        <v>3113550</v>
      </c>
      <c r="EN56" s="82">
        <f t="shared" si="213"/>
        <v>0</v>
      </c>
      <c r="EO56" s="82">
        <f t="shared" si="214"/>
        <v>0</v>
      </c>
      <c r="EP56" s="82">
        <f t="shared" si="215"/>
        <v>51</v>
      </c>
      <c r="EQ56" s="82">
        <f t="shared" si="216"/>
        <v>3113550</v>
      </c>
      <c r="ER56" s="82"/>
      <c r="ES56" s="82"/>
      <c r="ET56" s="82">
        <f t="shared" si="217"/>
        <v>0</v>
      </c>
      <c r="EU56" s="82">
        <f t="shared" si="218"/>
        <v>0</v>
      </c>
      <c r="EV56" s="82"/>
      <c r="EW56" s="82"/>
      <c r="EX56" s="82"/>
      <c r="EY56" s="82"/>
      <c r="EZ56" s="82">
        <f t="shared" si="219"/>
        <v>0</v>
      </c>
      <c r="FA56" s="82">
        <f t="shared" si="220"/>
        <v>0</v>
      </c>
      <c r="FB56" s="82">
        <f t="shared" si="221"/>
        <v>51</v>
      </c>
      <c r="FC56" s="82">
        <f t="shared" si="222"/>
        <v>3113550</v>
      </c>
      <c r="FD56" s="82"/>
      <c r="FE56" s="82"/>
      <c r="FF56" s="82">
        <f t="shared" si="223"/>
        <v>0</v>
      </c>
      <c r="FG56" s="82">
        <f t="shared" si="224"/>
        <v>0</v>
      </c>
      <c r="FH56" s="82"/>
      <c r="FI56" s="82"/>
      <c r="FJ56" s="82"/>
      <c r="FK56" s="82"/>
      <c r="FL56" s="82">
        <f t="shared" si="225"/>
        <v>0</v>
      </c>
      <c r="FM56" s="82">
        <f t="shared" si="226"/>
        <v>0</v>
      </c>
      <c r="FN56" s="82">
        <f t="shared" si="227"/>
        <v>51</v>
      </c>
      <c r="FO56" s="82">
        <f t="shared" si="228"/>
        <v>3113550</v>
      </c>
      <c r="FP56" s="82"/>
      <c r="FQ56" s="82"/>
      <c r="FR56" s="82">
        <f t="shared" si="229"/>
        <v>0</v>
      </c>
      <c r="FS56" s="82">
        <f t="shared" si="230"/>
        <v>0</v>
      </c>
      <c r="FT56" s="82"/>
      <c r="FU56" s="82"/>
      <c r="FV56" s="82"/>
      <c r="FW56" s="82"/>
      <c r="FX56" s="82">
        <f t="shared" si="231"/>
        <v>0</v>
      </c>
      <c r="FY56" s="82">
        <f t="shared" si="232"/>
        <v>0</v>
      </c>
      <c r="FZ56" s="82">
        <f t="shared" si="233"/>
        <v>51</v>
      </c>
      <c r="GA56" s="82">
        <f t="shared" si="234"/>
        <v>3113550</v>
      </c>
      <c r="GB56" s="82">
        <f t="shared" si="235"/>
        <v>0</v>
      </c>
      <c r="GC56" s="82">
        <f t="shared" si="236"/>
        <v>0</v>
      </c>
      <c r="GD56" s="82">
        <f t="shared" si="237"/>
        <v>51</v>
      </c>
      <c r="GE56" s="82">
        <f t="shared" si="238"/>
        <v>3113550</v>
      </c>
      <c r="GF56" s="95"/>
    </row>
    <row r="57" ht="29.25" customHeight="1">
      <c r="A57" s="76"/>
      <c r="B57" s="76"/>
      <c r="C57" s="88"/>
      <c r="D57" s="89" t="s">
        <v>134</v>
      </c>
      <c r="E57" s="86">
        <v>66600.0</v>
      </c>
      <c r="F57" s="80" t="s">
        <v>119</v>
      </c>
      <c r="G57" s="90">
        <v>55.0</v>
      </c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>
        <f t="shared" si="89"/>
        <v>55</v>
      </c>
      <c r="AE57" s="82">
        <f>AD57*E56</f>
        <v>3357750</v>
      </c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>
        <f t="shared" si="11"/>
        <v>55</v>
      </c>
      <c r="AQ57" s="82">
        <f>AP57*E56</f>
        <v>3357750</v>
      </c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>
        <f t="shared" si="99"/>
        <v>55</v>
      </c>
      <c r="BD57" s="82">
        <f>BC57*E56</f>
        <v>3357750</v>
      </c>
      <c r="BE57" s="82"/>
      <c r="BF57" s="82"/>
      <c r="BG57" s="82">
        <f t="shared" si="103"/>
        <v>55</v>
      </c>
      <c r="BH57" s="83">
        <v>0.0</v>
      </c>
      <c r="BI57" s="82"/>
      <c r="BJ57" s="83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>
        <f t="shared" si="109"/>
        <v>55</v>
      </c>
      <c r="BZ57" s="82">
        <f>BY57*E56</f>
        <v>3357750</v>
      </c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>
        <f t="shared" si="189"/>
        <v>55</v>
      </c>
      <c r="CL57" s="82">
        <f>CK57*E56</f>
        <v>3357750</v>
      </c>
      <c r="CM57" s="83">
        <v>68.0</v>
      </c>
      <c r="CN57" s="82"/>
      <c r="CO57" s="82">
        <f t="shared" si="35"/>
        <v>68</v>
      </c>
      <c r="CP57" s="82">
        <f t="shared" si="36"/>
        <v>4528800</v>
      </c>
      <c r="CQ57" s="82"/>
      <c r="CR57" s="82"/>
      <c r="CS57" s="82"/>
      <c r="CT57" s="82"/>
      <c r="CU57" s="82"/>
      <c r="CV57" s="82"/>
      <c r="CW57" s="82">
        <f t="shared" si="39"/>
        <v>123</v>
      </c>
      <c r="CX57" s="82">
        <f>(CO57*E57)+(CK57*E56)</f>
        <v>7886550</v>
      </c>
      <c r="CY57" s="82">
        <f t="shared" si="41"/>
        <v>68</v>
      </c>
      <c r="CZ57" s="82">
        <f t="shared" si="194"/>
        <v>0</v>
      </c>
      <c r="DA57" s="82">
        <f t="shared" si="43"/>
        <v>123</v>
      </c>
      <c r="DB57" s="82">
        <f t="shared" si="44"/>
        <v>8191800</v>
      </c>
      <c r="DC57" s="91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  <c r="EY57" s="82"/>
      <c r="EZ57" s="82"/>
      <c r="FA57" s="82"/>
      <c r="FB57" s="82"/>
      <c r="FC57" s="82"/>
      <c r="FD57" s="82"/>
      <c r="FE57" s="82"/>
      <c r="FF57" s="82"/>
      <c r="FG57" s="82"/>
      <c r="FH57" s="82"/>
      <c r="FI57" s="82"/>
      <c r="FJ57" s="82"/>
      <c r="FK57" s="82"/>
      <c r="FL57" s="82"/>
      <c r="FM57" s="82"/>
      <c r="FN57" s="82"/>
      <c r="FO57" s="82"/>
      <c r="FP57" s="82"/>
      <c r="FQ57" s="82"/>
      <c r="FR57" s="82"/>
      <c r="FS57" s="82"/>
      <c r="FT57" s="82"/>
      <c r="FU57" s="82"/>
      <c r="FV57" s="82"/>
      <c r="FW57" s="82"/>
      <c r="FX57" s="82"/>
      <c r="FY57" s="82"/>
      <c r="FZ57" s="82"/>
      <c r="GA57" s="82"/>
      <c r="GB57" s="82"/>
      <c r="GC57" s="82"/>
      <c r="GD57" s="82"/>
      <c r="GE57" s="82"/>
      <c r="GF57" s="85"/>
    </row>
    <row r="58" ht="29.25" customHeight="1">
      <c r="A58" s="96">
        <v>30.0</v>
      </c>
      <c r="B58" s="96"/>
      <c r="C58" s="100" t="s">
        <v>136</v>
      </c>
      <c r="D58" s="78" t="s">
        <v>134</v>
      </c>
      <c r="E58" s="79"/>
      <c r="F58" s="61"/>
      <c r="G58" s="81">
        <v>0.0</v>
      </c>
      <c r="H58" s="82">
        <v>0.0</v>
      </c>
      <c r="I58" s="82"/>
      <c r="J58" s="82"/>
      <c r="K58" s="82">
        <f t="shared" ref="K58:K60" si="239">SUM(I58:J58)</f>
        <v>0</v>
      </c>
      <c r="L58" s="82">
        <f t="shared" ref="L58:L60" si="240">K58*E58</f>
        <v>0</v>
      </c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>
        <f t="shared" ref="AB58:AB60" si="241">SUM(M58:AA58)</f>
        <v>0</v>
      </c>
      <c r="AC58" s="82">
        <f t="shared" ref="AC58:AC60" si="242">AB58*E58</f>
        <v>0</v>
      </c>
      <c r="AD58" s="82">
        <f t="shared" si="89"/>
        <v>0</v>
      </c>
      <c r="AE58" s="82">
        <f t="shared" ref="AE58:AE60" si="243">AD58*E58</f>
        <v>0</v>
      </c>
      <c r="AF58" s="82"/>
      <c r="AG58" s="82"/>
      <c r="AH58" s="82">
        <f t="shared" ref="AH58:AH60" si="244">SUM(AF58:AG58)</f>
        <v>0</v>
      </c>
      <c r="AI58" s="82">
        <f t="shared" ref="AI58:AI60" si="245">AH58*E58</f>
        <v>0</v>
      </c>
      <c r="AJ58" s="82"/>
      <c r="AK58" s="82"/>
      <c r="AL58" s="82"/>
      <c r="AM58" s="82"/>
      <c r="AN58" s="82">
        <f t="shared" ref="AN58:AN60" si="246">SUM(AJ58:AM58)</f>
        <v>0</v>
      </c>
      <c r="AO58" s="82">
        <f t="shared" ref="AO58:AO60" si="247">AN58*E58</f>
        <v>0</v>
      </c>
      <c r="AP58" s="82">
        <f t="shared" si="11"/>
        <v>0</v>
      </c>
      <c r="AQ58" s="82">
        <f t="shared" ref="AQ58:AQ60" si="248">AP58*E58</f>
        <v>0</v>
      </c>
      <c r="AR58" s="82"/>
      <c r="AS58" s="82"/>
      <c r="AT58" s="82"/>
      <c r="AU58" s="82">
        <f t="shared" ref="AU58:AU60" si="249">SUM(AS58:AT58)</f>
        <v>0</v>
      </c>
      <c r="AV58" s="82">
        <f t="shared" ref="AV58:AV60" si="250">AU58*AB58</f>
        <v>0</v>
      </c>
      <c r="AW58" s="82"/>
      <c r="AX58" s="82"/>
      <c r="AY58" s="82"/>
      <c r="AZ58" s="82"/>
      <c r="BA58" s="82">
        <f t="shared" ref="BA58:BA60" si="251">SUM(AW58:AZ58)</f>
        <v>0</v>
      </c>
      <c r="BB58" s="82">
        <f t="shared" ref="BB58:BB60" si="252">BA58*AB58</f>
        <v>0</v>
      </c>
      <c r="BC58" s="82">
        <f t="shared" si="99"/>
        <v>0</v>
      </c>
      <c r="BD58" s="82">
        <f t="shared" ref="BD58:BD60" si="253">BC58*E58</f>
        <v>0</v>
      </c>
      <c r="BE58" s="82">
        <f t="shared" ref="BE58:BE60" si="254">K58+AH58+AU58</f>
        <v>0</v>
      </c>
      <c r="BF58" s="82">
        <f t="shared" ref="BF58:BF60" si="255">AB58+AN58+BA58</f>
        <v>0</v>
      </c>
      <c r="BG58" s="82">
        <f t="shared" si="103"/>
        <v>0</v>
      </c>
      <c r="BH58" s="82">
        <f t="shared" ref="BH58:BH60" si="256">BG58*E58</f>
        <v>0</v>
      </c>
      <c r="BI58" s="82"/>
      <c r="BJ58" s="83"/>
      <c r="BK58" s="82">
        <f t="shared" ref="BK58:BK60" si="257">SUM(BI58:BJ58)</f>
        <v>0</v>
      </c>
      <c r="BL58" s="82">
        <f t="shared" ref="BL58:BL60" si="258">BK58*E58</f>
        <v>0</v>
      </c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>
        <f t="shared" ref="BW58:BW60" si="259">SUM(BM58:BV58)</f>
        <v>0</v>
      </c>
      <c r="BX58" s="82">
        <f t="shared" ref="BX58:BX60" si="260">BW58*E58</f>
        <v>0</v>
      </c>
      <c r="BY58" s="82">
        <f t="shared" si="109"/>
        <v>0</v>
      </c>
      <c r="BZ58" s="82">
        <f t="shared" ref="BZ58:BZ60" si="261">BY58*E58</f>
        <v>0</v>
      </c>
      <c r="CA58" s="82"/>
      <c r="CB58" s="82"/>
      <c r="CC58" s="82">
        <f t="shared" ref="CC58:CC60" si="262">sum(CA58:CB58)</f>
        <v>0</v>
      </c>
      <c r="CD58" s="82">
        <f t="shared" ref="CD58:CD60" si="263">CC58*E58</f>
        <v>0</v>
      </c>
      <c r="CE58" s="82"/>
      <c r="CF58" s="82"/>
      <c r="CG58" s="82"/>
      <c r="CH58" s="82"/>
      <c r="CI58" s="82">
        <f t="shared" ref="CI58:CI60" si="264">sum(CE58:CH58)</f>
        <v>0</v>
      </c>
      <c r="CJ58" s="82">
        <f t="shared" ref="CJ58:CJ60" si="265">CI58*E58</f>
        <v>0</v>
      </c>
      <c r="CK58" s="82">
        <f t="shared" si="189"/>
        <v>0</v>
      </c>
      <c r="CL58" s="82">
        <f t="shared" ref="CL58:CL60" si="266">CK58*E58</f>
        <v>0</v>
      </c>
      <c r="CM58" s="82"/>
      <c r="CN58" s="82"/>
      <c r="CO58" s="82">
        <f t="shared" si="35"/>
        <v>0</v>
      </c>
      <c r="CP58" s="82">
        <f t="shared" si="36"/>
        <v>0</v>
      </c>
      <c r="CQ58" s="82"/>
      <c r="CR58" s="82"/>
      <c r="CS58" s="82"/>
      <c r="CT58" s="82"/>
      <c r="CU58" s="82">
        <f t="shared" ref="CU58:CU60" si="267">sum(CQ58:CT58)</f>
        <v>0</v>
      </c>
      <c r="CV58" s="82">
        <f t="shared" ref="CV58:CV60" si="268">CU58*E58</f>
        <v>0</v>
      </c>
      <c r="CW58" s="82">
        <f t="shared" si="39"/>
        <v>0</v>
      </c>
      <c r="CX58" s="82">
        <f t="shared" ref="CX58:CX60" si="269">CW58*E58</f>
        <v>0</v>
      </c>
      <c r="CY58" s="82">
        <f t="shared" si="41"/>
        <v>0</v>
      </c>
      <c r="CZ58" s="82">
        <f t="shared" si="194"/>
        <v>0</v>
      </c>
      <c r="DA58" s="82">
        <f t="shared" si="43"/>
        <v>0</v>
      </c>
      <c r="DB58" s="82">
        <f t="shared" si="44"/>
        <v>0</v>
      </c>
      <c r="DC58" s="84">
        <v>0.0</v>
      </c>
      <c r="DD58" s="82"/>
      <c r="DE58" s="82"/>
      <c r="DF58" s="82">
        <f t="shared" ref="DF58:DF60" si="270">sum(DD58:DE58)</f>
        <v>0</v>
      </c>
      <c r="DG58" s="82">
        <f t="shared" ref="DG58:DG60" si="271">DF58*E58</f>
        <v>0</v>
      </c>
      <c r="DH58" s="82"/>
      <c r="DI58" s="82"/>
      <c r="DJ58" s="82"/>
      <c r="DK58" s="82"/>
      <c r="DL58" s="82">
        <f t="shared" ref="DL58:DL60" si="272">sum(DH58:DK58)</f>
        <v>0</v>
      </c>
      <c r="DM58" s="82">
        <f t="shared" ref="DM58:DM60" si="273">DL58*E58</f>
        <v>0</v>
      </c>
      <c r="DN58" s="82">
        <f t="shared" ref="DN58:DN70" si="274">DA58+DF58-DL58</f>
        <v>0</v>
      </c>
      <c r="DO58" s="82">
        <f t="shared" ref="DO58:DO70" si="275">DN58*E58</f>
        <v>0</v>
      </c>
      <c r="DP58" s="82"/>
      <c r="DQ58" s="82"/>
      <c r="DR58" s="82">
        <f t="shared" ref="DR58:DR60" si="276">sum(DP58:DQ58)</f>
        <v>0</v>
      </c>
      <c r="DS58" s="82">
        <f t="shared" ref="DS58:DS60" si="277">DR58*AB58</f>
        <v>0</v>
      </c>
      <c r="DT58" s="82"/>
      <c r="DU58" s="82"/>
      <c r="DV58" s="82"/>
      <c r="DW58" s="82"/>
      <c r="DX58" s="82">
        <f t="shared" ref="DX58:DX60" si="278">sum(DT58:DW58)</f>
        <v>0</v>
      </c>
      <c r="DY58" s="82">
        <f t="shared" ref="DY58:DY60" si="279">DX58*AB58</f>
        <v>0</v>
      </c>
      <c r="DZ58" s="82">
        <f t="shared" ref="DZ58:DZ70" si="280">DN58+DR58-DX58</f>
        <v>0</v>
      </c>
      <c r="EA58" s="82">
        <f t="shared" ref="EA58:EA70" si="281">DZ58*E58</f>
        <v>0</v>
      </c>
      <c r="EB58" s="82"/>
      <c r="EC58" s="82"/>
      <c r="ED58" s="82">
        <f t="shared" ref="ED58:ED60" si="282">sum(EB58:EC58)</f>
        <v>0</v>
      </c>
      <c r="EE58" s="82">
        <f t="shared" ref="EE58:EE60" si="283">ED58*AN58</f>
        <v>0</v>
      </c>
      <c r="EF58" s="82"/>
      <c r="EG58" s="82"/>
      <c r="EH58" s="82"/>
      <c r="EI58" s="82"/>
      <c r="EJ58" s="82">
        <f t="shared" ref="EJ58:EJ60" si="284">sum(EF58:EI58)</f>
        <v>0</v>
      </c>
      <c r="EK58" s="82">
        <f t="shared" ref="EK58:EK60" si="285">EJ58*AN58</f>
        <v>0</v>
      </c>
      <c r="EL58" s="82">
        <f t="shared" ref="EL58:EL70" si="286">DZ58+ED58-EJ58</f>
        <v>0</v>
      </c>
      <c r="EM58" s="82">
        <f t="shared" ref="EM58:EM70" si="287">EL58*E58</f>
        <v>0</v>
      </c>
      <c r="EN58" s="82">
        <f t="shared" ref="EN58:EN60" si="288">DF58+DR58+ED58</f>
        <v>0</v>
      </c>
      <c r="EO58" s="82">
        <f t="shared" ref="EO58:EO60" si="289">DL58+DX58+EJ58</f>
        <v>0</v>
      </c>
      <c r="EP58" s="82">
        <f t="shared" ref="EP58:EP70" si="290">DA58+EN58-EO58</f>
        <v>0</v>
      </c>
      <c r="EQ58" s="82">
        <f t="shared" ref="EQ58:EQ70" si="291">EP58*E58</f>
        <v>0</v>
      </c>
      <c r="ER58" s="82"/>
      <c r="ES58" s="82"/>
      <c r="ET58" s="82">
        <f t="shared" ref="ET58:ET60" si="292">sum(ER58:ES58)</f>
        <v>0</v>
      </c>
      <c r="EU58" s="82">
        <f t="shared" ref="EU58:EU60" si="293">ET58*BE58</f>
        <v>0</v>
      </c>
      <c r="EV58" s="82"/>
      <c r="EW58" s="82"/>
      <c r="EX58" s="82"/>
      <c r="EY58" s="82"/>
      <c r="EZ58" s="82">
        <f t="shared" ref="EZ58:EZ60" si="294">sum(EV58:EY58)</f>
        <v>0</v>
      </c>
      <c r="FA58" s="82">
        <f t="shared" ref="FA58:FA60" si="295">EZ58*BE58</f>
        <v>0</v>
      </c>
      <c r="FB58" s="82">
        <f t="shared" ref="FB58:FB70" si="296">EP58+ET58-EZ58</f>
        <v>0</v>
      </c>
      <c r="FC58" s="82">
        <f t="shared" ref="FC58:FC70" si="297">FB58*E58</f>
        <v>0</v>
      </c>
      <c r="FD58" s="82"/>
      <c r="FE58" s="82"/>
      <c r="FF58" s="82">
        <f t="shared" ref="FF58:FF60" si="298">sum(FD58:FE58)</f>
        <v>0</v>
      </c>
      <c r="FG58" s="82">
        <f t="shared" ref="FG58:FG60" si="299">FF58*BW58</f>
        <v>0</v>
      </c>
      <c r="FH58" s="82"/>
      <c r="FI58" s="82"/>
      <c r="FJ58" s="82"/>
      <c r="FK58" s="82"/>
      <c r="FL58" s="82">
        <f t="shared" ref="FL58:FL60" si="300">sum(FH58:FK58)</f>
        <v>0</v>
      </c>
      <c r="FM58" s="82">
        <f t="shared" ref="FM58:FM60" si="301">FL58*BW58</f>
        <v>0</v>
      </c>
      <c r="FN58" s="82">
        <f t="shared" ref="FN58:FN70" si="302">FB58+FF58-FL58</f>
        <v>0</v>
      </c>
      <c r="FO58" s="82">
        <f t="shared" ref="FO58:FO70" si="303">FN58*E58</f>
        <v>0</v>
      </c>
      <c r="FP58" s="82"/>
      <c r="FQ58" s="82"/>
      <c r="FR58" s="82">
        <f t="shared" ref="FR58:FR60" si="304">sum(FP58:FQ58)</f>
        <v>0</v>
      </c>
      <c r="FS58" s="82">
        <f t="shared" ref="FS58:FS60" si="305">FR58*CI58</f>
        <v>0</v>
      </c>
      <c r="FT58" s="82"/>
      <c r="FU58" s="82"/>
      <c r="FV58" s="82"/>
      <c r="FW58" s="82"/>
      <c r="FX58" s="82">
        <f t="shared" ref="FX58:FX60" si="306">sum(FT58:FW58)</f>
        <v>0</v>
      </c>
      <c r="FY58" s="82">
        <f t="shared" ref="FY58:FY60" si="307">FX58*CI58</f>
        <v>0</v>
      </c>
      <c r="FZ58" s="82">
        <f t="shared" ref="FZ58:FZ70" si="308">FN58+FR58-FX58</f>
        <v>0</v>
      </c>
      <c r="GA58" s="82">
        <f t="shared" ref="GA58:GA70" si="309">FZ58*E58</f>
        <v>0</v>
      </c>
      <c r="GB58" s="82">
        <f t="shared" ref="GB58:GB70" si="310">ET58+FF58+FR58</f>
        <v>0</v>
      </c>
      <c r="GC58" s="82">
        <f t="shared" ref="GC58:GC60" si="311">EZ58+FL58+FX58</f>
        <v>0</v>
      </c>
      <c r="GD58" s="82">
        <f t="shared" ref="GD58:GD70" si="312">EP58+GB58-GC58</f>
        <v>0</v>
      </c>
      <c r="GE58" s="82">
        <f t="shared" ref="GE58:GE70" si="313">GD58*E58</f>
        <v>0</v>
      </c>
      <c r="GF58" s="85"/>
    </row>
    <row r="59" ht="29.25" customHeight="1">
      <c r="A59" s="76">
        <v>31.0</v>
      </c>
      <c r="B59" s="76"/>
      <c r="C59" s="88" t="s">
        <v>137</v>
      </c>
      <c r="D59" s="78" t="s">
        <v>134</v>
      </c>
      <c r="E59" s="86">
        <v>56757.0</v>
      </c>
      <c r="F59" s="80" t="s">
        <v>86</v>
      </c>
      <c r="G59" s="81">
        <v>25.0</v>
      </c>
      <c r="H59" s="82">
        <v>1418925.0</v>
      </c>
      <c r="I59" s="82"/>
      <c r="J59" s="82"/>
      <c r="K59" s="82">
        <f t="shared" si="239"/>
        <v>0</v>
      </c>
      <c r="L59" s="82">
        <f t="shared" si="240"/>
        <v>0</v>
      </c>
      <c r="M59" s="83">
        <v>2.0</v>
      </c>
      <c r="N59" s="83">
        <v>2.0</v>
      </c>
      <c r="O59" s="83">
        <v>2.0</v>
      </c>
      <c r="P59" s="83">
        <v>5.0</v>
      </c>
      <c r="Q59" s="82"/>
      <c r="R59" s="82"/>
      <c r="S59" s="82"/>
      <c r="T59" s="82"/>
      <c r="U59" s="83">
        <v>5.0</v>
      </c>
      <c r="V59" s="83">
        <v>5.0</v>
      </c>
      <c r="W59" s="82"/>
      <c r="X59" s="82"/>
      <c r="Y59" s="82"/>
      <c r="Z59" s="83">
        <v>2.0</v>
      </c>
      <c r="AA59" s="82"/>
      <c r="AB59" s="82">
        <f t="shared" si="241"/>
        <v>23</v>
      </c>
      <c r="AC59" s="82">
        <f t="shared" si="242"/>
        <v>1305411</v>
      </c>
      <c r="AD59" s="82">
        <f t="shared" si="89"/>
        <v>2</v>
      </c>
      <c r="AE59" s="82">
        <f t="shared" si="243"/>
        <v>113514</v>
      </c>
      <c r="AF59" s="82"/>
      <c r="AG59" s="82"/>
      <c r="AH59" s="82">
        <f t="shared" si="244"/>
        <v>0</v>
      </c>
      <c r="AI59" s="82">
        <f t="shared" si="245"/>
        <v>0</v>
      </c>
      <c r="AJ59" s="83">
        <v>2.0</v>
      </c>
      <c r="AK59" s="82"/>
      <c r="AL59" s="82"/>
      <c r="AM59" s="82"/>
      <c r="AN59" s="82">
        <f t="shared" si="246"/>
        <v>2</v>
      </c>
      <c r="AO59" s="82">
        <f t="shared" si="247"/>
        <v>113514</v>
      </c>
      <c r="AP59" s="82">
        <f t="shared" si="11"/>
        <v>0</v>
      </c>
      <c r="AQ59" s="82">
        <f t="shared" si="248"/>
        <v>0</v>
      </c>
      <c r="AR59" s="82"/>
      <c r="AS59" s="82"/>
      <c r="AT59" s="82"/>
      <c r="AU59" s="82">
        <f t="shared" si="249"/>
        <v>0</v>
      </c>
      <c r="AV59" s="82">
        <f t="shared" si="250"/>
        <v>0</v>
      </c>
      <c r="AW59" s="82"/>
      <c r="AX59" s="82"/>
      <c r="AY59" s="82"/>
      <c r="AZ59" s="82"/>
      <c r="BA59" s="82">
        <f t="shared" si="251"/>
        <v>0</v>
      </c>
      <c r="BB59" s="82">
        <f t="shared" si="252"/>
        <v>0</v>
      </c>
      <c r="BC59" s="82">
        <f t="shared" si="99"/>
        <v>0</v>
      </c>
      <c r="BD59" s="82">
        <f t="shared" si="253"/>
        <v>0</v>
      </c>
      <c r="BE59" s="82">
        <f t="shared" si="254"/>
        <v>0</v>
      </c>
      <c r="BF59" s="82">
        <f t="shared" si="255"/>
        <v>25</v>
      </c>
      <c r="BG59" s="82">
        <f t="shared" si="103"/>
        <v>0</v>
      </c>
      <c r="BH59" s="82">
        <f t="shared" si="256"/>
        <v>0</v>
      </c>
      <c r="BI59" s="82"/>
      <c r="BJ59" s="83"/>
      <c r="BK59" s="82">
        <f t="shared" si="257"/>
        <v>0</v>
      </c>
      <c r="BL59" s="82">
        <f t="shared" si="258"/>
        <v>0</v>
      </c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>
        <f t="shared" si="259"/>
        <v>0</v>
      </c>
      <c r="BX59" s="82">
        <f t="shared" si="260"/>
        <v>0</v>
      </c>
      <c r="BY59" s="82">
        <f t="shared" si="109"/>
        <v>0</v>
      </c>
      <c r="BZ59" s="82">
        <f t="shared" si="261"/>
        <v>0</v>
      </c>
      <c r="CA59" s="82"/>
      <c r="CB59" s="82"/>
      <c r="CC59" s="82">
        <f t="shared" si="262"/>
        <v>0</v>
      </c>
      <c r="CD59" s="82">
        <f t="shared" si="263"/>
        <v>0</v>
      </c>
      <c r="CE59" s="82"/>
      <c r="CF59" s="82"/>
      <c r="CG59" s="82"/>
      <c r="CH59" s="82"/>
      <c r="CI59" s="82">
        <f t="shared" si="264"/>
        <v>0</v>
      </c>
      <c r="CJ59" s="82">
        <f t="shared" si="265"/>
        <v>0</v>
      </c>
      <c r="CK59" s="82">
        <f t="shared" si="189"/>
        <v>0</v>
      </c>
      <c r="CL59" s="82">
        <f t="shared" si="266"/>
        <v>0</v>
      </c>
      <c r="CM59" s="82"/>
      <c r="CN59" s="82"/>
      <c r="CO59" s="82">
        <f t="shared" si="35"/>
        <v>0</v>
      </c>
      <c r="CP59" s="82">
        <f t="shared" si="36"/>
        <v>0</v>
      </c>
      <c r="CQ59" s="82"/>
      <c r="CR59" s="82"/>
      <c r="CS59" s="82"/>
      <c r="CT59" s="82"/>
      <c r="CU59" s="82">
        <f t="shared" si="267"/>
        <v>0</v>
      </c>
      <c r="CV59" s="82">
        <f t="shared" si="268"/>
        <v>0</v>
      </c>
      <c r="CW59" s="82">
        <f t="shared" si="39"/>
        <v>0</v>
      </c>
      <c r="CX59" s="82">
        <f t="shared" si="269"/>
        <v>0</v>
      </c>
      <c r="CY59" s="82">
        <f t="shared" si="41"/>
        <v>0</v>
      </c>
      <c r="CZ59" s="82">
        <f t="shared" si="194"/>
        <v>0</v>
      </c>
      <c r="DA59" s="82">
        <f t="shared" si="43"/>
        <v>0</v>
      </c>
      <c r="DB59" s="82">
        <f t="shared" si="44"/>
        <v>0</v>
      </c>
      <c r="DC59" s="84">
        <v>128.0</v>
      </c>
      <c r="DD59" s="82"/>
      <c r="DE59" s="82"/>
      <c r="DF59" s="82">
        <f t="shared" si="270"/>
        <v>0</v>
      </c>
      <c r="DG59" s="82">
        <f t="shared" si="271"/>
        <v>0</v>
      </c>
      <c r="DH59" s="82"/>
      <c r="DI59" s="82"/>
      <c r="DJ59" s="82"/>
      <c r="DK59" s="82"/>
      <c r="DL59" s="82">
        <f t="shared" si="272"/>
        <v>0</v>
      </c>
      <c r="DM59" s="82">
        <f t="shared" si="273"/>
        <v>0</v>
      </c>
      <c r="DN59" s="82">
        <f t="shared" si="274"/>
        <v>0</v>
      </c>
      <c r="DO59" s="82">
        <f t="shared" si="275"/>
        <v>0</v>
      </c>
      <c r="DP59" s="82"/>
      <c r="DQ59" s="82"/>
      <c r="DR59" s="82">
        <f t="shared" si="276"/>
        <v>0</v>
      </c>
      <c r="DS59" s="82">
        <f t="shared" si="277"/>
        <v>0</v>
      </c>
      <c r="DT59" s="82"/>
      <c r="DU59" s="82"/>
      <c r="DV59" s="82"/>
      <c r="DW59" s="82"/>
      <c r="DX59" s="82">
        <f t="shared" si="278"/>
        <v>0</v>
      </c>
      <c r="DY59" s="82">
        <f t="shared" si="279"/>
        <v>0</v>
      </c>
      <c r="DZ59" s="82">
        <f t="shared" si="280"/>
        <v>0</v>
      </c>
      <c r="EA59" s="82">
        <f t="shared" si="281"/>
        <v>0</v>
      </c>
      <c r="EB59" s="82"/>
      <c r="EC59" s="82"/>
      <c r="ED59" s="82">
        <f t="shared" si="282"/>
        <v>0</v>
      </c>
      <c r="EE59" s="82">
        <f t="shared" si="283"/>
        <v>0</v>
      </c>
      <c r="EF59" s="82"/>
      <c r="EG59" s="82"/>
      <c r="EH59" s="82"/>
      <c r="EI59" s="82"/>
      <c r="EJ59" s="82">
        <f t="shared" si="284"/>
        <v>0</v>
      </c>
      <c r="EK59" s="82">
        <f t="shared" si="285"/>
        <v>0</v>
      </c>
      <c r="EL59" s="82">
        <f t="shared" si="286"/>
        <v>0</v>
      </c>
      <c r="EM59" s="82">
        <f t="shared" si="287"/>
        <v>0</v>
      </c>
      <c r="EN59" s="82">
        <f t="shared" si="288"/>
        <v>0</v>
      </c>
      <c r="EO59" s="82">
        <f t="shared" si="289"/>
        <v>0</v>
      </c>
      <c r="EP59" s="82">
        <f t="shared" si="290"/>
        <v>0</v>
      </c>
      <c r="EQ59" s="82">
        <f t="shared" si="291"/>
        <v>0</v>
      </c>
      <c r="ER59" s="82"/>
      <c r="ES59" s="82"/>
      <c r="ET59" s="82">
        <f t="shared" si="292"/>
        <v>0</v>
      </c>
      <c r="EU59" s="82">
        <f t="shared" si="293"/>
        <v>0</v>
      </c>
      <c r="EV59" s="82"/>
      <c r="EW59" s="82"/>
      <c r="EX59" s="82"/>
      <c r="EY59" s="82"/>
      <c r="EZ59" s="82">
        <f t="shared" si="294"/>
        <v>0</v>
      </c>
      <c r="FA59" s="82">
        <f t="shared" si="295"/>
        <v>0</v>
      </c>
      <c r="FB59" s="82">
        <f t="shared" si="296"/>
        <v>0</v>
      </c>
      <c r="FC59" s="82">
        <f t="shared" si="297"/>
        <v>0</v>
      </c>
      <c r="FD59" s="82"/>
      <c r="FE59" s="82"/>
      <c r="FF59" s="82">
        <f t="shared" si="298"/>
        <v>0</v>
      </c>
      <c r="FG59" s="82">
        <f t="shared" si="299"/>
        <v>0</v>
      </c>
      <c r="FH59" s="82"/>
      <c r="FI59" s="82"/>
      <c r="FJ59" s="82"/>
      <c r="FK59" s="82"/>
      <c r="FL59" s="82">
        <f t="shared" si="300"/>
        <v>0</v>
      </c>
      <c r="FM59" s="82">
        <f t="shared" si="301"/>
        <v>0</v>
      </c>
      <c r="FN59" s="82">
        <f t="shared" si="302"/>
        <v>0</v>
      </c>
      <c r="FO59" s="82">
        <f t="shared" si="303"/>
        <v>0</v>
      </c>
      <c r="FP59" s="82"/>
      <c r="FQ59" s="82"/>
      <c r="FR59" s="82">
        <f t="shared" si="304"/>
        <v>0</v>
      </c>
      <c r="FS59" s="82">
        <f t="shared" si="305"/>
        <v>0</v>
      </c>
      <c r="FT59" s="82"/>
      <c r="FU59" s="82"/>
      <c r="FV59" s="82"/>
      <c r="FW59" s="82"/>
      <c r="FX59" s="82">
        <f t="shared" si="306"/>
        <v>0</v>
      </c>
      <c r="FY59" s="82">
        <f t="shared" si="307"/>
        <v>0</v>
      </c>
      <c r="FZ59" s="82">
        <f t="shared" si="308"/>
        <v>0</v>
      </c>
      <c r="GA59" s="82">
        <f t="shared" si="309"/>
        <v>0</v>
      </c>
      <c r="GB59" s="82">
        <f t="shared" si="310"/>
        <v>0</v>
      </c>
      <c r="GC59" s="82">
        <f t="shared" si="311"/>
        <v>0</v>
      </c>
      <c r="GD59" s="82">
        <f t="shared" si="312"/>
        <v>0</v>
      </c>
      <c r="GE59" s="82">
        <f t="shared" si="313"/>
        <v>0</v>
      </c>
      <c r="GF59" s="85"/>
    </row>
    <row r="60" ht="29.25" customHeight="1">
      <c r="A60" s="16"/>
      <c r="B60" s="16"/>
      <c r="C60" s="16"/>
      <c r="D60" s="78" t="s">
        <v>134</v>
      </c>
      <c r="E60" s="86">
        <v>66600.0</v>
      </c>
      <c r="F60" s="80" t="s">
        <v>135</v>
      </c>
      <c r="G60" s="81">
        <v>150.0</v>
      </c>
      <c r="H60" s="82">
        <v>9990000.0</v>
      </c>
      <c r="I60" s="82"/>
      <c r="J60" s="82"/>
      <c r="K60" s="82">
        <f t="shared" si="239"/>
        <v>0</v>
      </c>
      <c r="L60" s="82">
        <f t="shared" si="240"/>
        <v>0</v>
      </c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>
        <f t="shared" si="241"/>
        <v>0</v>
      </c>
      <c r="AC60" s="82">
        <f t="shared" si="242"/>
        <v>0</v>
      </c>
      <c r="AD60" s="82">
        <f t="shared" si="89"/>
        <v>150</v>
      </c>
      <c r="AE60" s="82">
        <f t="shared" si="243"/>
        <v>9990000</v>
      </c>
      <c r="AF60" s="82"/>
      <c r="AG60" s="82"/>
      <c r="AH60" s="82">
        <f t="shared" si="244"/>
        <v>0</v>
      </c>
      <c r="AI60" s="82">
        <f t="shared" si="245"/>
        <v>0</v>
      </c>
      <c r="AJ60" s="83">
        <v>8.0</v>
      </c>
      <c r="AK60" s="82"/>
      <c r="AL60" s="82"/>
      <c r="AM60" s="82"/>
      <c r="AN60" s="82">
        <f t="shared" si="246"/>
        <v>8</v>
      </c>
      <c r="AO60" s="82">
        <f t="shared" si="247"/>
        <v>532800</v>
      </c>
      <c r="AP60" s="82">
        <f t="shared" si="11"/>
        <v>142</v>
      </c>
      <c r="AQ60" s="82">
        <f t="shared" si="248"/>
        <v>9457200</v>
      </c>
      <c r="AR60" s="82"/>
      <c r="AS60" s="82"/>
      <c r="AT60" s="82"/>
      <c r="AU60" s="82">
        <f t="shared" si="249"/>
        <v>0</v>
      </c>
      <c r="AV60" s="82">
        <f t="shared" si="250"/>
        <v>0</v>
      </c>
      <c r="AW60" s="82"/>
      <c r="AX60" s="82"/>
      <c r="AY60" s="82"/>
      <c r="AZ60" s="82"/>
      <c r="BA60" s="82">
        <f t="shared" si="251"/>
        <v>0</v>
      </c>
      <c r="BB60" s="82">
        <f t="shared" si="252"/>
        <v>0</v>
      </c>
      <c r="BC60" s="82">
        <f t="shared" si="99"/>
        <v>142</v>
      </c>
      <c r="BD60" s="82">
        <f t="shared" si="253"/>
        <v>9457200</v>
      </c>
      <c r="BE60" s="82">
        <f t="shared" si="254"/>
        <v>0</v>
      </c>
      <c r="BF60" s="82">
        <f t="shared" si="255"/>
        <v>8</v>
      </c>
      <c r="BG60" s="82">
        <f t="shared" si="103"/>
        <v>142</v>
      </c>
      <c r="BH60" s="82">
        <f t="shared" si="256"/>
        <v>9457200</v>
      </c>
      <c r="BI60" s="82"/>
      <c r="BJ60" s="83"/>
      <c r="BK60" s="82">
        <f t="shared" si="257"/>
        <v>0</v>
      </c>
      <c r="BL60" s="82">
        <f t="shared" si="258"/>
        <v>0</v>
      </c>
      <c r="BM60" s="82"/>
      <c r="BN60" s="82"/>
      <c r="BO60" s="83">
        <v>2.0</v>
      </c>
      <c r="BP60" s="83">
        <v>2.0</v>
      </c>
      <c r="BQ60" s="83">
        <v>3.0</v>
      </c>
      <c r="BR60" s="83">
        <v>2.0</v>
      </c>
      <c r="BS60" s="83">
        <v>10.0</v>
      </c>
      <c r="BT60" s="83">
        <v>10.0</v>
      </c>
      <c r="BU60" s="83"/>
      <c r="BV60" s="83"/>
      <c r="BW60" s="82">
        <f t="shared" si="259"/>
        <v>29</v>
      </c>
      <c r="BX60" s="82">
        <f t="shared" si="260"/>
        <v>1931400</v>
      </c>
      <c r="BY60" s="82">
        <f t="shared" si="109"/>
        <v>113</v>
      </c>
      <c r="BZ60" s="82">
        <f t="shared" si="261"/>
        <v>7525800</v>
      </c>
      <c r="CA60" s="82"/>
      <c r="CB60" s="82"/>
      <c r="CC60" s="82">
        <f t="shared" si="262"/>
        <v>0</v>
      </c>
      <c r="CD60" s="82">
        <f t="shared" si="263"/>
        <v>0</v>
      </c>
      <c r="CE60" s="83">
        <v>5.0</v>
      </c>
      <c r="CF60" s="83">
        <v>20.0</v>
      </c>
      <c r="CG60" s="82"/>
      <c r="CH60" s="82"/>
      <c r="CI60" s="82">
        <f t="shared" si="264"/>
        <v>25</v>
      </c>
      <c r="CJ60" s="82">
        <f t="shared" si="265"/>
        <v>1665000</v>
      </c>
      <c r="CK60" s="82">
        <f t="shared" si="189"/>
        <v>88</v>
      </c>
      <c r="CL60" s="82">
        <f t="shared" si="266"/>
        <v>5860800</v>
      </c>
      <c r="CM60" s="82"/>
      <c r="CN60" s="82"/>
      <c r="CO60" s="82">
        <f t="shared" si="35"/>
        <v>0</v>
      </c>
      <c r="CP60" s="82">
        <f t="shared" si="36"/>
        <v>0</v>
      </c>
      <c r="CQ60" s="82"/>
      <c r="CR60" s="82"/>
      <c r="CS60" s="82"/>
      <c r="CT60" s="82"/>
      <c r="CU60" s="82">
        <f t="shared" si="267"/>
        <v>0</v>
      </c>
      <c r="CV60" s="82">
        <f t="shared" si="268"/>
        <v>0</v>
      </c>
      <c r="CW60" s="82">
        <f t="shared" si="39"/>
        <v>88</v>
      </c>
      <c r="CX60" s="82">
        <f t="shared" si="269"/>
        <v>5860800</v>
      </c>
      <c r="CY60" s="82">
        <f t="shared" si="41"/>
        <v>0</v>
      </c>
      <c r="CZ60" s="82">
        <f t="shared" si="194"/>
        <v>54</v>
      </c>
      <c r="DA60" s="82">
        <f t="shared" si="43"/>
        <v>88</v>
      </c>
      <c r="DB60" s="82">
        <f t="shared" si="44"/>
        <v>5860800</v>
      </c>
      <c r="DC60" s="91"/>
      <c r="DD60" s="82"/>
      <c r="DE60" s="82"/>
      <c r="DF60" s="82">
        <f t="shared" si="270"/>
        <v>0</v>
      </c>
      <c r="DG60" s="82">
        <f t="shared" si="271"/>
        <v>0</v>
      </c>
      <c r="DH60" s="82"/>
      <c r="DI60" s="82"/>
      <c r="DJ60" s="82"/>
      <c r="DK60" s="82"/>
      <c r="DL60" s="82">
        <f t="shared" si="272"/>
        <v>0</v>
      </c>
      <c r="DM60" s="82">
        <f t="shared" si="273"/>
        <v>0</v>
      </c>
      <c r="DN60" s="82">
        <f t="shared" si="274"/>
        <v>88</v>
      </c>
      <c r="DO60" s="82">
        <f t="shared" si="275"/>
        <v>5860800</v>
      </c>
      <c r="DP60" s="82"/>
      <c r="DQ60" s="82"/>
      <c r="DR60" s="82">
        <f t="shared" si="276"/>
        <v>0</v>
      </c>
      <c r="DS60" s="82">
        <f t="shared" si="277"/>
        <v>0</v>
      </c>
      <c r="DT60" s="82"/>
      <c r="DU60" s="82"/>
      <c r="DV60" s="82"/>
      <c r="DW60" s="82"/>
      <c r="DX60" s="82">
        <f t="shared" si="278"/>
        <v>0</v>
      </c>
      <c r="DY60" s="82">
        <f t="shared" si="279"/>
        <v>0</v>
      </c>
      <c r="DZ60" s="82">
        <f t="shared" si="280"/>
        <v>88</v>
      </c>
      <c r="EA60" s="82">
        <f t="shared" si="281"/>
        <v>5860800</v>
      </c>
      <c r="EB60" s="82"/>
      <c r="EC60" s="82"/>
      <c r="ED60" s="82">
        <f t="shared" si="282"/>
        <v>0</v>
      </c>
      <c r="EE60" s="82">
        <f t="shared" si="283"/>
        <v>0</v>
      </c>
      <c r="EF60" s="82"/>
      <c r="EG60" s="82"/>
      <c r="EH60" s="82"/>
      <c r="EI60" s="82"/>
      <c r="EJ60" s="82">
        <f t="shared" si="284"/>
        <v>0</v>
      </c>
      <c r="EK60" s="82">
        <f t="shared" si="285"/>
        <v>0</v>
      </c>
      <c r="EL60" s="82">
        <f t="shared" si="286"/>
        <v>88</v>
      </c>
      <c r="EM60" s="82">
        <f t="shared" si="287"/>
        <v>5860800</v>
      </c>
      <c r="EN60" s="82">
        <f t="shared" si="288"/>
        <v>0</v>
      </c>
      <c r="EO60" s="82">
        <f t="shared" si="289"/>
        <v>0</v>
      </c>
      <c r="EP60" s="82">
        <f t="shared" si="290"/>
        <v>88</v>
      </c>
      <c r="EQ60" s="82">
        <f t="shared" si="291"/>
        <v>5860800</v>
      </c>
      <c r="ER60" s="82"/>
      <c r="ES60" s="82"/>
      <c r="ET60" s="82">
        <f t="shared" si="292"/>
        <v>0</v>
      </c>
      <c r="EU60" s="82">
        <f t="shared" si="293"/>
        <v>0</v>
      </c>
      <c r="EV60" s="82"/>
      <c r="EW60" s="82"/>
      <c r="EX60" s="82"/>
      <c r="EY60" s="82"/>
      <c r="EZ60" s="82">
        <f t="shared" si="294"/>
        <v>0</v>
      </c>
      <c r="FA60" s="82">
        <f t="shared" si="295"/>
        <v>0</v>
      </c>
      <c r="FB60" s="82">
        <f t="shared" si="296"/>
        <v>88</v>
      </c>
      <c r="FC60" s="82">
        <f t="shared" si="297"/>
        <v>5860800</v>
      </c>
      <c r="FD60" s="82"/>
      <c r="FE60" s="82"/>
      <c r="FF60" s="82">
        <f t="shared" si="298"/>
        <v>0</v>
      </c>
      <c r="FG60" s="82">
        <f t="shared" si="299"/>
        <v>0</v>
      </c>
      <c r="FH60" s="82"/>
      <c r="FI60" s="82"/>
      <c r="FJ60" s="82"/>
      <c r="FK60" s="82"/>
      <c r="FL60" s="82">
        <f t="shared" si="300"/>
        <v>0</v>
      </c>
      <c r="FM60" s="82">
        <f t="shared" si="301"/>
        <v>0</v>
      </c>
      <c r="FN60" s="82">
        <f t="shared" si="302"/>
        <v>88</v>
      </c>
      <c r="FO60" s="82">
        <f t="shared" si="303"/>
        <v>5860800</v>
      </c>
      <c r="FP60" s="82"/>
      <c r="FQ60" s="82"/>
      <c r="FR60" s="82">
        <f t="shared" si="304"/>
        <v>0</v>
      </c>
      <c r="FS60" s="82">
        <f t="shared" si="305"/>
        <v>0</v>
      </c>
      <c r="FT60" s="82"/>
      <c r="FU60" s="82"/>
      <c r="FV60" s="82"/>
      <c r="FW60" s="82"/>
      <c r="FX60" s="82">
        <f t="shared" si="306"/>
        <v>0</v>
      </c>
      <c r="FY60" s="82">
        <f t="shared" si="307"/>
        <v>0</v>
      </c>
      <c r="FZ60" s="82">
        <f t="shared" si="308"/>
        <v>88</v>
      </c>
      <c r="GA60" s="82">
        <f t="shared" si="309"/>
        <v>5860800</v>
      </c>
      <c r="GB60" s="82">
        <f t="shared" si="310"/>
        <v>0</v>
      </c>
      <c r="GC60" s="82">
        <f t="shared" si="311"/>
        <v>0</v>
      </c>
      <c r="GD60" s="82">
        <f t="shared" si="312"/>
        <v>88</v>
      </c>
      <c r="GE60" s="82">
        <f t="shared" si="313"/>
        <v>5860800</v>
      </c>
      <c r="GF60" s="85"/>
    </row>
    <row r="61" ht="29.25" customHeight="1">
      <c r="A61" s="76"/>
      <c r="B61" s="76"/>
      <c r="C61" s="88"/>
      <c r="D61" s="78" t="s">
        <v>134</v>
      </c>
      <c r="E61" s="86">
        <v>69930.0</v>
      </c>
      <c r="F61" s="80" t="s">
        <v>119</v>
      </c>
      <c r="G61" s="90">
        <v>88.0</v>
      </c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>
        <f t="shared" si="89"/>
        <v>88</v>
      </c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>
        <f t="shared" si="11"/>
        <v>88</v>
      </c>
      <c r="AQ61" s="82">
        <f>AP61*E60</f>
        <v>5860800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>
        <f t="shared" si="99"/>
        <v>88</v>
      </c>
      <c r="BD61" s="82">
        <f>BC61*E60</f>
        <v>5860800</v>
      </c>
      <c r="BE61" s="82"/>
      <c r="BF61" s="82"/>
      <c r="BG61" s="82">
        <f t="shared" si="103"/>
        <v>88</v>
      </c>
      <c r="BH61" s="83">
        <v>0.0</v>
      </c>
      <c r="BI61" s="82"/>
      <c r="BJ61" s="83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>
        <f t="shared" si="109"/>
        <v>88</v>
      </c>
      <c r="BZ61" s="82">
        <f>BY61*E60</f>
        <v>5860800</v>
      </c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>
        <f t="shared" si="189"/>
        <v>88</v>
      </c>
      <c r="CL61" s="82">
        <f>CK61*E60</f>
        <v>5860800</v>
      </c>
      <c r="CM61" s="83">
        <v>68.0</v>
      </c>
      <c r="CN61" s="82"/>
      <c r="CO61" s="82">
        <f t="shared" si="35"/>
        <v>68</v>
      </c>
      <c r="CP61" s="82">
        <f t="shared" si="36"/>
        <v>4755240</v>
      </c>
      <c r="CQ61" s="82"/>
      <c r="CR61" s="82"/>
      <c r="CS61" s="82"/>
      <c r="CT61" s="82"/>
      <c r="CU61" s="82"/>
      <c r="CV61" s="82"/>
      <c r="CW61" s="82">
        <f t="shared" si="39"/>
        <v>156</v>
      </c>
      <c r="CX61" s="82">
        <f>(CO61*E61)+(CK61*E60)</f>
        <v>10616040</v>
      </c>
      <c r="CY61" s="82">
        <f t="shared" si="41"/>
        <v>68</v>
      </c>
      <c r="CZ61" s="82"/>
      <c r="DA61" s="82">
        <f t="shared" si="43"/>
        <v>156</v>
      </c>
      <c r="DB61" s="82">
        <f t="shared" si="44"/>
        <v>10909080</v>
      </c>
      <c r="DC61" s="91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>
        <f t="shared" si="274"/>
        <v>156</v>
      </c>
      <c r="DO61" s="82">
        <f t="shared" si="275"/>
        <v>10909080</v>
      </c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>
        <f t="shared" si="280"/>
        <v>156</v>
      </c>
      <c r="EA61" s="82">
        <f t="shared" si="281"/>
        <v>10909080</v>
      </c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>
        <f t="shared" si="286"/>
        <v>156</v>
      </c>
      <c r="EM61" s="82">
        <f t="shared" si="287"/>
        <v>10909080</v>
      </c>
      <c r="EN61" s="82"/>
      <c r="EO61" s="82"/>
      <c r="EP61" s="82">
        <f t="shared" si="290"/>
        <v>156</v>
      </c>
      <c r="EQ61" s="82">
        <f t="shared" si="291"/>
        <v>10909080</v>
      </c>
      <c r="ER61" s="82"/>
      <c r="ES61" s="82"/>
      <c r="ET61" s="82"/>
      <c r="EU61" s="82"/>
      <c r="EV61" s="82"/>
      <c r="EW61" s="82"/>
      <c r="EX61" s="82"/>
      <c r="EY61" s="82"/>
      <c r="EZ61" s="82"/>
      <c r="FA61" s="82"/>
      <c r="FB61" s="82">
        <f t="shared" si="296"/>
        <v>156</v>
      </c>
      <c r="FC61" s="82">
        <f t="shared" si="297"/>
        <v>10909080</v>
      </c>
      <c r="FD61" s="82"/>
      <c r="FE61" s="82"/>
      <c r="FF61" s="82"/>
      <c r="FG61" s="82"/>
      <c r="FH61" s="82"/>
      <c r="FI61" s="82"/>
      <c r="FJ61" s="82"/>
      <c r="FK61" s="82"/>
      <c r="FL61" s="82"/>
      <c r="FM61" s="82"/>
      <c r="FN61" s="82">
        <f t="shared" si="302"/>
        <v>156</v>
      </c>
      <c r="FO61" s="82">
        <f t="shared" si="303"/>
        <v>10909080</v>
      </c>
      <c r="FP61" s="82"/>
      <c r="FQ61" s="82"/>
      <c r="FR61" s="82"/>
      <c r="FS61" s="82"/>
      <c r="FT61" s="82"/>
      <c r="FU61" s="82"/>
      <c r="FV61" s="82"/>
      <c r="FW61" s="82"/>
      <c r="FX61" s="82"/>
      <c r="FY61" s="82"/>
      <c r="FZ61" s="82">
        <f t="shared" si="308"/>
        <v>156</v>
      </c>
      <c r="GA61" s="82">
        <f t="shared" si="309"/>
        <v>10909080</v>
      </c>
      <c r="GB61" s="82">
        <f t="shared" si="310"/>
        <v>0</v>
      </c>
      <c r="GC61" s="82">
        <f>EU61+FG61+FS61</f>
        <v>0</v>
      </c>
      <c r="GD61" s="82">
        <f t="shared" si="312"/>
        <v>156</v>
      </c>
      <c r="GE61" s="82">
        <f t="shared" si="313"/>
        <v>10909080</v>
      </c>
      <c r="GF61" s="85"/>
    </row>
    <row r="62" ht="29.25" customHeight="1">
      <c r="A62" s="96">
        <v>32.0</v>
      </c>
      <c r="B62" s="96"/>
      <c r="C62" s="100" t="s">
        <v>138</v>
      </c>
      <c r="D62" s="78" t="s">
        <v>134</v>
      </c>
      <c r="E62" s="79"/>
      <c r="F62" s="61"/>
      <c r="G62" s="81">
        <v>0.0</v>
      </c>
      <c r="H62" s="82">
        <v>0.0</v>
      </c>
      <c r="I62" s="82"/>
      <c r="J62" s="82"/>
      <c r="K62" s="82">
        <f t="shared" ref="K62:K70" si="314">SUM(I62:J62)</f>
        <v>0</v>
      </c>
      <c r="L62" s="82">
        <f t="shared" ref="L62:L70" si="315">K62*E62</f>
        <v>0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>
        <f t="shared" ref="AB62:AB70" si="316">SUM(M62:AA62)</f>
        <v>0</v>
      </c>
      <c r="AC62" s="82">
        <f t="shared" ref="AC62:AC70" si="317">AB62*E62</f>
        <v>0</v>
      </c>
      <c r="AD62" s="82">
        <f t="shared" si="89"/>
        <v>0</v>
      </c>
      <c r="AE62" s="82">
        <f t="shared" ref="AE62:AE70" si="318">AD62*E62</f>
        <v>0</v>
      </c>
      <c r="AF62" s="82"/>
      <c r="AG62" s="82"/>
      <c r="AH62" s="82">
        <f t="shared" ref="AH62:AH70" si="319">SUM(AF62:AG62)</f>
        <v>0</v>
      </c>
      <c r="AI62" s="82">
        <f t="shared" ref="AI62:AI70" si="320">AH62*E62</f>
        <v>0</v>
      </c>
      <c r="AJ62" s="82"/>
      <c r="AK62" s="82"/>
      <c r="AL62" s="82"/>
      <c r="AM62" s="82"/>
      <c r="AN62" s="82">
        <f t="shared" ref="AN62:AN70" si="321">SUM(AJ62:AM62)</f>
        <v>0</v>
      </c>
      <c r="AO62" s="82">
        <f t="shared" ref="AO62:AO70" si="322">AN62*E62</f>
        <v>0</v>
      </c>
      <c r="AP62" s="82">
        <f t="shared" si="11"/>
        <v>0</v>
      </c>
      <c r="AQ62" s="82">
        <f t="shared" ref="AQ62:AQ70" si="323">AP62*E62</f>
        <v>0</v>
      </c>
      <c r="AR62" s="82"/>
      <c r="AS62" s="82"/>
      <c r="AT62" s="82"/>
      <c r="AU62" s="82">
        <f t="shared" ref="AU62:AU70" si="324">SUM(AS62:AT62)</f>
        <v>0</v>
      </c>
      <c r="AV62" s="82">
        <f t="shared" ref="AV62:AV70" si="325">AU62*AB62</f>
        <v>0</v>
      </c>
      <c r="AW62" s="82"/>
      <c r="AX62" s="82"/>
      <c r="AY62" s="82"/>
      <c r="AZ62" s="82"/>
      <c r="BA62" s="82">
        <f t="shared" ref="BA62:BA70" si="326">SUM(AW62:AZ62)</f>
        <v>0</v>
      </c>
      <c r="BB62" s="82">
        <f t="shared" ref="BB62:BB70" si="327">BA62*AB62</f>
        <v>0</v>
      </c>
      <c r="BC62" s="82">
        <f t="shared" si="99"/>
        <v>0</v>
      </c>
      <c r="BD62" s="82">
        <f t="shared" ref="BD62:BD70" si="328">BC62*E62</f>
        <v>0</v>
      </c>
      <c r="BE62" s="82">
        <f t="shared" ref="BE62:BE70" si="329">K62+AH62+AU62</f>
        <v>0</v>
      </c>
      <c r="BF62" s="82">
        <f t="shared" ref="BF62:BF70" si="330">AB62+AN62+BA62</f>
        <v>0</v>
      </c>
      <c r="BG62" s="82">
        <f t="shared" si="103"/>
        <v>0</v>
      </c>
      <c r="BH62" s="82">
        <f t="shared" ref="BH62:BH70" si="331">BG62*E62</f>
        <v>0</v>
      </c>
      <c r="BI62" s="82"/>
      <c r="BJ62" s="83"/>
      <c r="BK62" s="82">
        <f t="shared" ref="BK62:BK70" si="332">SUM(BI62:BJ62)</f>
        <v>0</v>
      </c>
      <c r="BL62" s="82">
        <f t="shared" ref="BL62:BL70" si="333">BK62*E62</f>
        <v>0</v>
      </c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>
        <f t="shared" ref="BW62:BW70" si="334">SUM(BM62:BV62)</f>
        <v>0</v>
      </c>
      <c r="BX62" s="82">
        <f t="shared" ref="BX62:BX70" si="335">BW62*E62</f>
        <v>0</v>
      </c>
      <c r="BY62" s="82">
        <f t="shared" si="109"/>
        <v>0</v>
      </c>
      <c r="BZ62" s="82">
        <f t="shared" ref="BZ62:BZ70" si="336">BY62*E62</f>
        <v>0</v>
      </c>
      <c r="CA62" s="82"/>
      <c r="CB62" s="82"/>
      <c r="CC62" s="82">
        <f t="shared" ref="CC62:CC70" si="337">sum(CA62:CB62)</f>
        <v>0</v>
      </c>
      <c r="CD62" s="82">
        <f t="shared" ref="CD62:CD70" si="338">CC62*E62</f>
        <v>0</v>
      </c>
      <c r="CE62" s="82"/>
      <c r="CF62" s="82"/>
      <c r="CG62" s="82"/>
      <c r="CH62" s="82"/>
      <c r="CI62" s="82">
        <f t="shared" ref="CI62:CI70" si="339">sum(CE62:CH62)</f>
        <v>0</v>
      </c>
      <c r="CJ62" s="82">
        <f t="shared" ref="CJ62:CJ70" si="340">CI62*E62</f>
        <v>0</v>
      </c>
      <c r="CK62" s="82">
        <f t="shared" si="189"/>
        <v>0</v>
      </c>
      <c r="CL62" s="82">
        <f t="shared" ref="CL62:CL70" si="341">CK62*E62</f>
        <v>0</v>
      </c>
      <c r="CM62" s="82"/>
      <c r="CN62" s="82"/>
      <c r="CO62" s="82">
        <f t="shared" si="35"/>
        <v>0</v>
      </c>
      <c r="CP62" s="82">
        <f t="shared" si="36"/>
        <v>0</v>
      </c>
      <c r="CQ62" s="82"/>
      <c r="CR62" s="82"/>
      <c r="CS62" s="82"/>
      <c r="CT62" s="82"/>
      <c r="CU62" s="82">
        <f t="shared" ref="CU62:CU70" si="342">sum(CQ62:CT62)</f>
        <v>0</v>
      </c>
      <c r="CV62" s="82">
        <f t="shared" ref="CV62:CV70" si="343">CU62*E62</f>
        <v>0</v>
      </c>
      <c r="CW62" s="82">
        <f t="shared" si="39"/>
        <v>0</v>
      </c>
      <c r="CX62" s="82">
        <f t="shared" ref="CX62:CX70" si="344">CW62*E62</f>
        <v>0</v>
      </c>
      <c r="CY62" s="82">
        <f t="shared" si="41"/>
        <v>0</v>
      </c>
      <c r="CZ62" s="82">
        <f t="shared" ref="CZ62:CZ153" si="345">BW62+CI62+CU62</f>
        <v>0</v>
      </c>
      <c r="DA62" s="82">
        <f t="shared" si="43"/>
        <v>0</v>
      </c>
      <c r="DB62" s="82">
        <f t="shared" si="44"/>
        <v>0</v>
      </c>
      <c r="DC62" s="84">
        <v>1.0</v>
      </c>
      <c r="DD62" s="82"/>
      <c r="DE62" s="82"/>
      <c r="DF62" s="82">
        <f t="shared" ref="DF62:DF70" si="346">sum(DD62:DE62)</f>
        <v>0</v>
      </c>
      <c r="DG62" s="82">
        <f t="shared" ref="DG62:DG70" si="347">DF62*E62</f>
        <v>0</v>
      </c>
      <c r="DH62" s="82"/>
      <c r="DI62" s="82"/>
      <c r="DJ62" s="82"/>
      <c r="DK62" s="82"/>
      <c r="DL62" s="82">
        <f t="shared" ref="DL62:DL70" si="348">sum(DH62:DK62)</f>
        <v>0</v>
      </c>
      <c r="DM62" s="82">
        <f t="shared" ref="DM62:DM70" si="349">DL62*E62</f>
        <v>0</v>
      </c>
      <c r="DN62" s="82">
        <f t="shared" si="274"/>
        <v>0</v>
      </c>
      <c r="DO62" s="82">
        <f t="shared" si="275"/>
        <v>0</v>
      </c>
      <c r="DP62" s="82"/>
      <c r="DQ62" s="82"/>
      <c r="DR62" s="82">
        <f t="shared" ref="DR62:DR70" si="350">sum(DP62:DQ62)</f>
        <v>0</v>
      </c>
      <c r="DS62" s="82">
        <f t="shared" ref="DS62:DS70" si="351">DR62*AB62</f>
        <v>0</v>
      </c>
      <c r="DT62" s="82"/>
      <c r="DU62" s="82"/>
      <c r="DV62" s="82"/>
      <c r="DW62" s="82"/>
      <c r="DX62" s="82">
        <f t="shared" ref="DX62:DX70" si="352">sum(DT62:DW62)</f>
        <v>0</v>
      </c>
      <c r="DY62" s="82">
        <f t="shared" ref="DY62:DY70" si="353">DX62*AB62</f>
        <v>0</v>
      </c>
      <c r="DZ62" s="82">
        <f t="shared" si="280"/>
        <v>0</v>
      </c>
      <c r="EA62" s="82">
        <f t="shared" si="281"/>
        <v>0</v>
      </c>
      <c r="EB62" s="82"/>
      <c r="EC62" s="82"/>
      <c r="ED62" s="82">
        <f t="shared" ref="ED62:ED70" si="354">sum(EB62:EC62)</f>
        <v>0</v>
      </c>
      <c r="EE62" s="82">
        <f t="shared" ref="EE62:EE70" si="355">ED62*AN62</f>
        <v>0</v>
      </c>
      <c r="EF62" s="82"/>
      <c r="EG62" s="82"/>
      <c r="EH62" s="82"/>
      <c r="EI62" s="82"/>
      <c r="EJ62" s="82">
        <f t="shared" ref="EJ62:EJ70" si="356">sum(EF62:EI62)</f>
        <v>0</v>
      </c>
      <c r="EK62" s="82">
        <f t="shared" ref="EK62:EK70" si="357">EJ62*AN62</f>
        <v>0</v>
      </c>
      <c r="EL62" s="82">
        <f t="shared" si="286"/>
        <v>0</v>
      </c>
      <c r="EM62" s="82">
        <f t="shared" si="287"/>
        <v>0</v>
      </c>
      <c r="EN62" s="82">
        <f t="shared" ref="EN62:EN70" si="358">DF62+DR62+ED62</f>
        <v>0</v>
      </c>
      <c r="EO62" s="82">
        <f t="shared" ref="EO62:EO70" si="359">DL62+DX62+EJ62</f>
        <v>0</v>
      </c>
      <c r="EP62" s="82">
        <f t="shared" si="290"/>
        <v>0</v>
      </c>
      <c r="EQ62" s="82">
        <f t="shared" si="291"/>
        <v>0</v>
      </c>
      <c r="ER62" s="82"/>
      <c r="ES62" s="82"/>
      <c r="ET62" s="82">
        <f t="shared" ref="ET62:ET70" si="360">sum(ER62:ES62)</f>
        <v>0</v>
      </c>
      <c r="EU62" s="82">
        <f t="shared" ref="EU62:EU70" si="361">ET62*BE62</f>
        <v>0</v>
      </c>
      <c r="EV62" s="82"/>
      <c r="EW62" s="82"/>
      <c r="EX62" s="82"/>
      <c r="EY62" s="82"/>
      <c r="EZ62" s="82">
        <f t="shared" ref="EZ62:EZ70" si="362">sum(EV62:EY62)</f>
        <v>0</v>
      </c>
      <c r="FA62" s="82">
        <f t="shared" ref="FA62:FA70" si="363">EZ62*BE62</f>
        <v>0</v>
      </c>
      <c r="FB62" s="82">
        <f t="shared" si="296"/>
        <v>0</v>
      </c>
      <c r="FC62" s="82">
        <f t="shared" si="297"/>
        <v>0</v>
      </c>
      <c r="FD62" s="82"/>
      <c r="FE62" s="82"/>
      <c r="FF62" s="82">
        <f t="shared" ref="FF62:FF70" si="364">sum(FD62:FE62)</f>
        <v>0</v>
      </c>
      <c r="FG62" s="82">
        <f t="shared" ref="FG62:FG70" si="365">FF62*BW62</f>
        <v>0</v>
      </c>
      <c r="FH62" s="82"/>
      <c r="FI62" s="82"/>
      <c r="FJ62" s="82"/>
      <c r="FK62" s="82"/>
      <c r="FL62" s="82">
        <f t="shared" ref="FL62:FL70" si="366">sum(FH62:FK62)</f>
        <v>0</v>
      </c>
      <c r="FM62" s="82">
        <f t="shared" ref="FM62:FM70" si="367">FL62*BW62</f>
        <v>0</v>
      </c>
      <c r="FN62" s="82">
        <f t="shared" si="302"/>
        <v>0</v>
      </c>
      <c r="FO62" s="82">
        <f t="shared" si="303"/>
        <v>0</v>
      </c>
      <c r="FP62" s="82"/>
      <c r="FQ62" s="82"/>
      <c r="FR62" s="82">
        <f t="shared" ref="FR62:FR70" si="368">sum(FP62:FQ62)</f>
        <v>0</v>
      </c>
      <c r="FS62" s="82">
        <f t="shared" ref="FS62:FS70" si="369">FR62*CI62</f>
        <v>0</v>
      </c>
      <c r="FT62" s="82"/>
      <c r="FU62" s="82"/>
      <c r="FV62" s="82"/>
      <c r="FW62" s="82"/>
      <c r="FX62" s="82">
        <f t="shared" ref="FX62:FX70" si="370">sum(FT62:FW62)</f>
        <v>0</v>
      </c>
      <c r="FY62" s="82">
        <f t="shared" ref="FY62:FY70" si="371">FX62*CI62</f>
        <v>0</v>
      </c>
      <c r="FZ62" s="82">
        <f t="shared" si="308"/>
        <v>0</v>
      </c>
      <c r="GA62" s="82">
        <f t="shared" si="309"/>
        <v>0</v>
      </c>
      <c r="GB62" s="82">
        <f t="shared" si="310"/>
        <v>0</v>
      </c>
      <c r="GC62" s="82">
        <f t="shared" ref="GC62:GC70" si="372">EZ62+FL62+FX62</f>
        <v>0</v>
      </c>
      <c r="GD62" s="82">
        <f t="shared" si="312"/>
        <v>0</v>
      </c>
      <c r="GE62" s="82">
        <f t="shared" si="313"/>
        <v>0</v>
      </c>
      <c r="GF62" s="85"/>
    </row>
    <row r="63" ht="29.25" customHeight="1">
      <c r="A63" s="96">
        <v>33.0</v>
      </c>
      <c r="B63" s="97"/>
      <c r="C63" s="58" t="s">
        <v>139</v>
      </c>
      <c r="D63" s="78" t="s">
        <v>134</v>
      </c>
      <c r="E63" s="79">
        <v>15400.0</v>
      </c>
      <c r="F63" s="61"/>
      <c r="G63" s="81">
        <v>14.0</v>
      </c>
      <c r="H63" s="82">
        <v>215600.0</v>
      </c>
      <c r="I63" s="82"/>
      <c r="J63" s="82"/>
      <c r="K63" s="82">
        <f t="shared" si="314"/>
        <v>0</v>
      </c>
      <c r="L63" s="82">
        <f t="shared" si="315"/>
        <v>0</v>
      </c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>
        <f t="shared" si="316"/>
        <v>0</v>
      </c>
      <c r="AC63" s="82">
        <f t="shared" si="317"/>
        <v>0</v>
      </c>
      <c r="AD63" s="82">
        <f t="shared" si="89"/>
        <v>14</v>
      </c>
      <c r="AE63" s="82">
        <f t="shared" si="318"/>
        <v>215600</v>
      </c>
      <c r="AF63" s="82"/>
      <c r="AG63" s="82"/>
      <c r="AH63" s="82">
        <f t="shared" si="319"/>
        <v>0</v>
      </c>
      <c r="AI63" s="82">
        <f t="shared" si="320"/>
        <v>0</v>
      </c>
      <c r="AJ63" s="82"/>
      <c r="AK63" s="82"/>
      <c r="AL63" s="82"/>
      <c r="AM63" s="82"/>
      <c r="AN63" s="82">
        <f t="shared" si="321"/>
        <v>0</v>
      </c>
      <c r="AO63" s="82">
        <f t="shared" si="322"/>
        <v>0</v>
      </c>
      <c r="AP63" s="82">
        <f t="shared" si="11"/>
        <v>14</v>
      </c>
      <c r="AQ63" s="82">
        <f t="shared" si="323"/>
        <v>215600</v>
      </c>
      <c r="AR63" s="82"/>
      <c r="AS63" s="82"/>
      <c r="AT63" s="82"/>
      <c r="AU63" s="82">
        <f t="shared" si="324"/>
        <v>0</v>
      </c>
      <c r="AV63" s="82">
        <f t="shared" si="325"/>
        <v>0</v>
      </c>
      <c r="AW63" s="82"/>
      <c r="AX63" s="82"/>
      <c r="AY63" s="82"/>
      <c r="AZ63" s="82"/>
      <c r="BA63" s="82">
        <f t="shared" si="326"/>
        <v>0</v>
      </c>
      <c r="BB63" s="82">
        <f t="shared" si="327"/>
        <v>0</v>
      </c>
      <c r="BC63" s="82">
        <f t="shared" si="99"/>
        <v>14</v>
      </c>
      <c r="BD63" s="82">
        <f t="shared" si="328"/>
        <v>215600</v>
      </c>
      <c r="BE63" s="82">
        <f t="shared" si="329"/>
        <v>0</v>
      </c>
      <c r="BF63" s="82">
        <f t="shared" si="330"/>
        <v>0</v>
      </c>
      <c r="BG63" s="82">
        <f t="shared" si="103"/>
        <v>14</v>
      </c>
      <c r="BH63" s="82">
        <f t="shared" si="331"/>
        <v>215600</v>
      </c>
      <c r="BI63" s="82"/>
      <c r="BJ63" s="83"/>
      <c r="BK63" s="82">
        <f t="shared" si="332"/>
        <v>0</v>
      </c>
      <c r="BL63" s="82">
        <f t="shared" si="333"/>
        <v>0</v>
      </c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>
        <f t="shared" si="334"/>
        <v>0</v>
      </c>
      <c r="BX63" s="82">
        <f t="shared" si="335"/>
        <v>0</v>
      </c>
      <c r="BY63" s="82">
        <f t="shared" si="109"/>
        <v>14</v>
      </c>
      <c r="BZ63" s="82">
        <f t="shared" si="336"/>
        <v>215600</v>
      </c>
      <c r="CA63" s="82"/>
      <c r="CB63" s="82"/>
      <c r="CC63" s="82">
        <f t="shared" si="337"/>
        <v>0</v>
      </c>
      <c r="CD63" s="82">
        <f t="shared" si="338"/>
        <v>0</v>
      </c>
      <c r="CE63" s="82"/>
      <c r="CF63" s="82"/>
      <c r="CG63" s="82"/>
      <c r="CH63" s="82"/>
      <c r="CI63" s="82">
        <f t="shared" si="339"/>
        <v>0</v>
      </c>
      <c r="CJ63" s="82">
        <f t="shared" si="340"/>
        <v>0</v>
      </c>
      <c r="CK63" s="82">
        <f t="shared" si="189"/>
        <v>14</v>
      </c>
      <c r="CL63" s="82">
        <f t="shared" si="341"/>
        <v>215600</v>
      </c>
      <c r="CM63" s="82"/>
      <c r="CN63" s="82"/>
      <c r="CO63" s="82">
        <f t="shared" si="35"/>
        <v>0</v>
      </c>
      <c r="CP63" s="82">
        <f t="shared" si="36"/>
        <v>0</v>
      </c>
      <c r="CQ63" s="82"/>
      <c r="CR63" s="82"/>
      <c r="CS63" s="82"/>
      <c r="CT63" s="82"/>
      <c r="CU63" s="82">
        <f t="shared" si="342"/>
        <v>0</v>
      </c>
      <c r="CV63" s="82">
        <f t="shared" si="343"/>
        <v>0</v>
      </c>
      <c r="CW63" s="82">
        <f t="shared" si="39"/>
        <v>14</v>
      </c>
      <c r="CX63" s="82">
        <f t="shared" si="344"/>
        <v>215600</v>
      </c>
      <c r="CY63" s="82">
        <f t="shared" si="41"/>
        <v>0</v>
      </c>
      <c r="CZ63" s="82">
        <f t="shared" si="345"/>
        <v>0</v>
      </c>
      <c r="DA63" s="82">
        <f t="shared" si="43"/>
        <v>14</v>
      </c>
      <c r="DB63" s="82">
        <f t="shared" si="44"/>
        <v>215600</v>
      </c>
      <c r="DC63" s="91"/>
      <c r="DD63" s="82"/>
      <c r="DE63" s="82"/>
      <c r="DF63" s="82">
        <f t="shared" si="346"/>
        <v>0</v>
      </c>
      <c r="DG63" s="82">
        <f t="shared" si="347"/>
        <v>0</v>
      </c>
      <c r="DH63" s="82"/>
      <c r="DI63" s="82"/>
      <c r="DJ63" s="82"/>
      <c r="DK63" s="82"/>
      <c r="DL63" s="82">
        <f t="shared" si="348"/>
        <v>0</v>
      </c>
      <c r="DM63" s="82">
        <f t="shared" si="349"/>
        <v>0</v>
      </c>
      <c r="DN63" s="82">
        <f t="shared" si="274"/>
        <v>14</v>
      </c>
      <c r="DO63" s="82">
        <f t="shared" si="275"/>
        <v>215600</v>
      </c>
      <c r="DP63" s="82"/>
      <c r="DQ63" s="82"/>
      <c r="DR63" s="82">
        <f t="shared" si="350"/>
        <v>0</v>
      </c>
      <c r="DS63" s="82">
        <f t="shared" si="351"/>
        <v>0</v>
      </c>
      <c r="DT63" s="82"/>
      <c r="DU63" s="82"/>
      <c r="DV63" s="82"/>
      <c r="DW63" s="82"/>
      <c r="DX63" s="82">
        <f t="shared" si="352"/>
        <v>0</v>
      </c>
      <c r="DY63" s="82">
        <f t="shared" si="353"/>
        <v>0</v>
      </c>
      <c r="DZ63" s="82">
        <f t="shared" si="280"/>
        <v>14</v>
      </c>
      <c r="EA63" s="82">
        <f t="shared" si="281"/>
        <v>215600</v>
      </c>
      <c r="EB63" s="82"/>
      <c r="EC63" s="82"/>
      <c r="ED63" s="82">
        <f t="shared" si="354"/>
        <v>0</v>
      </c>
      <c r="EE63" s="82">
        <f t="shared" si="355"/>
        <v>0</v>
      </c>
      <c r="EF63" s="82"/>
      <c r="EG63" s="82"/>
      <c r="EH63" s="82"/>
      <c r="EI63" s="82"/>
      <c r="EJ63" s="82">
        <f t="shared" si="356"/>
        <v>0</v>
      </c>
      <c r="EK63" s="82">
        <f t="shared" si="357"/>
        <v>0</v>
      </c>
      <c r="EL63" s="82">
        <f t="shared" si="286"/>
        <v>14</v>
      </c>
      <c r="EM63" s="82">
        <f t="shared" si="287"/>
        <v>215600</v>
      </c>
      <c r="EN63" s="82">
        <f t="shared" si="358"/>
        <v>0</v>
      </c>
      <c r="EO63" s="82">
        <f t="shared" si="359"/>
        <v>0</v>
      </c>
      <c r="EP63" s="82">
        <f t="shared" si="290"/>
        <v>14</v>
      </c>
      <c r="EQ63" s="82">
        <f t="shared" si="291"/>
        <v>215600</v>
      </c>
      <c r="ER63" s="82"/>
      <c r="ES63" s="82"/>
      <c r="ET63" s="82">
        <f t="shared" si="360"/>
        <v>0</v>
      </c>
      <c r="EU63" s="82">
        <f t="shared" si="361"/>
        <v>0</v>
      </c>
      <c r="EV63" s="82"/>
      <c r="EW63" s="82"/>
      <c r="EX63" s="82"/>
      <c r="EY63" s="82"/>
      <c r="EZ63" s="82">
        <f t="shared" si="362"/>
        <v>0</v>
      </c>
      <c r="FA63" s="82">
        <f t="shared" si="363"/>
        <v>0</v>
      </c>
      <c r="FB63" s="82">
        <f t="shared" si="296"/>
        <v>14</v>
      </c>
      <c r="FC63" s="82">
        <f t="shared" si="297"/>
        <v>215600</v>
      </c>
      <c r="FD63" s="82"/>
      <c r="FE63" s="82"/>
      <c r="FF63" s="82">
        <f t="shared" si="364"/>
        <v>0</v>
      </c>
      <c r="FG63" s="82">
        <f t="shared" si="365"/>
        <v>0</v>
      </c>
      <c r="FH63" s="82"/>
      <c r="FI63" s="82"/>
      <c r="FJ63" s="82"/>
      <c r="FK63" s="82"/>
      <c r="FL63" s="82">
        <f t="shared" si="366"/>
        <v>0</v>
      </c>
      <c r="FM63" s="82">
        <f t="shared" si="367"/>
        <v>0</v>
      </c>
      <c r="FN63" s="82">
        <f t="shared" si="302"/>
        <v>14</v>
      </c>
      <c r="FO63" s="82">
        <f t="shared" si="303"/>
        <v>215600</v>
      </c>
      <c r="FP63" s="82"/>
      <c r="FQ63" s="82"/>
      <c r="FR63" s="82">
        <f t="shared" si="368"/>
        <v>0</v>
      </c>
      <c r="FS63" s="82">
        <f t="shared" si="369"/>
        <v>0</v>
      </c>
      <c r="FT63" s="82"/>
      <c r="FU63" s="82"/>
      <c r="FV63" s="82"/>
      <c r="FW63" s="82"/>
      <c r="FX63" s="82">
        <f t="shared" si="370"/>
        <v>0</v>
      </c>
      <c r="FY63" s="82">
        <f t="shared" si="371"/>
        <v>0</v>
      </c>
      <c r="FZ63" s="82">
        <f t="shared" si="308"/>
        <v>14</v>
      </c>
      <c r="GA63" s="82">
        <f t="shared" si="309"/>
        <v>215600</v>
      </c>
      <c r="GB63" s="82">
        <f t="shared" si="310"/>
        <v>0</v>
      </c>
      <c r="GC63" s="82">
        <f t="shared" si="372"/>
        <v>0</v>
      </c>
      <c r="GD63" s="82">
        <f t="shared" si="312"/>
        <v>14</v>
      </c>
      <c r="GE63" s="82">
        <f t="shared" si="313"/>
        <v>215600</v>
      </c>
      <c r="GF63" s="85"/>
    </row>
    <row r="64" ht="29.25" customHeight="1">
      <c r="A64" s="76">
        <v>34.0</v>
      </c>
      <c r="B64" s="87"/>
      <c r="C64" s="77" t="s">
        <v>140</v>
      </c>
      <c r="D64" s="78" t="s">
        <v>141</v>
      </c>
      <c r="E64" s="79">
        <v>12765.0</v>
      </c>
      <c r="F64" s="61" t="s">
        <v>97</v>
      </c>
      <c r="G64" s="81">
        <v>19.0</v>
      </c>
      <c r="H64" s="82">
        <v>242535.0</v>
      </c>
      <c r="I64" s="82"/>
      <c r="J64" s="82"/>
      <c r="K64" s="82">
        <f t="shared" si="314"/>
        <v>0</v>
      </c>
      <c r="L64" s="82">
        <f t="shared" si="315"/>
        <v>0</v>
      </c>
      <c r="M64" s="83">
        <v>2.0</v>
      </c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>
        <f t="shared" si="316"/>
        <v>2</v>
      </c>
      <c r="AC64" s="82">
        <f t="shared" si="317"/>
        <v>25530</v>
      </c>
      <c r="AD64" s="82">
        <f t="shared" si="89"/>
        <v>17</v>
      </c>
      <c r="AE64" s="82">
        <f t="shared" si="318"/>
        <v>217005</v>
      </c>
      <c r="AF64" s="82"/>
      <c r="AG64" s="82"/>
      <c r="AH64" s="82">
        <f t="shared" si="319"/>
        <v>0</v>
      </c>
      <c r="AI64" s="82">
        <f t="shared" si="320"/>
        <v>0</v>
      </c>
      <c r="AJ64" s="82"/>
      <c r="AK64" s="82"/>
      <c r="AL64" s="82"/>
      <c r="AM64" s="82"/>
      <c r="AN64" s="82">
        <f t="shared" si="321"/>
        <v>0</v>
      </c>
      <c r="AO64" s="82">
        <f t="shared" si="322"/>
        <v>0</v>
      </c>
      <c r="AP64" s="82">
        <f t="shared" si="11"/>
        <v>17</v>
      </c>
      <c r="AQ64" s="82">
        <f t="shared" si="323"/>
        <v>217005</v>
      </c>
      <c r="AR64" s="82"/>
      <c r="AS64" s="82"/>
      <c r="AT64" s="82"/>
      <c r="AU64" s="82">
        <f t="shared" si="324"/>
        <v>0</v>
      </c>
      <c r="AV64" s="82">
        <f t="shared" si="325"/>
        <v>0</v>
      </c>
      <c r="AW64" s="82"/>
      <c r="AX64" s="82"/>
      <c r="AY64" s="82"/>
      <c r="AZ64" s="82"/>
      <c r="BA64" s="82">
        <f t="shared" si="326"/>
        <v>0</v>
      </c>
      <c r="BB64" s="82">
        <f t="shared" si="327"/>
        <v>0</v>
      </c>
      <c r="BC64" s="82">
        <f t="shared" si="99"/>
        <v>17</v>
      </c>
      <c r="BD64" s="82">
        <f t="shared" si="328"/>
        <v>217005</v>
      </c>
      <c r="BE64" s="82">
        <f t="shared" si="329"/>
        <v>0</v>
      </c>
      <c r="BF64" s="82">
        <f t="shared" si="330"/>
        <v>2</v>
      </c>
      <c r="BG64" s="82">
        <f t="shared" si="103"/>
        <v>17</v>
      </c>
      <c r="BH64" s="82">
        <f t="shared" si="331"/>
        <v>217005</v>
      </c>
      <c r="BI64" s="82"/>
      <c r="BJ64" s="83"/>
      <c r="BK64" s="82">
        <f t="shared" si="332"/>
        <v>0</v>
      </c>
      <c r="BL64" s="82">
        <f t="shared" si="333"/>
        <v>0</v>
      </c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>
        <f t="shared" si="334"/>
        <v>0</v>
      </c>
      <c r="BX64" s="82">
        <f t="shared" si="335"/>
        <v>0</v>
      </c>
      <c r="BY64" s="82">
        <f t="shared" si="109"/>
        <v>17</v>
      </c>
      <c r="BZ64" s="82">
        <f t="shared" si="336"/>
        <v>217005</v>
      </c>
      <c r="CA64" s="82"/>
      <c r="CB64" s="82"/>
      <c r="CC64" s="82">
        <f t="shared" si="337"/>
        <v>0</v>
      </c>
      <c r="CD64" s="82">
        <f t="shared" si="338"/>
        <v>0</v>
      </c>
      <c r="CE64" s="82"/>
      <c r="CF64" s="82"/>
      <c r="CG64" s="82"/>
      <c r="CH64" s="82"/>
      <c r="CI64" s="82">
        <f t="shared" si="339"/>
        <v>0</v>
      </c>
      <c r="CJ64" s="82">
        <f t="shared" si="340"/>
        <v>0</v>
      </c>
      <c r="CK64" s="82">
        <f t="shared" si="189"/>
        <v>17</v>
      </c>
      <c r="CL64" s="82">
        <f t="shared" si="341"/>
        <v>217005</v>
      </c>
      <c r="CM64" s="82"/>
      <c r="CN64" s="82"/>
      <c r="CO64" s="82">
        <f t="shared" si="35"/>
        <v>0</v>
      </c>
      <c r="CP64" s="82">
        <f t="shared" si="36"/>
        <v>0</v>
      </c>
      <c r="CQ64" s="82"/>
      <c r="CR64" s="82"/>
      <c r="CS64" s="82"/>
      <c r="CT64" s="82"/>
      <c r="CU64" s="82">
        <f t="shared" si="342"/>
        <v>0</v>
      </c>
      <c r="CV64" s="82">
        <f t="shared" si="343"/>
        <v>0</v>
      </c>
      <c r="CW64" s="82">
        <f t="shared" si="39"/>
        <v>17</v>
      </c>
      <c r="CX64" s="82">
        <f t="shared" si="344"/>
        <v>217005</v>
      </c>
      <c r="CY64" s="82">
        <f t="shared" si="41"/>
        <v>0</v>
      </c>
      <c r="CZ64" s="82">
        <f t="shared" si="345"/>
        <v>0</v>
      </c>
      <c r="DA64" s="82">
        <f t="shared" si="43"/>
        <v>17</v>
      </c>
      <c r="DB64" s="82">
        <f t="shared" si="44"/>
        <v>217005</v>
      </c>
      <c r="DC64" s="84"/>
      <c r="DD64" s="82"/>
      <c r="DE64" s="82"/>
      <c r="DF64" s="82">
        <f t="shared" si="346"/>
        <v>0</v>
      </c>
      <c r="DG64" s="82">
        <f t="shared" si="347"/>
        <v>0</v>
      </c>
      <c r="DH64" s="82"/>
      <c r="DI64" s="82"/>
      <c r="DJ64" s="82"/>
      <c r="DK64" s="82"/>
      <c r="DL64" s="82">
        <f t="shared" si="348"/>
        <v>0</v>
      </c>
      <c r="DM64" s="82">
        <f t="shared" si="349"/>
        <v>0</v>
      </c>
      <c r="DN64" s="82">
        <f t="shared" si="274"/>
        <v>17</v>
      </c>
      <c r="DO64" s="82">
        <f t="shared" si="275"/>
        <v>217005</v>
      </c>
      <c r="DP64" s="82"/>
      <c r="DQ64" s="82"/>
      <c r="DR64" s="82">
        <f t="shared" si="350"/>
        <v>0</v>
      </c>
      <c r="DS64" s="82">
        <f t="shared" si="351"/>
        <v>0</v>
      </c>
      <c r="DT64" s="82"/>
      <c r="DU64" s="82"/>
      <c r="DV64" s="82"/>
      <c r="DW64" s="82"/>
      <c r="DX64" s="82">
        <f t="shared" si="352"/>
        <v>0</v>
      </c>
      <c r="DY64" s="82">
        <f t="shared" si="353"/>
        <v>0</v>
      </c>
      <c r="DZ64" s="82">
        <f t="shared" si="280"/>
        <v>17</v>
      </c>
      <c r="EA64" s="82">
        <f t="shared" si="281"/>
        <v>217005</v>
      </c>
      <c r="EB64" s="82"/>
      <c r="EC64" s="82"/>
      <c r="ED64" s="82">
        <f t="shared" si="354"/>
        <v>0</v>
      </c>
      <c r="EE64" s="82">
        <f t="shared" si="355"/>
        <v>0</v>
      </c>
      <c r="EF64" s="82"/>
      <c r="EG64" s="82"/>
      <c r="EH64" s="82"/>
      <c r="EI64" s="82"/>
      <c r="EJ64" s="82">
        <f t="shared" si="356"/>
        <v>0</v>
      </c>
      <c r="EK64" s="82">
        <f t="shared" si="357"/>
        <v>0</v>
      </c>
      <c r="EL64" s="82">
        <f t="shared" si="286"/>
        <v>17</v>
      </c>
      <c r="EM64" s="82">
        <f t="shared" si="287"/>
        <v>217005</v>
      </c>
      <c r="EN64" s="82">
        <f t="shared" si="358"/>
        <v>0</v>
      </c>
      <c r="EO64" s="82">
        <f t="shared" si="359"/>
        <v>0</v>
      </c>
      <c r="EP64" s="82">
        <f t="shared" si="290"/>
        <v>17</v>
      </c>
      <c r="EQ64" s="82">
        <f t="shared" si="291"/>
        <v>217005</v>
      </c>
      <c r="ER64" s="82"/>
      <c r="ES64" s="82"/>
      <c r="ET64" s="82">
        <f t="shared" si="360"/>
        <v>0</v>
      </c>
      <c r="EU64" s="82">
        <f t="shared" si="361"/>
        <v>0</v>
      </c>
      <c r="EV64" s="82"/>
      <c r="EW64" s="82"/>
      <c r="EX64" s="82"/>
      <c r="EY64" s="82"/>
      <c r="EZ64" s="82">
        <f t="shared" si="362"/>
        <v>0</v>
      </c>
      <c r="FA64" s="82">
        <f t="shared" si="363"/>
        <v>0</v>
      </c>
      <c r="FB64" s="82">
        <f t="shared" si="296"/>
        <v>17</v>
      </c>
      <c r="FC64" s="82">
        <f t="shared" si="297"/>
        <v>217005</v>
      </c>
      <c r="FD64" s="82"/>
      <c r="FE64" s="82"/>
      <c r="FF64" s="82">
        <f t="shared" si="364"/>
        <v>0</v>
      </c>
      <c r="FG64" s="82">
        <f t="shared" si="365"/>
        <v>0</v>
      </c>
      <c r="FH64" s="82"/>
      <c r="FI64" s="82"/>
      <c r="FJ64" s="82"/>
      <c r="FK64" s="82"/>
      <c r="FL64" s="82">
        <f t="shared" si="366"/>
        <v>0</v>
      </c>
      <c r="FM64" s="82">
        <f t="shared" si="367"/>
        <v>0</v>
      </c>
      <c r="FN64" s="82">
        <f t="shared" si="302"/>
        <v>17</v>
      </c>
      <c r="FO64" s="82">
        <f t="shared" si="303"/>
        <v>217005</v>
      </c>
      <c r="FP64" s="82"/>
      <c r="FQ64" s="82"/>
      <c r="FR64" s="82">
        <f t="shared" si="368"/>
        <v>0</v>
      </c>
      <c r="FS64" s="82">
        <f t="shared" si="369"/>
        <v>0</v>
      </c>
      <c r="FT64" s="82"/>
      <c r="FU64" s="82"/>
      <c r="FV64" s="82"/>
      <c r="FW64" s="82"/>
      <c r="FX64" s="82">
        <f t="shared" si="370"/>
        <v>0</v>
      </c>
      <c r="FY64" s="82">
        <f t="shared" si="371"/>
        <v>0</v>
      </c>
      <c r="FZ64" s="82">
        <f t="shared" si="308"/>
        <v>17</v>
      </c>
      <c r="GA64" s="82">
        <f t="shared" si="309"/>
        <v>217005</v>
      </c>
      <c r="GB64" s="82">
        <f t="shared" si="310"/>
        <v>0</v>
      </c>
      <c r="GC64" s="82">
        <f t="shared" si="372"/>
        <v>0</v>
      </c>
      <c r="GD64" s="82">
        <f t="shared" si="312"/>
        <v>17</v>
      </c>
      <c r="GE64" s="82">
        <f t="shared" si="313"/>
        <v>217005</v>
      </c>
      <c r="GF64" s="85"/>
    </row>
    <row r="65" ht="29.25" customHeight="1">
      <c r="A65" s="16"/>
      <c r="B65" s="16"/>
      <c r="C65" s="16"/>
      <c r="D65" s="78" t="s">
        <v>141</v>
      </c>
      <c r="E65" s="86">
        <v>14414.0</v>
      </c>
      <c r="F65" s="80" t="s">
        <v>86</v>
      </c>
      <c r="G65" s="81">
        <v>20.0</v>
      </c>
      <c r="H65" s="82">
        <v>288280.0</v>
      </c>
      <c r="I65" s="82"/>
      <c r="J65" s="82"/>
      <c r="K65" s="82">
        <f t="shared" si="314"/>
        <v>0</v>
      </c>
      <c r="L65" s="82">
        <f t="shared" si="315"/>
        <v>0</v>
      </c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>
        <f t="shared" si="316"/>
        <v>0</v>
      </c>
      <c r="AC65" s="82">
        <f t="shared" si="317"/>
        <v>0</v>
      </c>
      <c r="AD65" s="82">
        <f t="shared" si="89"/>
        <v>20</v>
      </c>
      <c r="AE65" s="82">
        <f t="shared" si="318"/>
        <v>288280</v>
      </c>
      <c r="AF65" s="82"/>
      <c r="AG65" s="82"/>
      <c r="AH65" s="82">
        <f t="shared" si="319"/>
        <v>0</v>
      </c>
      <c r="AI65" s="82">
        <f t="shared" si="320"/>
        <v>0</v>
      </c>
      <c r="AJ65" s="82"/>
      <c r="AK65" s="82"/>
      <c r="AL65" s="82"/>
      <c r="AM65" s="82"/>
      <c r="AN65" s="82">
        <f t="shared" si="321"/>
        <v>0</v>
      </c>
      <c r="AO65" s="82">
        <f t="shared" si="322"/>
        <v>0</v>
      </c>
      <c r="AP65" s="82">
        <f t="shared" si="11"/>
        <v>20</v>
      </c>
      <c r="AQ65" s="82">
        <f t="shared" si="323"/>
        <v>288280</v>
      </c>
      <c r="AR65" s="82"/>
      <c r="AS65" s="82"/>
      <c r="AT65" s="82"/>
      <c r="AU65" s="82">
        <f t="shared" si="324"/>
        <v>0</v>
      </c>
      <c r="AV65" s="82">
        <f t="shared" si="325"/>
        <v>0</v>
      </c>
      <c r="AW65" s="82"/>
      <c r="AX65" s="82"/>
      <c r="AY65" s="82"/>
      <c r="AZ65" s="82"/>
      <c r="BA65" s="82">
        <f t="shared" si="326"/>
        <v>0</v>
      </c>
      <c r="BB65" s="82">
        <f t="shared" si="327"/>
        <v>0</v>
      </c>
      <c r="BC65" s="82">
        <f t="shared" si="99"/>
        <v>20</v>
      </c>
      <c r="BD65" s="82">
        <f t="shared" si="328"/>
        <v>288280</v>
      </c>
      <c r="BE65" s="82">
        <f t="shared" si="329"/>
        <v>0</v>
      </c>
      <c r="BF65" s="82">
        <f t="shared" si="330"/>
        <v>0</v>
      </c>
      <c r="BG65" s="82">
        <f t="shared" si="103"/>
        <v>20</v>
      </c>
      <c r="BH65" s="82">
        <f t="shared" si="331"/>
        <v>288280</v>
      </c>
      <c r="BI65" s="82"/>
      <c r="BJ65" s="83"/>
      <c r="BK65" s="82">
        <f t="shared" si="332"/>
        <v>0</v>
      </c>
      <c r="BL65" s="82">
        <f t="shared" si="333"/>
        <v>0</v>
      </c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>
        <f t="shared" si="334"/>
        <v>0</v>
      </c>
      <c r="BX65" s="82">
        <f t="shared" si="335"/>
        <v>0</v>
      </c>
      <c r="BY65" s="82">
        <f t="shared" si="109"/>
        <v>20</v>
      </c>
      <c r="BZ65" s="82">
        <f t="shared" si="336"/>
        <v>288280</v>
      </c>
      <c r="CA65" s="82"/>
      <c r="CB65" s="82"/>
      <c r="CC65" s="82">
        <f t="shared" si="337"/>
        <v>0</v>
      </c>
      <c r="CD65" s="82">
        <f t="shared" si="338"/>
        <v>0</v>
      </c>
      <c r="CE65" s="82"/>
      <c r="CF65" s="82"/>
      <c r="CG65" s="82"/>
      <c r="CH65" s="82"/>
      <c r="CI65" s="82">
        <f t="shared" si="339"/>
        <v>0</v>
      </c>
      <c r="CJ65" s="82">
        <f t="shared" si="340"/>
        <v>0</v>
      </c>
      <c r="CK65" s="82">
        <f t="shared" si="189"/>
        <v>20</v>
      </c>
      <c r="CL65" s="82">
        <f t="shared" si="341"/>
        <v>288280</v>
      </c>
      <c r="CM65" s="82"/>
      <c r="CN65" s="82"/>
      <c r="CO65" s="82">
        <f t="shared" si="35"/>
        <v>0</v>
      </c>
      <c r="CP65" s="82">
        <f t="shared" si="36"/>
        <v>0</v>
      </c>
      <c r="CQ65" s="82"/>
      <c r="CR65" s="82"/>
      <c r="CS65" s="82"/>
      <c r="CT65" s="82"/>
      <c r="CU65" s="82">
        <f t="shared" si="342"/>
        <v>0</v>
      </c>
      <c r="CV65" s="82">
        <f t="shared" si="343"/>
        <v>0</v>
      </c>
      <c r="CW65" s="82">
        <f t="shared" si="39"/>
        <v>20</v>
      </c>
      <c r="CX65" s="82">
        <f t="shared" si="344"/>
        <v>288280</v>
      </c>
      <c r="CY65" s="82">
        <f t="shared" si="41"/>
        <v>0</v>
      </c>
      <c r="CZ65" s="82">
        <f t="shared" si="345"/>
        <v>0</v>
      </c>
      <c r="DA65" s="82">
        <f t="shared" si="43"/>
        <v>20</v>
      </c>
      <c r="DB65" s="82">
        <f t="shared" si="44"/>
        <v>288280</v>
      </c>
      <c r="DC65" s="84">
        <v>35.0</v>
      </c>
      <c r="DD65" s="82"/>
      <c r="DE65" s="82"/>
      <c r="DF65" s="82">
        <f t="shared" si="346"/>
        <v>0</v>
      </c>
      <c r="DG65" s="82">
        <f t="shared" si="347"/>
        <v>0</v>
      </c>
      <c r="DH65" s="82"/>
      <c r="DI65" s="82"/>
      <c r="DJ65" s="82"/>
      <c r="DK65" s="82"/>
      <c r="DL65" s="82">
        <f t="shared" si="348"/>
        <v>0</v>
      </c>
      <c r="DM65" s="82">
        <f t="shared" si="349"/>
        <v>0</v>
      </c>
      <c r="DN65" s="82">
        <f t="shared" si="274"/>
        <v>20</v>
      </c>
      <c r="DO65" s="82">
        <f t="shared" si="275"/>
        <v>288280</v>
      </c>
      <c r="DP65" s="82"/>
      <c r="DQ65" s="82"/>
      <c r="DR65" s="82">
        <f t="shared" si="350"/>
        <v>0</v>
      </c>
      <c r="DS65" s="82">
        <f t="shared" si="351"/>
        <v>0</v>
      </c>
      <c r="DT65" s="82"/>
      <c r="DU65" s="82"/>
      <c r="DV65" s="82"/>
      <c r="DW65" s="82"/>
      <c r="DX65" s="82">
        <f t="shared" si="352"/>
        <v>0</v>
      </c>
      <c r="DY65" s="82">
        <f t="shared" si="353"/>
        <v>0</v>
      </c>
      <c r="DZ65" s="82">
        <f t="shared" si="280"/>
        <v>20</v>
      </c>
      <c r="EA65" s="82">
        <f t="shared" si="281"/>
        <v>288280</v>
      </c>
      <c r="EB65" s="82"/>
      <c r="EC65" s="82"/>
      <c r="ED65" s="82">
        <f t="shared" si="354"/>
        <v>0</v>
      </c>
      <c r="EE65" s="82">
        <f t="shared" si="355"/>
        <v>0</v>
      </c>
      <c r="EF65" s="82"/>
      <c r="EG65" s="82"/>
      <c r="EH65" s="82"/>
      <c r="EI65" s="82"/>
      <c r="EJ65" s="82">
        <f t="shared" si="356"/>
        <v>0</v>
      </c>
      <c r="EK65" s="82">
        <f t="shared" si="357"/>
        <v>0</v>
      </c>
      <c r="EL65" s="82">
        <f t="shared" si="286"/>
        <v>20</v>
      </c>
      <c r="EM65" s="82">
        <f t="shared" si="287"/>
        <v>288280</v>
      </c>
      <c r="EN65" s="82">
        <f t="shared" si="358"/>
        <v>0</v>
      </c>
      <c r="EO65" s="82">
        <f t="shared" si="359"/>
        <v>0</v>
      </c>
      <c r="EP65" s="82">
        <f t="shared" si="290"/>
        <v>20</v>
      </c>
      <c r="EQ65" s="82">
        <f t="shared" si="291"/>
        <v>288280</v>
      </c>
      <c r="ER65" s="82"/>
      <c r="ES65" s="82"/>
      <c r="ET65" s="82">
        <f t="shared" si="360"/>
        <v>0</v>
      </c>
      <c r="EU65" s="82">
        <f t="shared" si="361"/>
        <v>0</v>
      </c>
      <c r="EV65" s="82"/>
      <c r="EW65" s="82"/>
      <c r="EX65" s="82"/>
      <c r="EY65" s="82"/>
      <c r="EZ65" s="82">
        <f t="shared" si="362"/>
        <v>0</v>
      </c>
      <c r="FA65" s="82">
        <f t="shared" si="363"/>
        <v>0</v>
      </c>
      <c r="FB65" s="82">
        <f t="shared" si="296"/>
        <v>20</v>
      </c>
      <c r="FC65" s="82">
        <f t="shared" si="297"/>
        <v>288280</v>
      </c>
      <c r="FD65" s="82"/>
      <c r="FE65" s="82"/>
      <c r="FF65" s="82">
        <f t="shared" si="364"/>
        <v>0</v>
      </c>
      <c r="FG65" s="82">
        <f t="shared" si="365"/>
        <v>0</v>
      </c>
      <c r="FH65" s="82"/>
      <c r="FI65" s="82"/>
      <c r="FJ65" s="82"/>
      <c r="FK65" s="82"/>
      <c r="FL65" s="82">
        <f t="shared" si="366"/>
        <v>0</v>
      </c>
      <c r="FM65" s="82">
        <f t="shared" si="367"/>
        <v>0</v>
      </c>
      <c r="FN65" s="82">
        <f t="shared" si="302"/>
        <v>20</v>
      </c>
      <c r="FO65" s="82">
        <f t="shared" si="303"/>
        <v>288280</v>
      </c>
      <c r="FP65" s="82"/>
      <c r="FQ65" s="82"/>
      <c r="FR65" s="82">
        <f t="shared" si="368"/>
        <v>0</v>
      </c>
      <c r="FS65" s="82">
        <f t="shared" si="369"/>
        <v>0</v>
      </c>
      <c r="FT65" s="82"/>
      <c r="FU65" s="82"/>
      <c r="FV65" s="82"/>
      <c r="FW65" s="82"/>
      <c r="FX65" s="82">
        <f t="shared" si="370"/>
        <v>0</v>
      </c>
      <c r="FY65" s="82">
        <f t="shared" si="371"/>
        <v>0</v>
      </c>
      <c r="FZ65" s="82">
        <f t="shared" si="308"/>
        <v>20</v>
      </c>
      <c r="GA65" s="82">
        <f t="shared" si="309"/>
        <v>288280</v>
      </c>
      <c r="GB65" s="82">
        <f t="shared" si="310"/>
        <v>0</v>
      </c>
      <c r="GC65" s="82">
        <f t="shared" si="372"/>
        <v>0</v>
      </c>
      <c r="GD65" s="82">
        <f t="shared" si="312"/>
        <v>20</v>
      </c>
      <c r="GE65" s="82">
        <f t="shared" si="313"/>
        <v>288280</v>
      </c>
      <c r="GF65" s="85"/>
    </row>
    <row r="66" ht="29.25" customHeight="1">
      <c r="A66" s="96">
        <v>35.0</v>
      </c>
      <c r="B66" s="97"/>
      <c r="C66" s="77" t="s">
        <v>142</v>
      </c>
      <c r="D66" s="78" t="s">
        <v>143</v>
      </c>
      <c r="E66" s="86">
        <v>17117.0</v>
      </c>
      <c r="F66" s="80" t="s">
        <v>144</v>
      </c>
      <c r="G66" s="81">
        <v>30.0</v>
      </c>
      <c r="H66" s="82">
        <v>513510.0</v>
      </c>
      <c r="I66" s="82"/>
      <c r="J66" s="82"/>
      <c r="K66" s="82">
        <f t="shared" si="314"/>
        <v>0</v>
      </c>
      <c r="L66" s="82">
        <f t="shared" si="315"/>
        <v>0</v>
      </c>
      <c r="M66" s="82"/>
      <c r="N66" s="83">
        <v>10.0</v>
      </c>
      <c r="O66" s="82"/>
      <c r="P66" s="82"/>
      <c r="Q66" s="82"/>
      <c r="R66" s="82"/>
      <c r="S66" s="83">
        <v>2.0</v>
      </c>
      <c r="T66" s="82"/>
      <c r="U66" s="83">
        <v>3.0</v>
      </c>
      <c r="V66" s="83">
        <v>3.0</v>
      </c>
      <c r="W66" s="82"/>
      <c r="X66" s="82"/>
      <c r="Y66" s="82"/>
      <c r="Z66" s="82"/>
      <c r="AA66" s="82"/>
      <c r="AB66" s="82">
        <f t="shared" si="316"/>
        <v>18</v>
      </c>
      <c r="AC66" s="82">
        <f t="shared" si="317"/>
        <v>308106</v>
      </c>
      <c r="AD66" s="82">
        <f t="shared" si="89"/>
        <v>12</v>
      </c>
      <c r="AE66" s="82">
        <f t="shared" si="318"/>
        <v>205404</v>
      </c>
      <c r="AF66" s="82"/>
      <c r="AG66" s="82"/>
      <c r="AH66" s="82">
        <f t="shared" si="319"/>
        <v>0</v>
      </c>
      <c r="AI66" s="82">
        <f t="shared" si="320"/>
        <v>0</v>
      </c>
      <c r="AJ66" s="82"/>
      <c r="AK66" s="82"/>
      <c r="AL66" s="82"/>
      <c r="AM66" s="82"/>
      <c r="AN66" s="82">
        <f t="shared" si="321"/>
        <v>0</v>
      </c>
      <c r="AO66" s="82">
        <f t="shared" si="322"/>
        <v>0</v>
      </c>
      <c r="AP66" s="82">
        <f t="shared" si="11"/>
        <v>12</v>
      </c>
      <c r="AQ66" s="82">
        <f t="shared" si="323"/>
        <v>205404</v>
      </c>
      <c r="AR66" s="82"/>
      <c r="AS66" s="82"/>
      <c r="AT66" s="82"/>
      <c r="AU66" s="82">
        <f t="shared" si="324"/>
        <v>0</v>
      </c>
      <c r="AV66" s="82">
        <f t="shared" si="325"/>
        <v>0</v>
      </c>
      <c r="AW66" s="82"/>
      <c r="AX66" s="82"/>
      <c r="AY66" s="82"/>
      <c r="AZ66" s="82"/>
      <c r="BA66" s="82">
        <f t="shared" si="326"/>
        <v>0</v>
      </c>
      <c r="BB66" s="82">
        <f t="shared" si="327"/>
        <v>0</v>
      </c>
      <c r="BC66" s="82">
        <f t="shared" si="99"/>
        <v>12</v>
      </c>
      <c r="BD66" s="82">
        <f t="shared" si="328"/>
        <v>205404</v>
      </c>
      <c r="BE66" s="82">
        <f t="shared" si="329"/>
        <v>0</v>
      </c>
      <c r="BF66" s="82">
        <f t="shared" si="330"/>
        <v>18</v>
      </c>
      <c r="BG66" s="82">
        <f t="shared" si="103"/>
        <v>12</v>
      </c>
      <c r="BH66" s="82">
        <f t="shared" si="331"/>
        <v>205404</v>
      </c>
      <c r="BI66" s="82"/>
      <c r="BJ66" s="83"/>
      <c r="BK66" s="82">
        <f t="shared" si="332"/>
        <v>0</v>
      </c>
      <c r="BL66" s="82">
        <f t="shared" si="333"/>
        <v>0</v>
      </c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>
        <f t="shared" si="334"/>
        <v>0</v>
      </c>
      <c r="BX66" s="82">
        <f t="shared" si="335"/>
        <v>0</v>
      </c>
      <c r="BY66" s="82">
        <f t="shared" si="109"/>
        <v>12</v>
      </c>
      <c r="BZ66" s="82">
        <f t="shared" si="336"/>
        <v>205404</v>
      </c>
      <c r="CA66" s="82"/>
      <c r="CB66" s="82"/>
      <c r="CC66" s="82">
        <f t="shared" si="337"/>
        <v>0</v>
      </c>
      <c r="CD66" s="82">
        <f t="shared" si="338"/>
        <v>0</v>
      </c>
      <c r="CE66" s="82"/>
      <c r="CF66" s="82"/>
      <c r="CG66" s="82"/>
      <c r="CH66" s="82"/>
      <c r="CI66" s="82">
        <f t="shared" si="339"/>
        <v>0</v>
      </c>
      <c r="CJ66" s="82">
        <f t="shared" si="340"/>
        <v>0</v>
      </c>
      <c r="CK66" s="82">
        <f t="shared" si="189"/>
        <v>12</v>
      </c>
      <c r="CL66" s="82">
        <f t="shared" si="341"/>
        <v>205404</v>
      </c>
      <c r="CM66" s="82"/>
      <c r="CN66" s="82"/>
      <c r="CO66" s="82">
        <f t="shared" si="35"/>
        <v>0</v>
      </c>
      <c r="CP66" s="82">
        <f t="shared" si="36"/>
        <v>0</v>
      </c>
      <c r="CQ66" s="82"/>
      <c r="CR66" s="82"/>
      <c r="CS66" s="82"/>
      <c r="CT66" s="82"/>
      <c r="CU66" s="82">
        <f t="shared" si="342"/>
        <v>0</v>
      </c>
      <c r="CV66" s="82">
        <f t="shared" si="343"/>
        <v>0</v>
      </c>
      <c r="CW66" s="82">
        <f t="shared" si="39"/>
        <v>12</v>
      </c>
      <c r="CX66" s="82">
        <f t="shared" si="344"/>
        <v>205404</v>
      </c>
      <c r="CY66" s="82">
        <f t="shared" si="41"/>
        <v>0</v>
      </c>
      <c r="CZ66" s="82">
        <f t="shared" si="345"/>
        <v>0</v>
      </c>
      <c r="DA66" s="82">
        <f t="shared" si="43"/>
        <v>12</v>
      </c>
      <c r="DB66" s="82">
        <f t="shared" si="44"/>
        <v>205404</v>
      </c>
      <c r="DC66" s="84">
        <v>19.0</v>
      </c>
      <c r="DD66" s="82"/>
      <c r="DE66" s="82"/>
      <c r="DF66" s="82">
        <f t="shared" si="346"/>
        <v>0</v>
      </c>
      <c r="DG66" s="82">
        <f t="shared" si="347"/>
        <v>0</v>
      </c>
      <c r="DH66" s="82"/>
      <c r="DI66" s="82"/>
      <c r="DJ66" s="82"/>
      <c r="DK66" s="82"/>
      <c r="DL66" s="82">
        <f t="shared" si="348"/>
        <v>0</v>
      </c>
      <c r="DM66" s="82">
        <f t="shared" si="349"/>
        <v>0</v>
      </c>
      <c r="DN66" s="82">
        <f t="shared" si="274"/>
        <v>12</v>
      </c>
      <c r="DO66" s="82">
        <f t="shared" si="275"/>
        <v>205404</v>
      </c>
      <c r="DP66" s="82"/>
      <c r="DQ66" s="82"/>
      <c r="DR66" s="82">
        <f t="shared" si="350"/>
        <v>0</v>
      </c>
      <c r="DS66" s="82">
        <f t="shared" si="351"/>
        <v>0</v>
      </c>
      <c r="DT66" s="82"/>
      <c r="DU66" s="82"/>
      <c r="DV66" s="82"/>
      <c r="DW66" s="82"/>
      <c r="DX66" s="82">
        <f t="shared" si="352"/>
        <v>0</v>
      </c>
      <c r="DY66" s="82">
        <f t="shared" si="353"/>
        <v>0</v>
      </c>
      <c r="DZ66" s="82">
        <f t="shared" si="280"/>
        <v>12</v>
      </c>
      <c r="EA66" s="82">
        <f t="shared" si="281"/>
        <v>205404</v>
      </c>
      <c r="EB66" s="82"/>
      <c r="EC66" s="82"/>
      <c r="ED66" s="82">
        <f t="shared" si="354"/>
        <v>0</v>
      </c>
      <c r="EE66" s="82">
        <f t="shared" si="355"/>
        <v>0</v>
      </c>
      <c r="EF66" s="82"/>
      <c r="EG66" s="82"/>
      <c r="EH66" s="82"/>
      <c r="EI66" s="82"/>
      <c r="EJ66" s="82">
        <f t="shared" si="356"/>
        <v>0</v>
      </c>
      <c r="EK66" s="82">
        <f t="shared" si="357"/>
        <v>0</v>
      </c>
      <c r="EL66" s="82">
        <f t="shared" si="286"/>
        <v>12</v>
      </c>
      <c r="EM66" s="82">
        <f t="shared" si="287"/>
        <v>205404</v>
      </c>
      <c r="EN66" s="82">
        <f t="shared" si="358"/>
        <v>0</v>
      </c>
      <c r="EO66" s="82">
        <f t="shared" si="359"/>
        <v>0</v>
      </c>
      <c r="EP66" s="82">
        <f t="shared" si="290"/>
        <v>12</v>
      </c>
      <c r="EQ66" s="82">
        <f t="shared" si="291"/>
        <v>205404</v>
      </c>
      <c r="ER66" s="82"/>
      <c r="ES66" s="82"/>
      <c r="ET66" s="82">
        <f t="shared" si="360"/>
        <v>0</v>
      </c>
      <c r="EU66" s="82">
        <f t="shared" si="361"/>
        <v>0</v>
      </c>
      <c r="EV66" s="82"/>
      <c r="EW66" s="82"/>
      <c r="EX66" s="82"/>
      <c r="EY66" s="82"/>
      <c r="EZ66" s="82">
        <f t="shared" si="362"/>
        <v>0</v>
      </c>
      <c r="FA66" s="82">
        <f t="shared" si="363"/>
        <v>0</v>
      </c>
      <c r="FB66" s="82">
        <f t="shared" si="296"/>
        <v>12</v>
      </c>
      <c r="FC66" s="82">
        <f t="shared" si="297"/>
        <v>205404</v>
      </c>
      <c r="FD66" s="82"/>
      <c r="FE66" s="82"/>
      <c r="FF66" s="82">
        <f t="shared" si="364"/>
        <v>0</v>
      </c>
      <c r="FG66" s="82">
        <f t="shared" si="365"/>
        <v>0</v>
      </c>
      <c r="FH66" s="82"/>
      <c r="FI66" s="82"/>
      <c r="FJ66" s="82"/>
      <c r="FK66" s="82"/>
      <c r="FL66" s="82">
        <f t="shared" si="366"/>
        <v>0</v>
      </c>
      <c r="FM66" s="82">
        <f t="shared" si="367"/>
        <v>0</v>
      </c>
      <c r="FN66" s="82">
        <f t="shared" si="302"/>
        <v>12</v>
      </c>
      <c r="FO66" s="82">
        <f t="shared" si="303"/>
        <v>205404</v>
      </c>
      <c r="FP66" s="82"/>
      <c r="FQ66" s="82"/>
      <c r="FR66" s="82">
        <f t="shared" si="368"/>
        <v>0</v>
      </c>
      <c r="FS66" s="82">
        <f t="shared" si="369"/>
        <v>0</v>
      </c>
      <c r="FT66" s="82"/>
      <c r="FU66" s="82"/>
      <c r="FV66" s="82"/>
      <c r="FW66" s="82"/>
      <c r="FX66" s="82">
        <f t="shared" si="370"/>
        <v>0</v>
      </c>
      <c r="FY66" s="82">
        <f t="shared" si="371"/>
        <v>0</v>
      </c>
      <c r="FZ66" s="82">
        <f t="shared" si="308"/>
        <v>12</v>
      </c>
      <c r="GA66" s="82">
        <f t="shared" si="309"/>
        <v>205404</v>
      </c>
      <c r="GB66" s="82">
        <f t="shared" si="310"/>
        <v>0</v>
      </c>
      <c r="GC66" s="82">
        <f t="shared" si="372"/>
        <v>0</v>
      </c>
      <c r="GD66" s="82">
        <f t="shared" si="312"/>
        <v>12</v>
      </c>
      <c r="GE66" s="82">
        <f t="shared" si="313"/>
        <v>205404</v>
      </c>
      <c r="GF66" s="85"/>
    </row>
    <row r="67" ht="29.25" customHeight="1">
      <c r="A67" s="76">
        <v>36.0</v>
      </c>
      <c r="B67" s="87"/>
      <c r="C67" s="77" t="s">
        <v>145</v>
      </c>
      <c r="D67" s="78" t="s">
        <v>143</v>
      </c>
      <c r="E67" s="79">
        <v>18315.0</v>
      </c>
      <c r="F67" s="61" t="s">
        <v>110</v>
      </c>
      <c r="G67" s="81">
        <v>4.0</v>
      </c>
      <c r="H67" s="82">
        <v>73260.0</v>
      </c>
      <c r="I67" s="82"/>
      <c r="J67" s="82"/>
      <c r="K67" s="82">
        <f t="shared" si="314"/>
        <v>0</v>
      </c>
      <c r="L67" s="82">
        <f t="shared" si="315"/>
        <v>0</v>
      </c>
      <c r="M67" s="82"/>
      <c r="N67" s="82"/>
      <c r="O67" s="82"/>
      <c r="P67" s="82"/>
      <c r="Q67" s="82"/>
      <c r="R67" s="82"/>
      <c r="S67" s="82"/>
      <c r="T67" s="82"/>
      <c r="U67" s="82"/>
      <c r="V67" s="83">
        <v>3.0</v>
      </c>
      <c r="W67" s="82"/>
      <c r="X67" s="82"/>
      <c r="Y67" s="82"/>
      <c r="Z67" s="82"/>
      <c r="AA67" s="82"/>
      <c r="AB67" s="82">
        <f t="shared" si="316"/>
        <v>3</v>
      </c>
      <c r="AC67" s="82">
        <f t="shared" si="317"/>
        <v>54945</v>
      </c>
      <c r="AD67" s="82">
        <f t="shared" si="89"/>
        <v>1</v>
      </c>
      <c r="AE67" s="82">
        <f t="shared" si="318"/>
        <v>18315</v>
      </c>
      <c r="AF67" s="82"/>
      <c r="AG67" s="82"/>
      <c r="AH67" s="82">
        <f t="shared" si="319"/>
        <v>0</v>
      </c>
      <c r="AI67" s="82">
        <f t="shared" si="320"/>
        <v>0</v>
      </c>
      <c r="AJ67" s="82"/>
      <c r="AK67" s="82"/>
      <c r="AL67" s="82"/>
      <c r="AM67" s="82"/>
      <c r="AN67" s="82">
        <f t="shared" si="321"/>
        <v>0</v>
      </c>
      <c r="AO67" s="82">
        <f t="shared" si="322"/>
        <v>0</v>
      </c>
      <c r="AP67" s="82">
        <f t="shared" si="11"/>
        <v>1</v>
      </c>
      <c r="AQ67" s="82">
        <f t="shared" si="323"/>
        <v>18315</v>
      </c>
      <c r="AR67" s="82"/>
      <c r="AS67" s="82"/>
      <c r="AT67" s="82"/>
      <c r="AU67" s="82">
        <f t="shared" si="324"/>
        <v>0</v>
      </c>
      <c r="AV67" s="82">
        <f t="shared" si="325"/>
        <v>0</v>
      </c>
      <c r="AW67" s="82"/>
      <c r="AX67" s="82"/>
      <c r="AY67" s="82"/>
      <c r="AZ67" s="82"/>
      <c r="BA67" s="82">
        <f t="shared" si="326"/>
        <v>0</v>
      </c>
      <c r="BB67" s="82">
        <f t="shared" si="327"/>
        <v>0</v>
      </c>
      <c r="BC67" s="82">
        <f t="shared" si="99"/>
        <v>1</v>
      </c>
      <c r="BD67" s="82">
        <f t="shared" si="328"/>
        <v>18315</v>
      </c>
      <c r="BE67" s="82">
        <f t="shared" si="329"/>
        <v>0</v>
      </c>
      <c r="BF67" s="82">
        <f t="shared" si="330"/>
        <v>3</v>
      </c>
      <c r="BG67" s="82">
        <f t="shared" si="103"/>
        <v>1</v>
      </c>
      <c r="BH67" s="82">
        <f t="shared" si="331"/>
        <v>18315</v>
      </c>
      <c r="BI67" s="82"/>
      <c r="BJ67" s="83"/>
      <c r="BK67" s="82">
        <f t="shared" si="332"/>
        <v>0</v>
      </c>
      <c r="BL67" s="82">
        <f t="shared" si="333"/>
        <v>0</v>
      </c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>
        <f t="shared" si="334"/>
        <v>0</v>
      </c>
      <c r="BX67" s="82">
        <f t="shared" si="335"/>
        <v>0</v>
      </c>
      <c r="BY67" s="82">
        <f t="shared" si="109"/>
        <v>1</v>
      </c>
      <c r="BZ67" s="82">
        <f t="shared" si="336"/>
        <v>18315</v>
      </c>
      <c r="CA67" s="82"/>
      <c r="CB67" s="82"/>
      <c r="CC67" s="82">
        <f t="shared" si="337"/>
        <v>0</v>
      </c>
      <c r="CD67" s="82">
        <f t="shared" si="338"/>
        <v>0</v>
      </c>
      <c r="CE67" s="82"/>
      <c r="CF67" s="82"/>
      <c r="CG67" s="82"/>
      <c r="CH67" s="82"/>
      <c r="CI67" s="82">
        <f t="shared" si="339"/>
        <v>0</v>
      </c>
      <c r="CJ67" s="82">
        <f t="shared" si="340"/>
        <v>0</v>
      </c>
      <c r="CK67" s="82">
        <f t="shared" si="189"/>
        <v>1</v>
      </c>
      <c r="CL67" s="82">
        <f t="shared" si="341"/>
        <v>18315</v>
      </c>
      <c r="CM67" s="82"/>
      <c r="CN67" s="82"/>
      <c r="CO67" s="82">
        <f t="shared" si="35"/>
        <v>0</v>
      </c>
      <c r="CP67" s="82">
        <f t="shared" si="36"/>
        <v>0</v>
      </c>
      <c r="CQ67" s="82"/>
      <c r="CR67" s="82"/>
      <c r="CS67" s="82"/>
      <c r="CT67" s="82"/>
      <c r="CU67" s="82">
        <f t="shared" si="342"/>
        <v>0</v>
      </c>
      <c r="CV67" s="82">
        <f t="shared" si="343"/>
        <v>0</v>
      </c>
      <c r="CW67" s="82">
        <f t="shared" si="39"/>
        <v>1</v>
      </c>
      <c r="CX67" s="82">
        <f t="shared" si="344"/>
        <v>18315</v>
      </c>
      <c r="CY67" s="82">
        <f t="shared" si="41"/>
        <v>0</v>
      </c>
      <c r="CZ67" s="82">
        <f t="shared" si="345"/>
        <v>0</v>
      </c>
      <c r="DA67" s="82">
        <f t="shared" si="43"/>
        <v>1</v>
      </c>
      <c r="DB67" s="82">
        <f t="shared" si="44"/>
        <v>18315</v>
      </c>
      <c r="DC67" s="84">
        <v>16.0</v>
      </c>
      <c r="DD67" s="82"/>
      <c r="DE67" s="82"/>
      <c r="DF67" s="82">
        <f t="shared" si="346"/>
        <v>0</v>
      </c>
      <c r="DG67" s="82">
        <f t="shared" si="347"/>
        <v>0</v>
      </c>
      <c r="DH67" s="82"/>
      <c r="DI67" s="82"/>
      <c r="DJ67" s="82"/>
      <c r="DK67" s="82"/>
      <c r="DL67" s="82">
        <f t="shared" si="348"/>
        <v>0</v>
      </c>
      <c r="DM67" s="82">
        <f t="shared" si="349"/>
        <v>0</v>
      </c>
      <c r="DN67" s="82">
        <f t="shared" si="274"/>
        <v>1</v>
      </c>
      <c r="DO67" s="82">
        <f t="shared" si="275"/>
        <v>18315</v>
      </c>
      <c r="DP67" s="82"/>
      <c r="DQ67" s="82"/>
      <c r="DR67" s="82">
        <f t="shared" si="350"/>
        <v>0</v>
      </c>
      <c r="DS67" s="82">
        <f t="shared" si="351"/>
        <v>0</v>
      </c>
      <c r="DT67" s="82"/>
      <c r="DU67" s="82"/>
      <c r="DV67" s="82"/>
      <c r="DW67" s="82"/>
      <c r="DX67" s="82">
        <f t="shared" si="352"/>
        <v>0</v>
      </c>
      <c r="DY67" s="82">
        <f t="shared" si="353"/>
        <v>0</v>
      </c>
      <c r="DZ67" s="82">
        <f t="shared" si="280"/>
        <v>1</v>
      </c>
      <c r="EA67" s="82">
        <f t="shared" si="281"/>
        <v>18315</v>
      </c>
      <c r="EB67" s="82"/>
      <c r="EC67" s="82"/>
      <c r="ED67" s="82">
        <f t="shared" si="354"/>
        <v>0</v>
      </c>
      <c r="EE67" s="82">
        <f t="shared" si="355"/>
        <v>0</v>
      </c>
      <c r="EF67" s="82"/>
      <c r="EG67" s="82"/>
      <c r="EH67" s="82"/>
      <c r="EI67" s="82"/>
      <c r="EJ67" s="82">
        <f t="shared" si="356"/>
        <v>0</v>
      </c>
      <c r="EK67" s="82">
        <f t="shared" si="357"/>
        <v>0</v>
      </c>
      <c r="EL67" s="82">
        <f t="shared" si="286"/>
        <v>1</v>
      </c>
      <c r="EM67" s="82">
        <f t="shared" si="287"/>
        <v>18315</v>
      </c>
      <c r="EN67" s="82">
        <f t="shared" si="358"/>
        <v>0</v>
      </c>
      <c r="EO67" s="82">
        <f t="shared" si="359"/>
        <v>0</v>
      </c>
      <c r="EP67" s="82">
        <f t="shared" si="290"/>
        <v>1</v>
      </c>
      <c r="EQ67" s="82">
        <f t="shared" si="291"/>
        <v>18315</v>
      </c>
      <c r="ER67" s="82"/>
      <c r="ES67" s="82"/>
      <c r="ET67" s="82">
        <f t="shared" si="360"/>
        <v>0</v>
      </c>
      <c r="EU67" s="82">
        <f t="shared" si="361"/>
        <v>0</v>
      </c>
      <c r="EV67" s="82"/>
      <c r="EW67" s="82"/>
      <c r="EX67" s="82"/>
      <c r="EY67" s="82"/>
      <c r="EZ67" s="82">
        <f t="shared" si="362"/>
        <v>0</v>
      </c>
      <c r="FA67" s="82">
        <f t="shared" si="363"/>
        <v>0</v>
      </c>
      <c r="FB67" s="82">
        <f t="shared" si="296"/>
        <v>1</v>
      </c>
      <c r="FC67" s="82">
        <f t="shared" si="297"/>
        <v>18315</v>
      </c>
      <c r="FD67" s="82"/>
      <c r="FE67" s="82"/>
      <c r="FF67" s="82">
        <f t="shared" si="364"/>
        <v>0</v>
      </c>
      <c r="FG67" s="82">
        <f t="shared" si="365"/>
        <v>0</v>
      </c>
      <c r="FH67" s="82"/>
      <c r="FI67" s="82"/>
      <c r="FJ67" s="82"/>
      <c r="FK67" s="82"/>
      <c r="FL67" s="82">
        <f t="shared" si="366"/>
        <v>0</v>
      </c>
      <c r="FM67" s="82">
        <f t="shared" si="367"/>
        <v>0</v>
      </c>
      <c r="FN67" s="82">
        <f t="shared" si="302"/>
        <v>1</v>
      </c>
      <c r="FO67" s="82">
        <f t="shared" si="303"/>
        <v>18315</v>
      </c>
      <c r="FP67" s="82"/>
      <c r="FQ67" s="82"/>
      <c r="FR67" s="82">
        <f t="shared" si="368"/>
        <v>0</v>
      </c>
      <c r="FS67" s="82">
        <f t="shared" si="369"/>
        <v>0</v>
      </c>
      <c r="FT67" s="82"/>
      <c r="FU67" s="82"/>
      <c r="FV67" s="82"/>
      <c r="FW67" s="82"/>
      <c r="FX67" s="82">
        <f t="shared" si="370"/>
        <v>0</v>
      </c>
      <c r="FY67" s="82">
        <f t="shared" si="371"/>
        <v>0</v>
      </c>
      <c r="FZ67" s="82">
        <f t="shared" si="308"/>
        <v>1</v>
      </c>
      <c r="GA67" s="82">
        <f t="shared" si="309"/>
        <v>18315</v>
      </c>
      <c r="GB67" s="82">
        <f t="shared" si="310"/>
        <v>0</v>
      </c>
      <c r="GC67" s="82">
        <f t="shared" si="372"/>
        <v>0</v>
      </c>
      <c r="GD67" s="82">
        <f t="shared" si="312"/>
        <v>1</v>
      </c>
      <c r="GE67" s="82">
        <f t="shared" si="313"/>
        <v>18315</v>
      </c>
      <c r="GF67" s="85"/>
    </row>
    <row r="68" ht="29.25" customHeight="1">
      <c r="A68" s="50"/>
      <c r="B68" s="50"/>
      <c r="C68" s="50"/>
      <c r="D68" s="78" t="s">
        <v>143</v>
      </c>
      <c r="E68" s="86">
        <v>17117.0</v>
      </c>
      <c r="F68" s="80" t="s">
        <v>144</v>
      </c>
      <c r="G68" s="81">
        <v>19.0</v>
      </c>
      <c r="H68" s="82">
        <v>325223.0</v>
      </c>
      <c r="I68" s="82"/>
      <c r="J68" s="82"/>
      <c r="K68" s="82">
        <f t="shared" si="314"/>
        <v>0</v>
      </c>
      <c r="L68" s="82">
        <f t="shared" si="315"/>
        <v>0</v>
      </c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>
        <f t="shared" si="316"/>
        <v>0</v>
      </c>
      <c r="AC68" s="82">
        <f t="shared" si="317"/>
        <v>0</v>
      </c>
      <c r="AD68" s="82">
        <f t="shared" si="89"/>
        <v>19</v>
      </c>
      <c r="AE68" s="82">
        <f t="shared" si="318"/>
        <v>325223</v>
      </c>
      <c r="AF68" s="82"/>
      <c r="AG68" s="82"/>
      <c r="AH68" s="82">
        <f t="shared" si="319"/>
        <v>0</v>
      </c>
      <c r="AI68" s="82">
        <f t="shared" si="320"/>
        <v>0</v>
      </c>
      <c r="AJ68" s="82"/>
      <c r="AK68" s="82"/>
      <c r="AL68" s="82"/>
      <c r="AM68" s="82"/>
      <c r="AN68" s="82">
        <f t="shared" si="321"/>
        <v>0</v>
      </c>
      <c r="AO68" s="82">
        <f t="shared" si="322"/>
        <v>0</v>
      </c>
      <c r="AP68" s="82">
        <f t="shared" si="11"/>
        <v>19</v>
      </c>
      <c r="AQ68" s="82">
        <f t="shared" si="323"/>
        <v>325223</v>
      </c>
      <c r="AR68" s="82"/>
      <c r="AS68" s="82"/>
      <c r="AT68" s="82"/>
      <c r="AU68" s="82">
        <f t="shared" si="324"/>
        <v>0</v>
      </c>
      <c r="AV68" s="82">
        <f t="shared" si="325"/>
        <v>0</v>
      </c>
      <c r="AW68" s="82"/>
      <c r="AX68" s="82"/>
      <c r="AY68" s="82"/>
      <c r="AZ68" s="82"/>
      <c r="BA68" s="82">
        <f t="shared" si="326"/>
        <v>0</v>
      </c>
      <c r="BB68" s="82">
        <f t="shared" si="327"/>
        <v>0</v>
      </c>
      <c r="BC68" s="82">
        <f t="shared" si="99"/>
        <v>19</v>
      </c>
      <c r="BD68" s="82">
        <f t="shared" si="328"/>
        <v>325223</v>
      </c>
      <c r="BE68" s="82">
        <f t="shared" si="329"/>
        <v>0</v>
      </c>
      <c r="BF68" s="82">
        <f t="shared" si="330"/>
        <v>0</v>
      </c>
      <c r="BG68" s="82">
        <f t="shared" si="103"/>
        <v>19</v>
      </c>
      <c r="BH68" s="82">
        <f t="shared" si="331"/>
        <v>325223</v>
      </c>
      <c r="BI68" s="82"/>
      <c r="BJ68" s="83"/>
      <c r="BK68" s="82">
        <f t="shared" si="332"/>
        <v>0</v>
      </c>
      <c r="BL68" s="82">
        <f t="shared" si="333"/>
        <v>0</v>
      </c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>
        <f t="shared" si="334"/>
        <v>0</v>
      </c>
      <c r="BX68" s="82">
        <f t="shared" si="335"/>
        <v>0</v>
      </c>
      <c r="BY68" s="82">
        <f t="shared" si="109"/>
        <v>19</v>
      </c>
      <c r="BZ68" s="82">
        <f t="shared" si="336"/>
        <v>325223</v>
      </c>
      <c r="CA68" s="82"/>
      <c r="CB68" s="82"/>
      <c r="CC68" s="82">
        <f t="shared" si="337"/>
        <v>0</v>
      </c>
      <c r="CD68" s="82">
        <f t="shared" si="338"/>
        <v>0</v>
      </c>
      <c r="CE68" s="82"/>
      <c r="CF68" s="82"/>
      <c r="CG68" s="82"/>
      <c r="CH68" s="82"/>
      <c r="CI68" s="82">
        <f t="shared" si="339"/>
        <v>0</v>
      </c>
      <c r="CJ68" s="82">
        <f t="shared" si="340"/>
        <v>0</v>
      </c>
      <c r="CK68" s="82">
        <f t="shared" si="189"/>
        <v>19</v>
      </c>
      <c r="CL68" s="82">
        <f t="shared" si="341"/>
        <v>325223</v>
      </c>
      <c r="CM68" s="82"/>
      <c r="CN68" s="82"/>
      <c r="CO68" s="82">
        <f t="shared" si="35"/>
        <v>0</v>
      </c>
      <c r="CP68" s="82">
        <f t="shared" si="36"/>
        <v>0</v>
      </c>
      <c r="CQ68" s="82"/>
      <c r="CR68" s="82"/>
      <c r="CS68" s="82"/>
      <c r="CT68" s="82"/>
      <c r="CU68" s="82">
        <f t="shared" si="342"/>
        <v>0</v>
      </c>
      <c r="CV68" s="82">
        <f t="shared" si="343"/>
        <v>0</v>
      </c>
      <c r="CW68" s="82">
        <f t="shared" si="39"/>
        <v>19</v>
      </c>
      <c r="CX68" s="82">
        <f t="shared" si="344"/>
        <v>325223</v>
      </c>
      <c r="CY68" s="82">
        <f t="shared" si="41"/>
        <v>0</v>
      </c>
      <c r="CZ68" s="82">
        <f t="shared" si="345"/>
        <v>0</v>
      </c>
      <c r="DA68" s="82">
        <f t="shared" si="43"/>
        <v>19</v>
      </c>
      <c r="DB68" s="82">
        <f t="shared" si="44"/>
        <v>325223</v>
      </c>
      <c r="DC68" s="91"/>
      <c r="DD68" s="82"/>
      <c r="DE68" s="82"/>
      <c r="DF68" s="82">
        <f t="shared" si="346"/>
        <v>0</v>
      </c>
      <c r="DG68" s="82">
        <f t="shared" si="347"/>
        <v>0</v>
      </c>
      <c r="DH68" s="82"/>
      <c r="DI68" s="82"/>
      <c r="DJ68" s="82"/>
      <c r="DK68" s="82"/>
      <c r="DL68" s="82">
        <f t="shared" si="348"/>
        <v>0</v>
      </c>
      <c r="DM68" s="82">
        <f t="shared" si="349"/>
        <v>0</v>
      </c>
      <c r="DN68" s="82">
        <f t="shared" si="274"/>
        <v>19</v>
      </c>
      <c r="DO68" s="82">
        <f t="shared" si="275"/>
        <v>325223</v>
      </c>
      <c r="DP68" s="82"/>
      <c r="DQ68" s="82"/>
      <c r="DR68" s="82">
        <f t="shared" si="350"/>
        <v>0</v>
      </c>
      <c r="DS68" s="82">
        <f t="shared" si="351"/>
        <v>0</v>
      </c>
      <c r="DT68" s="82"/>
      <c r="DU68" s="82"/>
      <c r="DV68" s="82"/>
      <c r="DW68" s="82"/>
      <c r="DX68" s="82">
        <f t="shared" si="352"/>
        <v>0</v>
      </c>
      <c r="DY68" s="82">
        <f t="shared" si="353"/>
        <v>0</v>
      </c>
      <c r="DZ68" s="82">
        <f t="shared" si="280"/>
        <v>19</v>
      </c>
      <c r="EA68" s="82">
        <f t="shared" si="281"/>
        <v>325223</v>
      </c>
      <c r="EB68" s="82"/>
      <c r="EC68" s="82"/>
      <c r="ED68" s="82">
        <f t="shared" si="354"/>
        <v>0</v>
      </c>
      <c r="EE68" s="82">
        <f t="shared" si="355"/>
        <v>0</v>
      </c>
      <c r="EF68" s="82"/>
      <c r="EG68" s="82"/>
      <c r="EH68" s="82"/>
      <c r="EI68" s="82"/>
      <c r="EJ68" s="82">
        <f t="shared" si="356"/>
        <v>0</v>
      </c>
      <c r="EK68" s="82">
        <f t="shared" si="357"/>
        <v>0</v>
      </c>
      <c r="EL68" s="82">
        <f t="shared" si="286"/>
        <v>19</v>
      </c>
      <c r="EM68" s="82">
        <f t="shared" si="287"/>
        <v>325223</v>
      </c>
      <c r="EN68" s="82">
        <f t="shared" si="358"/>
        <v>0</v>
      </c>
      <c r="EO68" s="82">
        <f t="shared" si="359"/>
        <v>0</v>
      </c>
      <c r="EP68" s="82">
        <f t="shared" si="290"/>
        <v>19</v>
      </c>
      <c r="EQ68" s="82">
        <f t="shared" si="291"/>
        <v>325223</v>
      </c>
      <c r="ER68" s="82"/>
      <c r="ES68" s="82"/>
      <c r="ET68" s="82">
        <f t="shared" si="360"/>
        <v>0</v>
      </c>
      <c r="EU68" s="82">
        <f t="shared" si="361"/>
        <v>0</v>
      </c>
      <c r="EV68" s="82"/>
      <c r="EW68" s="82"/>
      <c r="EX68" s="82"/>
      <c r="EY68" s="82"/>
      <c r="EZ68" s="82">
        <f t="shared" si="362"/>
        <v>0</v>
      </c>
      <c r="FA68" s="82">
        <f t="shared" si="363"/>
        <v>0</v>
      </c>
      <c r="FB68" s="82">
        <f t="shared" si="296"/>
        <v>19</v>
      </c>
      <c r="FC68" s="82">
        <f t="shared" si="297"/>
        <v>325223</v>
      </c>
      <c r="FD68" s="82"/>
      <c r="FE68" s="82"/>
      <c r="FF68" s="82">
        <f t="shared" si="364"/>
        <v>0</v>
      </c>
      <c r="FG68" s="82">
        <f t="shared" si="365"/>
        <v>0</v>
      </c>
      <c r="FH68" s="82"/>
      <c r="FI68" s="82"/>
      <c r="FJ68" s="82"/>
      <c r="FK68" s="82"/>
      <c r="FL68" s="82">
        <f t="shared" si="366"/>
        <v>0</v>
      </c>
      <c r="FM68" s="82">
        <f t="shared" si="367"/>
        <v>0</v>
      </c>
      <c r="FN68" s="82">
        <f t="shared" si="302"/>
        <v>19</v>
      </c>
      <c r="FO68" s="82">
        <f t="shared" si="303"/>
        <v>325223</v>
      </c>
      <c r="FP68" s="82"/>
      <c r="FQ68" s="82"/>
      <c r="FR68" s="82">
        <f t="shared" si="368"/>
        <v>0</v>
      </c>
      <c r="FS68" s="82">
        <f t="shared" si="369"/>
        <v>0</v>
      </c>
      <c r="FT68" s="82"/>
      <c r="FU68" s="82"/>
      <c r="FV68" s="82"/>
      <c r="FW68" s="82"/>
      <c r="FX68" s="82">
        <f t="shared" si="370"/>
        <v>0</v>
      </c>
      <c r="FY68" s="82">
        <f t="shared" si="371"/>
        <v>0</v>
      </c>
      <c r="FZ68" s="82">
        <f t="shared" si="308"/>
        <v>19</v>
      </c>
      <c r="GA68" s="82">
        <f t="shared" si="309"/>
        <v>325223</v>
      </c>
      <c r="GB68" s="82">
        <f t="shared" si="310"/>
        <v>0</v>
      </c>
      <c r="GC68" s="82">
        <f t="shared" si="372"/>
        <v>0</v>
      </c>
      <c r="GD68" s="82">
        <f t="shared" si="312"/>
        <v>19</v>
      </c>
      <c r="GE68" s="82">
        <f t="shared" si="313"/>
        <v>325223</v>
      </c>
      <c r="GF68" s="85"/>
    </row>
    <row r="69" ht="29.25" customHeight="1">
      <c r="A69" s="76">
        <v>37.0</v>
      </c>
      <c r="B69" s="87"/>
      <c r="C69" s="77" t="s">
        <v>146</v>
      </c>
      <c r="D69" s="78" t="s">
        <v>143</v>
      </c>
      <c r="E69" s="79">
        <v>14430.0</v>
      </c>
      <c r="F69" s="61" t="s">
        <v>92</v>
      </c>
      <c r="G69" s="81">
        <v>5.0</v>
      </c>
      <c r="H69" s="82">
        <v>72150.0</v>
      </c>
      <c r="I69" s="82"/>
      <c r="J69" s="82"/>
      <c r="K69" s="82">
        <f t="shared" si="314"/>
        <v>0</v>
      </c>
      <c r="L69" s="82">
        <f t="shared" si="315"/>
        <v>0</v>
      </c>
      <c r="M69" s="83">
        <v>2.0</v>
      </c>
      <c r="N69" s="83">
        <v>3.0</v>
      </c>
      <c r="O69" s="82"/>
      <c r="P69" s="82"/>
      <c r="Q69" s="82"/>
      <c r="R69" s="82"/>
      <c r="S69" s="82"/>
      <c r="T69" s="82"/>
      <c r="U69" s="82"/>
      <c r="V69" s="83"/>
      <c r="W69" s="82"/>
      <c r="X69" s="82"/>
      <c r="Y69" s="82"/>
      <c r="Z69" s="82"/>
      <c r="AA69" s="82"/>
      <c r="AB69" s="82">
        <f t="shared" si="316"/>
        <v>5</v>
      </c>
      <c r="AC69" s="82">
        <f t="shared" si="317"/>
        <v>72150</v>
      </c>
      <c r="AD69" s="82">
        <f t="shared" si="89"/>
        <v>0</v>
      </c>
      <c r="AE69" s="82">
        <f t="shared" si="318"/>
        <v>0</v>
      </c>
      <c r="AF69" s="82"/>
      <c r="AG69" s="82"/>
      <c r="AH69" s="82">
        <f t="shared" si="319"/>
        <v>0</v>
      </c>
      <c r="AI69" s="82">
        <f t="shared" si="320"/>
        <v>0</v>
      </c>
      <c r="AJ69" s="82"/>
      <c r="AK69" s="82"/>
      <c r="AL69" s="82"/>
      <c r="AM69" s="82"/>
      <c r="AN69" s="82">
        <f t="shared" si="321"/>
        <v>0</v>
      </c>
      <c r="AO69" s="82">
        <f t="shared" si="322"/>
        <v>0</v>
      </c>
      <c r="AP69" s="82">
        <f t="shared" si="11"/>
        <v>0</v>
      </c>
      <c r="AQ69" s="82">
        <f t="shared" si="323"/>
        <v>0</v>
      </c>
      <c r="AR69" s="82"/>
      <c r="AS69" s="82"/>
      <c r="AT69" s="82"/>
      <c r="AU69" s="82">
        <f t="shared" si="324"/>
        <v>0</v>
      </c>
      <c r="AV69" s="82">
        <f t="shared" si="325"/>
        <v>0</v>
      </c>
      <c r="AW69" s="82"/>
      <c r="AX69" s="82"/>
      <c r="AY69" s="82"/>
      <c r="AZ69" s="82"/>
      <c r="BA69" s="82">
        <f t="shared" si="326"/>
        <v>0</v>
      </c>
      <c r="BB69" s="82">
        <f t="shared" si="327"/>
        <v>0</v>
      </c>
      <c r="BC69" s="82">
        <f t="shared" si="99"/>
        <v>0</v>
      </c>
      <c r="BD69" s="82">
        <f t="shared" si="328"/>
        <v>0</v>
      </c>
      <c r="BE69" s="82">
        <f t="shared" si="329"/>
        <v>0</v>
      </c>
      <c r="BF69" s="82">
        <f t="shared" si="330"/>
        <v>5</v>
      </c>
      <c r="BG69" s="82">
        <f t="shared" si="103"/>
        <v>0</v>
      </c>
      <c r="BH69" s="82">
        <f t="shared" si="331"/>
        <v>0</v>
      </c>
      <c r="BI69" s="82"/>
      <c r="BJ69" s="83"/>
      <c r="BK69" s="82">
        <f t="shared" si="332"/>
        <v>0</v>
      </c>
      <c r="BL69" s="82">
        <f t="shared" si="333"/>
        <v>0</v>
      </c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>
        <f t="shared" si="334"/>
        <v>0</v>
      </c>
      <c r="BX69" s="82">
        <f t="shared" si="335"/>
        <v>0</v>
      </c>
      <c r="BY69" s="82">
        <f t="shared" si="109"/>
        <v>0</v>
      </c>
      <c r="BZ69" s="82">
        <f t="shared" si="336"/>
        <v>0</v>
      </c>
      <c r="CA69" s="82"/>
      <c r="CB69" s="82"/>
      <c r="CC69" s="82">
        <f t="shared" si="337"/>
        <v>0</v>
      </c>
      <c r="CD69" s="82">
        <f t="shared" si="338"/>
        <v>0</v>
      </c>
      <c r="CE69" s="82"/>
      <c r="CF69" s="82"/>
      <c r="CG69" s="82"/>
      <c r="CH69" s="82"/>
      <c r="CI69" s="82">
        <f t="shared" si="339"/>
        <v>0</v>
      </c>
      <c r="CJ69" s="82">
        <f t="shared" si="340"/>
        <v>0</v>
      </c>
      <c r="CK69" s="82">
        <f t="shared" si="189"/>
        <v>0</v>
      </c>
      <c r="CL69" s="82">
        <f t="shared" si="341"/>
        <v>0</v>
      </c>
      <c r="CM69" s="82"/>
      <c r="CN69" s="82"/>
      <c r="CO69" s="82">
        <f t="shared" si="35"/>
        <v>0</v>
      </c>
      <c r="CP69" s="82">
        <f t="shared" si="36"/>
        <v>0</v>
      </c>
      <c r="CQ69" s="82"/>
      <c r="CR69" s="82"/>
      <c r="CS69" s="82"/>
      <c r="CT69" s="82"/>
      <c r="CU69" s="82">
        <f t="shared" si="342"/>
        <v>0</v>
      </c>
      <c r="CV69" s="82">
        <f t="shared" si="343"/>
        <v>0</v>
      </c>
      <c r="CW69" s="82">
        <f t="shared" si="39"/>
        <v>0</v>
      </c>
      <c r="CX69" s="82">
        <f t="shared" si="344"/>
        <v>0</v>
      </c>
      <c r="CY69" s="82">
        <f t="shared" si="41"/>
        <v>0</v>
      </c>
      <c r="CZ69" s="82">
        <f t="shared" si="345"/>
        <v>0</v>
      </c>
      <c r="DA69" s="82">
        <f t="shared" si="43"/>
        <v>0</v>
      </c>
      <c r="DB69" s="82">
        <f t="shared" si="44"/>
        <v>0</v>
      </c>
      <c r="DC69" s="91"/>
      <c r="DD69" s="82"/>
      <c r="DE69" s="82"/>
      <c r="DF69" s="82">
        <f t="shared" si="346"/>
        <v>0</v>
      </c>
      <c r="DG69" s="82">
        <f t="shared" si="347"/>
        <v>0</v>
      </c>
      <c r="DH69" s="82"/>
      <c r="DI69" s="82"/>
      <c r="DJ69" s="82"/>
      <c r="DK69" s="82"/>
      <c r="DL69" s="82">
        <f t="shared" si="348"/>
        <v>0</v>
      </c>
      <c r="DM69" s="82">
        <f t="shared" si="349"/>
        <v>0</v>
      </c>
      <c r="DN69" s="82">
        <f t="shared" si="274"/>
        <v>0</v>
      </c>
      <c r="DO69" s="82">
        <f t="shared" si="275"/>
        <v>0</v>
      </c>
      <c r="DP69" s="82"/>
      <c r="DQ69" s="82"/>
      <c r="DR69" s="82">
        <f t="shared" si="350"/>
        <v>0</v>
      </c>
      <c r="DS69" s="82">
        <f t="shared" si="351"/>
        <v>0</v>
      </c>
      <c r="DT69" s="82"/>
      <c r="DU69" s="82"/>
      <c r="DV69" s="82"/>
      <c r="DW69" s="82"/>
      <c r="DX69" s="82">
        <f t="shared" si="352"/>
        <v>0</v>
      </c>
      <c r="DY69" s="82">
        <f t="shared" si="353"/>
        <v>0</v>
      </c>
      <c r="DZ69" s="82">
        <f t="shared" si="280"/>
        <v>0</v>
      </c>
      <c r="EA69" s="82">
        <f t="shared" si="281"/>
        <v>0</v>
      </c>
      <c r="EB69" s="82"/>
      <c r="EC69" s="82"/>
      <c r="ED69" s="82">
        <f t="shared" si="354"/>
        <v>0</v>
      </c>
      <c r="EE69" s="82">
        <f t="shared" si="355"/>
        <v>0</v>
      </c>
      <c r="EF69" s="82"/>
      <c r="EG69" s="82"/>
      <c r="EH69" s="82"/>
      <c r="EI69" s="82"/>
      <c r="EJ69" s="82">
        <f t="shared" si="356"/>
        <v>0</v>
      </c>
      <c r="EK69" s="82">
        <f t="shared" si="357"/>
        <v>0</v>
      </c>
      <c r="EL69" s="82">
        <f t="shared" si="286"/>
        <v>0</v>
      </c>
      <c r="EM69" s="82">
        <f t="shared" si="287"/>
        <v>0</v>
      </c>
      <c r="EN69" s="82">
        <f t="shared" si="358"/>
        <v>0</v>
      </c>
      <c r="EO69" s="82">
        <f t="shared" si="359"/>
        <v>0</v>
      </c>
      <c r="EP69" s="82">
        <f t="shared" si="290"/>
        <v>0</v>
      </c>
      <c r="EQ69" s="82">
        <f t="shared" si="291"/>
        <v>0</v>
      </c>
      <c r="ER69" s="82"/>
      <c r="ES69" s="82"/>
      <c r="ET69" s="82">
        <f t="shared" si="360"/>
        <v>0</v>
      </c>
      <c r="EU69" s="82">
        <f t="shared" si="361"/>
        <v>0</v>
      </c>
      <c r="EV69" s="82"/>
      <c r="EW69" s="82"/>
      <c r="EX69" s="82"/>
      <c r="EY69" s="82"/>
      <c r="EZ69" s="82">
        <f t="shared" si="362"/>
        <v>0</v>
      </c>
      <c r="FA69" s="82">
        <f t="shared" si="363"/>
        <v>0</v>
      </c>
      <c r="FB69" s="82">
        <f t="shared" si="296"/>
        <v>0</v>
      </c>
      <c r="FC69" s="82">
        <f t="shared" si="297"/>
        <v>0</v>
      </c>
      <c r="FD69" s="82"/>
      <c r="FE69" s="82"/>
      <c r="FF69" s="82">
        <f t="shared" si="364"/>
        <v>0</v>
      </c>
      <c r="FG69" s="82">
        <f t="shared" si="365"/>
        <v>0</v>
      </c>
      <c r="FH69" s="82"/>
      <c r="FI69" s="82"/>
      <c r="FJ69" s="82"/>
      <c r="FK69" s="82"/>
      <c r="FL69" s="82">
        <f t="shared" si="366"/>
        <v>0</v>
      </c>
      <c r="FM69" s="82">
        <f t="shared" si="367"/>
        <v>0</v>
      </c>
      <c r="FN69" s="82">
        <f t="shared" si="302"/>
        <v>0</v>
      </c>
      <c r="FO69" s="82">
        <f t="shared" si="303"/>
        <v>0</v>
      </c>
      <c r="FP69" s="82"/>
      <c r="FQ69" s="82"/>
      <c r="FR69" s="82">
        <f t="shared" si="368"/>
        <v>0</v>
      </c>
      <c r="FS69" s="82">
        <f t="shared" si="369"/>
        <v>0</v>
      </c>
      <c r="FT69" s="82"/>
      <c r="FU69" s="82"/>
      <c r="FV69" s="82"/>
      <c r="FW69" s="82"/>
      <c r="FX69" s="82">
        <f t="shared" si="370"/>
        <v>0</v>
      </c>
      <c r="FY69" s="82">
        <f t="shared" si="371"/>
        <v>0</v>
      </c>
      <c r="FZ69" s="82">
        <f t="shared" si="308"/>
        <v>0</v>
      </c>
      <c r="GA69" s="82">
        <f t="shared" si="309"/>
        <v>0</v>
      </c>
      <c r="GB69" s="82">
        <f t="shared" si="310"/>
        <v>0</v>
      </c>
      <c r="GC69" s="82">
        <f t="shared" si="372"/>
        <v>0</v>
      </c>
      <c r="GD69" s="82">
        <f t="shared" si="312"/>
        <v>0</v>
      </c>
      <c r="GE69" s="82">
        <f t="shared" si="313"/>
        <v>0</v>
      </c>
      <c r="GF69" s="85"/>
    </row>
    <row r="70" ht="29.25" customHeight="1">
      <c r="A70" s="50"/>
      <c r="B70" s="50"/>
      <c r="C70" s="50"/>
      <c r="D70" s="78" t="s">
        <v>143</v>
      </c>
      <c r="E70" s="86">
        <v>11712.0</v>
      </c>
      <c r="F70" s="80" t="s">
        <v>86</v>
      </c>
      <c r="G70" s="81">
        <v>44.0</v>
      </c>
      <c r="H70" s="82">
        <v>515328.0</v>
      </c>
      <c r="I70" s="82"/>
      <c r="J70" s="82"/>
      <c r="K70" s="82">
        <f t="shared" si="314"/>
        <v>0</v>
      </c>
      <c r="L70" s="82">
        <f t="shared" si="315"/>
        <v>0</v>
      </c>
      <c r="M70" s="82"/>
      <c r="N70" s="83">
        <v>7.0</v>
      </c>
      <c r="O70" s="82"/>
      <c r="P70" s="82"/>
      <c r="Q70" s="82"/>
      <c r="R70" s="82"/>
      <c r="S70" s="83">
        <v>2.0</v>
      </c>
      <c r="T70" s="82"/>
      <c r="U70" s="82"/>
      <c r="V70" s="83">
        <v>3.0</v>
      </c>
      <c r="W70" s="82"/>
      <c r="X70" s="82"/>
      <c r="Y70" s="82"/>
      <c r="Z70" s="83">
        <v>2.0</v>
      </c>
      <c r="AA70" s="82"/>
      <c r="AB70" s="82">
        <f t="shared" si="316"/>
        <v>14</v>
      </c>
      <c r="AC70" s="82">
        <f t="shared" si="317"/>
        <v>163968</v>
      </c>
      <c r="AD70" s="82">
        <f t="shared" si="89"/>
        <v>30</v>
      </c>
      <c r="AE70" s="82">
        <f t="shared" si="318"/>
        <v>351360</v>
      </c>
      <c r="AF70" s="82"/>
      <c r="AG70" s="82"/>
      <c r="AH70" s="82">
        <f t="shared" si="319"/>
        <v>0</v>
      </c>
      <c r="AI70" s="82">
        <f t="shared" si="320"/>
        <v>0</v>
      </c>
      <c r="AJ70" s="82"/>
      <c r="AK70" s="82"/>
      <c r="AL70" s="82"/>
      <c r="AM70" s="82"/>
      <c r="AN70" s="82">
        <f t="shared" si="321"/>
        <v>0</v>
      </c>
      <c r="AO70" s="82">
        <f t="shared" si="322"/>
        <v>0</v>
      </c>
      <c r="AP70" s="82">
        <f t="shared" si="11"/>
        <v>30</v>
      </c>
      <c r="AQ70" s="82">
        <f t="shared" si="323"/>
        <v>351360</v>
      </c>
      <c r="AR70" s="82"/>
      <c r="AS70" s="82"/>
      <c r="AT70" s="82"/>
      <c r="AU70" s="82">
        <f t="shared" si="324"/>
        <v>0</v>
      </c>
      <c r="AV70" s="82">
        <f t="shared" si="325"/>
        <v>0</v>
      </c>
      <c r="AW70" s="82"/>
      <c r="AX70" s="82"/>
      <c r="AY70" s="82"/>
      <c r="AZ70" s="82"/>
      <c r="BA70" s="82">
        <f t="shared" si="326"/>
        <v>0</v>
      </c>
      <c r="BB70" s="82">
        <f t="shared" si="327"/>
        <v>0</v>
      </c>
      <c r="BC70" s="82">
        <f t="shared" si="99"/>
        <v>30</v>
      </c>
      <c r="BD70" s="82">
        <f t="shared" si="328"/>
        <v>351360</v>
      </c>
      <c r="BE70" s="82">
        <f t="shared" si="329"/>
        <v>0</v>
      </c>
      <c r="BF70" s="82">
        <f t="shared" si="330"/>
        <v>14</v>
      </c>
      <c r="BG70" s="82">
        <f t="shared" si="103"/>
        <v>30</v>
      </c>
      <c r="BH70" s="82">
        <f t="shared" si="331"/>
        <v>351360</v>
      </c>
      <c r="BI70" s="82"/>
      <c r="BJ70" s="83"/>
      <c r="BK70" s="82">
        <f t="shared" si="332"/>
        <v>0</v>
      </c>
      <c r="BL70" s="82">
        <f t="shared" si="333"/>
        <v>0</v>
      </c>
      <c r="BM70" s="82"/>
      <c r="BN70" s="82"/>
      <c r="BO70" s="82"/>
      <c r="BP70" s="82"/>
      <c r="BQ70" s="82"/>
      <c r="BR70" s="82"/>
      <c r="BS70" s="82"/>
      <c r="BT70" s="82"/>
      <c r="BU70" s="82"/>
      <c r="BV70" s="83">
        <v>2.0</v>
      </c>
      <c r="BW70" s="82">
        <f t="shared" si="334"/>
        <v>2</v>
      </c>
      <c r="BX70" s="82">
        <f t="shared" si="335"/>
        <v>23424</v>
      </c>
      <c r="BY70" s="82">
        <f t="shared" si="109"/>
        <v>28</v>
      </c>
      <c r="BZ70" s="82">
        <f t="shared" si="336"/>
        <v>327936</v>
      </c>
      <c r="CA70" s="82"/>
      <c r="CB70" s="82"/>
      <c r="CC70" s="82">
        <f t="shared" si="337"/>
        <v>0</v>
      </c>
      <c r="CD70" s="82">
        <f t="shared" si="338"/>
        <v>0</v>
      </c>
      <c r="CE70" s="83">
        <v>1.0</v>
      </c>
      <c r="CF70" s="82"/>
      <c r="CG70" s="82"/>
      <c r="CH70" s="82"/>
      <c r="CI70" s="82">
        <f t="shared" si="339"/>
        <v>1</v>
      </c>
      <c r="CJ70" s="82">
        <f t="shared" si="340"/>
        <v>11712</v>
      </c>
      <c r="CK70" s="82">
        <f t="shared" si="189"/>
        <v>27</v>
      </c>
      <c r="CL70" s="82">
        <f t="shared" si="341"/>
        <v>316224</v>
      </c>
      <c r="CM70" s="82"/>
      <c r="CN70" s="82"/>
      <c r="CO70" s="82">
        <f t="shared" si="35"/>
        <v>0</v>
      </c>
      <c r="CP70" s="82">
        <f t="shared" si="36"/>
        <v>0</v>
      </c>
      <c r="CQ70" s="82"/>
      <c r="CR70" s="82"/>
      <c r="CS70" s="82"/>
      <c r="CT70" s="82"/>
      <c r="CU70" s="82">
        <f t="shared" si="342"/>
        <v>0</v>
      </c>
      <c r="CV70" s="82">
        <f t="shared" si="343"/>
        <v>0</v>
      </c>
      <c r="CW70" s="82">
        <f t="shared" si="39"/>
        <v>27</v>
      </c>
      <c r="CX70" s="82">
        <f t="shared" si="344"/>
        <v>316224</v>
      </c>
      <c r="CY70" s="82">
        <f t="shared" si="41"/>
        <v>0</v>
      </c>
      <c r="CZ70" s="82">
        <f t="shared" si="345"/>
        <v>3</v>
      </c>
      <c r="DA70" s="82">
        <f t="shared" si="43"/>
        <v>27</v>
      </c>
      <c r="DB70" s="82">
        <f t="shared" si="44"/>
        <v>316224</v>
      </c>
      <c r="DC70" s="84">
        <v>42.0</v>
      </c>
      <c r="DD70" s="82"/>
      <c r="DE70" s="82"/>
      <c r="DF70" s="82">
        <f t="shared" si="346"/>
        <v>0</v>
      </c>
      <c r="DG70" s="82">
        <f t="shared" si="347"/>
        <v>0</v>
      </c>
      <c r="DH70" s="82"/>
      <c r="DI70" s="82"/>
      <c r="DJ70" s="82"/>
      <c r="DK70" s="82"/>
      <c r="DL70" s="82">
        <f t="shared" si="348"/>
        <v>0</v>
      </c>
      <c r="DM70" s="82">
        <f t="shared" si="349"/>
        <v>0</v>
      </c>
      <c r="DN70" s="82">
        <f t="shared" si="274"/>
        <v>27</v>
      </c>
      <c r="DO70" s="82">
        <f t="shared" si="275"/>
        <v>316224</v>
      </c>
      <c r="DP70" s="82"/>
      <c r="DQ70" s="82"/>
      <c r="DR70" s="82">
        <f t="shared" si="350"/>
        <v>0</v>
      </c>
      <c r="DS70" s="82">
        <f t="shared" si="351"/>
        <v>0</v>
      </c>
      <c r="DT70" s="82"/>
      <c r="DU70" s="82"/>
      <c r="DV70" s="82"/>
      <c r="DW70" s="82"/>
      <c r="DX70" s="82">
        <f t="shared" si="352"/>
        <v>0</v>
      </c>
      <c r="DY70" s="82">
        <f t="shared" si="353"/>
        <v>0</v>
      </c>
      <c r="DZ70" s="82">
        <f t="shared" si="280"/>
        <v>27</v>
      </c>
      <c r="EA70" s="82">
        <f t="shared" si="281"/>
        <v>316224</v>
      </c>
      <c r="EB70" s="82"/>
      <c r="EC70" s="82"/>
      <c r="ED70" s="82">
        <f t="shared" si="354"/>
        <v>0</v>
      </c>
      <c r="EE70" s="82">
        <f t="shared" si="355"/>
        <v>0</v>
      </c>
      <c r="EF70" s="82"/>
      <c r="EG70" s="82"/>
      <c r="EH70" s="82"/>
      <c r="EI70" s="82"/>
      <c r="EJ70" s="82">
        <f t="shared" si="356"/>
        <v>0</v>
      </c>
      <c r="EK70" s="82">
        <f t="shared" si="357"/>
        <v>0</v>
      </c>
      <c r="EL70" s="82">
        <f t="shared" si="286"/>
        <v>27</v>
      </c>
      <c r="EM70" s="82">
        <f t="shared" si="287"/>
        <v>316224</v>
      </c>
      <c r="EN70" s="82">
        <f t="shared" si="358"/>
        <v>0</v>
      </c>
      <c r="EO70" s="82">
        <f t="shared" si="359"/>
        <v>0</v>
      </c>
      <c r="EP70" s="82">
        <f t="shared" si="290"/>
        <v>27</v>
      </c>
      <c r="EQ70" s="82">
        <f t="shared" si="291"/>
        <v>316224</v>
      </c>
      <c r="ER70" s="82"/>
      <c r="ES70" s="82"/>
      <c r="ET70" s="82">
        <f t="shared" si="360"/>
        <v>0</v>
      </c>
      <c r="EU70" s="82">
        <f t="shared" si="361"/>
        <v>0</v>
      </c>
      <c r="EV70" s="82"/>
      <c r="EW70" s="82"/>
      <c r="EX70" s="82"/>
      <c r="EY70" s="82"/>
      <c r="EZ70" s="82">
        <f t="shared" si="362"/>
        <v>0</v>
      </c>
      <c r="FA70" s="82">
        <f t="shared" si="363"/>
        <v>0</v>
      </c>
      <c r="FB70" s="82">
        <f t="shared" si="296"/>
        <v>27</v>
      </c>
      <c r="FC70" s="82">
        <f t="shared" si="297"/>
        <v>316224</v>
      </c>
      <c r="FD70" s="82"/>
      <c r="FE70" s="82"/>
      <c r="FF70" s="82">
        <f t="shared" si="364"/>
        <v>0</v>
      </c>
      <c r="FG70" s="82">
        <f t="shared" si="365"/>
        <v>0</v>
      </c>
      <c r="FH70" s="82"/>
      <c r="FI70" s="82"/>
      <c r="FJ70" s="82"/>
      <c r="FK70" s="82"/>
      <c r="FL70" s="82">
        <f t="shared" si="366"/>
        <v>0</v>
      </c>
      <c r="FM70" s="82">
        <f t="shared" si="367"/>
        <v>0</v>
      </c>
      <c r="FN70" s="82">
        <f t="shared" si="302"/>
        <v>27</v>
      </c>
      <c r="FO70" s="82">
        <f t="shared" si="303"/>
        <v>316224</v>
      </c>
      <c r="FP70" s="82"/>
      <c r="FQ70" s="82"/>
      <c r="FR70" s="82">
        <f t="shared" si="368"/>
        <v>0</v>
      </c>
      <c r="FS70" s="82">
        <f t="shared" si="369"/>
        <v>0</v>
      </c>
      <c r="FT70" s="82"/>
      <c r="FU70" s="82"/>
      <c r="FV70" s="82"/>
      <c r="FW70" s="82"/>
      <c r="FX70" s="82">
        <f t="shared" si="370"/>
        <v>0</v>
      </c>
      <c r="FY70" s="82">
        <f t="shared" si="371"/>
        <v>0</v>
      </c>
      <c r="FZ70" s="82">
        <f t="shared" si="308"/>
        <v>27</v>
      </c>
      <c r="GA70" s="82">
        <f t="shared" si="309"/>
        <v>316224</v>
      </c>
      <c r="GB70" s="82">
        <f t="shared" si="310"/>
        <v>0</v>
      </c>
      <c r="GC70" s="82">
        <f t="shared" si="372"/>
        <v>0</v>
      </c>
      <c r="GD70" s="82">
        <f t="shared" si="312"/>
        <v>27</v>
      </c>
      <c r="GE70" s="82">
        <f t="shared" si="313"/>
        <v>316224</v>
      </c>
      <c r="GF70" s="85"/>
    </row>
    <row r="71" ht="29.25" customHeight="1">
      <c r="A71" s="96"/>
      <c r="B71" s="97"/>
      <c r="C71" s="58"/>
      <c r="D71" s="89" t="s">
        <v>147</v>
      </c>
      <c r="E71" s="86">
        <v>18870.0</v>
      </c>
      <c r="F71" s="80" t="s">
        <v>148</v>
      </c>
      <c r="G71" s="90">
        <v>27.0</v>
      </c>
      <c r="H71" s="86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3"/>
      <c r="W71" s="82"/>
      <c r="X71" s="82"/>
      <c r="Y71" s="82"/>
      <c r="Z71" s="82"/>
      <c r="AA71" s="82"/>
      <c r="AB71" s="82"/>
      <c r="AC71" s="82"/>
      <c r="AD71" s="82">
        <f t="shared" si="89"/>
        <v>27</v>
      </c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>
        <f t="shared" si="11"/>
        <v>27</v>
      </c>
      <c r="AQ71" s="82">
        <f>AP71*E70</f>
        <v>316224</v>
      </c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>
        <f t="shared" si="99"/>
        <v>27</v>
      </c>
      <c r="BD71" s="82">
        <f>BC71*E70</f>
        <v>316224</v>
      </c>
      <c r="BE71" s="82"/>
      <c r="BF71" s="82"/>
      <c r="BG71" s="82">
        <f t="shared" si="103"/>
        <v>27</v>
      </c>
      <c r="BH71" s="83">
        <v>0.0</v>
      </c>
      <c r="BI71" s="82"/>
      <c r="BJ71" s="83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>
        <f t="shared" si="109"/>
        <v>27</v>
      </c>
      <c r="BZ71" s="82">
        <f>BY71*E70</f>
        <v>316224</v>
      </c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>
        <f t="shared" si="189"/>
        <v>27</v>
      </c>
      <c r="CL71" s="82">
        <f>CK71*E70</f>
        <v>316224</v>
      </c>
      <c r="CM71" s="83">
        <v>25.0</v>
      </c>
      <c r="CN71" s="82"/>
      <c r="CO71" s="82">
        <f t="shared" si="35"/>
        <v>25</v>
      </c>
      <c r="CP71" s="82">
        <f t="shared" si="36"/>
        <v>471750</v>
      </c>
      <c r="CQ71" s="82"/>
      <c r="CR71" s="82"/>
      <c r="CS71" s="82"/>
      <c r="CT71" s="82"/>
      <c r="CU71" s="82"/>
      <c r="CV71" s="82"/>
      <c r="CW71" s="82">
        <f t="shared" si="39"/>
        <v>52</v>
      </c>
      <c r="CX71" s="82">
        <f>(CO71*E71)+(CK71*E70)</f>
        <v>787974</v>
      </c>
      <c r="CY71" s="82">
        <f t="shared" si="41"/>
        <v>25</v>
      </c>
      <c r="CZ71" s="82">
        <f t="shared" si="345"/>
        <v>0</v>
      </c>
      <c r="DA71" s="82">
        <f t="shared" si="43"/>
        <v>52</v>
      </c>
      <c r="DB71" s="82">
        <f t="shared" si="44"/>
        <v>981240</v>
      </c>
      <c r="DC71" s="91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  <c r="EI71" s="82"/>
      <c r="EJ71" s="82"/>
      <c r="EK71" s="82"/>
      <c r="EL71" s="82"/>
      <c r="EM71" s="82"/>
      <c r="EN71" s="82"/>
      <c r="EO71" s="82"/>
      <c r="EP71" s="82"/>
      <c r="EQ71" s="82"/>
      <c r="ER71" s="82"/>
      <c r="ES71" s="82"/>
      <c r="ET71" s="82"/>
      <c r="EU71" s="82"/>
      <c r="EV71" s="82"/>
      <c r="EW71" s="82"/>
      <c r="EX71" s="82"/>
      <c r="EY71" s="82"/>
      <c r="EZ71" s="82"/>
      <c r="FA71" s="82"/>
      <c r="FB71" s="82"/>
      <c r="FC71" s="82"/>
      <c r="FD71" s="82"/>
      <c r="FE71" s="82"/>
      <c r="FF71" s="82"/>
      <c r="FG71" s="82"/>
      <c r="FH71" s="82"/>
      <c r="FI71" s="82"/>
      <c r="FJ71" s="82"/>
      <c r="FK71" s="82"/>
      <c r="FL71" s="82"/>
      <c r="FM71" s="82"/>
      <c r="FN71" s="82"/>
      <c r="FO71" s="82"/>
      <c r="FP71" s="82"/>
      <c r="FQ71" s="82"/>
      <c r="FR71" s="82"/>
      <c r="FS71" s="82"/>
      <c r="FT71" s="82"/>
      <c r="FU71" s="82"/>
      <c r="FV71" s="82"/>
      <c r="FW71" s="82"/>
      <c r="FX71" s="82"/>
      <c r="FY71" s="82"/>
      <c r="FZ71" s="82"/>
      <c r="GA71" s="82"/>
      <c r="GB71" s="82"/>
      <c r="GC71" s="82"/>
      <c r="GD71" s="82"/>
      <c r="GE71" s="82"/>
      <c r="GF71" s="85"/>
    </row>
    <row r="72" ht="29.25" customHeight="1">
      <c r="A72" s="76">
        <v>38.0</v>
      </c>
      <c r="B72" s="87"/>
      <c r="C72" s="77" t="s">
        <v>149</v>
      </c>
      <c r="D72" s="78" t="s">
        <v>143</v>
      </c>
      <c r="E72" s="79">
        <v>16720.0</v>
      </c>
      <c r="F72" s="61"/>
      <c r="G72" s="81">
        <v>5.0</v>
      </c>
      <c r="H72" s="82">
        <v>83600.0</v>
      </c>
      <c r="I72" s="82"/>
      <c r="J72" s="82"/>
      <c r="K72" s="82">
        <f t="shared" ref="K72:K73" si="373">SUM(I72:J72)</f>
        <v>0</v>
      </c>
      <c r="L72" s="82">
        <f t="shared" ref="L72:L73" si="374">K72*E72</f>
        <v>0</v>
      </c>
      <c r="M72" s="82"/>
      <c r="N72" s="82"/>
      <c r="O72" s="82"/>
      <c r="P72" s="82"/>
      <c r="Q72" s="82"/>
      <c r="R72" s="82"/>
      <c r="S72" s="82"/>
      <c r="T72" s="82"/>
      <c r="U72" s="82"/>
      <c r="V72" s="83">
        <v>3.0</v>
      </c>
      <c r="W72" s="82"/>
      <c r="X72" s="82"/>
      <c r="Y72" s="82"/>
      <c r="Z72" s="82"/>
      <c r="AA72" s="82"/>
      <c r="AB72" s="82">
        <f t="shared" ref="AB72:AB73" si="375">SUM(M72:AA72)</f>
        <v>3</v>
      </c>
      <c r="AC72" s="82">
        <f t="shared" ref="AC72:AC73" si="376">AB72*E72</f>
        <v>50160</v>
      </c>
      <c r="AD72" s="82">
        <f t="shared" si="89"/>
        <v>2</v>
      </c>
      <c r="AE72" s="82">
        <f t="shared" ref="AE72:AE73" si="377">AD72*E72</f>
        <v>33440</v>
      </c>
      <c r="AF72" s="82"/>
      <c r="AG72" s="82"/>
      <c r="AH72" s="82">
        <f t="shared" ref="AH72:AH73" si="378">SUM(AF72:AG72)</f>
        <v>0</v>
      </c>
      <c r="AI72" s="82">
        <f t="shared" ref="AI72:AI73" si="379">AH72*E72</f>
        <v>0</v>
      </c>
      <c r="AJ72" s="82"/>
      <c r="AK72" s="82"/>
      <c r="AL72" s="82"/>
      <c r="AM72" s="82"/>
      <c r="AN72" s="82">
        <f t="shared" ref="AN72:AN73" si="380">SUM(AJ72:AM72)</f>
        <v>0</v>
      </c>
      <c r="AO72" s="82">
        <f t="shared" ref="AO72:AO73" si="381">AN72*E72</f>
        <v>0</v>
      </c>
      <c r="AP72" s="82">
        <f t="shared" si="11"/>
        <v>2</v>
      </c>
      <c r="AQ72" s="82">
        <f t="shared" ref="AQ72:AQ73" si="382">AP72*E72</f>
        <v>33440</v>
      </c>
      <c r="AR72" s="82"/>
      <c r="AS72" s="82"/>
      <c r="AT72" s="82"/>
      <c r="AU72" s="82">
        <f t="shared" ref="AU72:AU73" si="383">SUM(AS72:AT72)</f>
        <v>0</v>
      </c>
      <c r="AV72" s="82">
        <f t="shared" ref="AV72:AV73" si="384">AU72*AB72</f>
        <v>0</v>
      </c>
      <c r="AW72" s="82"/>
      <c r="AX72" s="82"/>
      <c r="AY72" s="82"/>
      <c r="AZ72" s="82"/>
      <c r="BA72" s="82">
        <f t="shared" ref="BA72:BA73" si="385">SUM(AW72:AZ72)</f>
        <v>0</v>
      </c>
      <c r="BB72" s="82">
        <f t="shared" ref="BB72:BB73" si="386">BA72*AB72</f>
        <v>0</v>
      </c>
      <c r="BC72" s="82">
        <f t="shared" si="99"/>
        <v>2</v>
      </c>
      <c r="BD72" s="82">
        <f t="shared" ref="BD72:BD73" si="387">BC72*E72</f>
        <v>33440</v>
      </c>
      <c r="BE72" s="82">
        <f t="shared" ref="BE72:BE73" si="388">K72+AH72+AU72</f>
        <v>0</v>
      </c>
      <c r="BF72" s="82">
        <f t="shared" ref="BF72:BF73" si="389">AB72+AN72+BA72</f>
        <v>3</v>
      </c>
      <c r="BG72" s="82">
        <f t="shared" si="103"/>
        <v>2</v>
      </c>
      <c r="BH72" s="82">
        <f t="shared" ref="BH72:BH73" si="390">BG72*E72</f>
        <v>33440</v>
      </c>
      <c r="BI72" s="82"/>
      <c r="BJ72" s="83"/>
      <c r="BK72" s="82">
        <f t="shared" ref="BK72:BK73" si="391">SUM(BI72:BJ72)</f>
        <v>0</v>
      </c>
      <c r="BL72" s="82">
        <f t="shared" ref="BL72:BL73" si="392">BK72*E72</f>
        <v>0</v>
      </c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>
        <f t="shared" ref="BW72:BW73" si="393">SUM(BM72:BV72)</f>
        <v>0</v>
      </c>
      <c r="BX72" s="82">
        <f t="shared" ref="BX72:BX73" si="394">BW72*E72</f>
        <v>0</v>
      </c>
      <c r="BY72" s="82">
        <f t="shared" si="109"/>
        <v>2</v>
      </c>
      <c r="BZ72" s="82">
        <f t="shared" ref="BZ72:BZ73" si="395">BY72*E72</f>
        <v>33440</v>
      </c>
      <c r="CA72" s="82"/>
      <c r="CB72" s="82"/>
      <c r="CC72" s="82">
        <f t="shared" ref="CC72:CC73" si="396">sum(CA72:CB72)</f>
        <v>0</v>
      </c>
      <c r="CD72" s="82">
        <f t="shared" ref="CD72:CD73" si="397">CC72*E72</f>
        <v>0</v>
      </c>
      <c r="CE72" s="82"/>
      <c r="CF72" s="82"/>
      <c r="CG72" s="82"/>
      <c r="CH72" s="82"/>
      <c r="CI72" s="82">
        <f t="shared" ref="CI72:CI73" si="398">sum(CE72:CH72)</f>
        <v>0</v>
      </c>
      <c r="CJ72" s="82">
        <f t="shared" ref="CJ72:CJ73" si="399">CI72*E72</f>
        <v>0</v>
      </c>
      <c r="CK72" s="82">
        <f t="shared" si="189"/>
        <v>2</v>
      </c>
      <c r="CL72" s="82">
        <f t="shared" ref="CL72:CL73" si="400">CK72*E72</f>
        <v>33440</v>
      </c>
      <c r="CM72" s="82"/>
      <c r="CN72" s="82"/>
      <c r="CO72" s="82">
        <f t="shared" si="35"/>
        <v>0</v>
      </c>
      <c r="CP72" s="82">
        <f t="shared" si="36"/>
        <v>0</v>
      </c>
      <c r="CQ72" s="82"/>
      <c r="CR72" s="82"/>
      <c r="CS72" s="82"/>
      <c r="CT72" s="82"/>
      <c r="CU72" s="82">
        <f t="shared" ref="CU72:CU73" si="401">sum(CQ72:CT72)</f>
        <v>0</v>
      </c>
      <c r="CV72" s="82">
        <f t="shared" ref="CV72:CV73" si="402">CU72*E72</f>
        <v>0</v>
      </c>
      <c r="CW72" s="82">
        <f t="shared" si="39"/>
        <v>2</v>
      </c>
      <c r="CX72" s="82">
        <f t="shared" ref="CX72:CX78" si="403">CW72*E72</f>
        <v>33440</v>
      </c>
      <c r="CY72" s="82">
        <f t="shared" si="41"/>
        <v>0</v>
      </c>
      <c r="CZ72" s="82">
        <f t="shared" si="345"/>
        <v>0</v>
      </c>
      <c r="DA72" s="82">
        <f t="shared" si="43"/>
        <v>2</v>
      </c>
      <c r="DB72" s="82">
        <f t="shared" si="44"/>
        <v>33440</v>
      </c>
      <c r="DC72" s="84">
        <v>28.0</v>
      </c>
      <c r="DD72" s="82"/>
      <c r="DE72" s="82"/>
      <c r="DF72" s="82">
        <f t="shared" ref="DF72:DF73" si="404">sum(DD72:DE72)</f>
        <v>0</v>
      </c>
      <c r="DG72" s="82">
        <f t="shared" ref="DG72:DG73" si="405">DF72*E72</f>
        <v>0</v>
      </c>
      <c r="DH72" s="82"/>
      <c r="DI72" s="82"/>
      <c r="DJ72" s="82"/>
      <c r="DK72" s="82"/>
      <c r="DL72" s="82">
        <f t="shared" ref="DL72:DL73" si="406">sum(DH72:DK72)</f>
        <v>0</v>
      </c>
      <c r="DM72" s="82">
        <f t="shared" ref="DM72:DM73" si="407">DL72*E72</f>
        <v>0</v>
      </c>
      <c r="DN72" s="82">
        <f t="shared" ref="DN72:DN73" si="408">DA72+DF72-DL72</f>
        <v>2</v>
      </c>
      <c r="DO72" s="82">
        <f t="shared" ref="DO72:DO73" si="409">DN72*E72</f>
        <v>33440</v>
      </c>
      <c r="DP72" s="82"/>
      <c r="DQ72" s="82"/>
      <c r="DR72" s="82">
        <f t="shared" ref="DR72:DR73" si="410">sum(DP72:DQ72)</f>
        <v>0</v>
      </c>
      <c r="DS72" s="82">
        <f t="shared" ref="DS72:DS73" si="411">DR72*AB72</f>
        <v>0</v>
      </c>
      <c r="DT72" s="82"/>
      <c r="DU72" s="82"/>
      <c r="DV72" s="82"/>
      <c r="DW72" s="82"/>
      <c r="DX72" s="82">
        <f t="shared" ref="DX72:DX73" si="412">sum(DT72:DW72)</f>
        <v>0</v>
      </c>
      <c r="DY72" s="82">
        <f t="shared" ref="DY72:DY73" si="413">DX72*AB72</f>
        <v>0</v>
      </c>
      <c r="DZ72" s="82">
        <f t="shared" ref="DZ72:DZ73" si="414">DN72+DR72-DX72</f>
        <v>2</v>
      </c>
      <c r="EA72" s="82">
        <f t="shared" ref="EA72:EA73" si="415">DZ72*E72</f>
        <v>33440</v>
      </c>
      <c r="EB72" s="82"/>
      <c r="EC72" s="82"/>
      <c r="ED72" s="82">
        <f t="shared" ref="ED72:ED73" si="416">sum(EB72:EC72)</f>
        <v>0</v>
      </c>
      <c r="EE72" s="82">
        <f t="shared" ref="EE72:EE73" si="417">ED72*AN72</f>
        <v>0</v>
      </c>
      <c r="EF72" s="82"/>
      <c r="EG72" s="82"/>
      <c r="EH72" s="82"/>
      <c r="EI72" s="82"/>
      <c r="EJ72" s="82">
        <f t="shared" ref="EJ72:EJ73" si="418">sum(EF72:EI72)</f>
        <v>0</v>
      </c>
      <c r="EK72" s="82">
        <f t="shared" ref="EK72:EK73" si="419">EJ72*AN72</f>
        <v>0</v>
      </c>
      <c r="EL72" s="82">
        <f t="shared" ref="EL72:EL73" si="420">DZ72+ED72-EJ72</f>
        <v>2</v>
      </c>
      <c r="EM72" s="82">
        <f t="shared" ref="EM72:EM73" si="421">EL72*E72</f>
        <v>33440</v>
      </c>
      <c r="EN72" s="82">
        <f t="shared" ref="EN72:EN73" si="422">DF72+DR72+ED72</f>
        <v>0</v>
      </c>
      <c r="EO72" s="82">
        <f t="shared" ref="EO72:EO73" si="423">DL72+DX72+EJ72</f>
        <v>0</v>
      </c>
      <c r="EP72" s="82">
        <f t="shared" ref="EP72:EP73" si="424">DA72+EN72-EO72</f>
        <v>2</v>
      </c>
      <c r="EQ72" s="82">
        <f t="shared" ref="EQ72:EQ73" si="425">EP72*E72</f>
        <v>33440</v>
      </c>
      <c r="ER72" s="82"/>
      <c r="ES72" s="82"/>
      <c r="ET72" s="82">
        <f t="shared" ref="ET72:ET73" si="426">sum(ER72:ES72)</f>
        <v>0</v>
      </c>
      <c r="EU72" s="82">
        <f t="shared" ref="EU72:EU73" si="427">ET72*BE72</f>
        <v>0</v>
      </c>
      <c r="EV72" s="82"/>
      <c r="EW72" s="82"/>
      <c r="EX72" s="82"/>
      <c r="EY72" s="82"/>
      <c r="EZ72" s="82">
        <f t="shared" ref="EZ72:EZ73" si="428">sum(EV72:EY72)</f>
        <v>0</v>
      </c>
      <c r="FA72" s="82">
        <f t="shared" ref="FA72:FA73" si="429">EZ72*BE72</f>
        <v>0</v>
      </c>
      <c r="FB72" s="82">
        <f t="shared" ref="FB72:FB73" si="430">EP72+ET72-EZ72</f>
        <v>2</v>
      </c>
      <c r="FC72" s="82">
        <f t="shared" ref="FC72:FC73" si="431">FB72*E72</f>
        <v>33440</v>
      </c>
      <c r="FD72" s="82"/>
      <c r="FE72" s="82"/>
      <c r="FF72" s="82">
        <f t="shared" ref="FF72:FF73" si="432">sum(FD72:FE72)</f>
        <v>0</v>
      </c>
      <c r="FG72" s="82">
        <f t="shared" ref="FG72:FG73" si="433">FF72*BW72</f>
        <v>0</v>
      </c>
      <c r="FH72" s="82"/>
      <c r="FI72" s="82"/>
      <c r="FJ72" s="82"/>
      <c r="FK72" s="82"/>
      <c r="FL72" s="82">
        <f t="shared" ref="FL72:FL73" si="434">sum(FH72:FK72)</f>
        <v>0</v>
      </c>
      <c r="FM72" s="82">
        <f t="shared" ref="FM72:FM73" si="435">FL72*BW72</f>
        <v>0</v>
      </c>
      <c r="FN72" s="82">
        <f t="shared" ref="FN72:FN73" si="436">FB72+FF72-FL72</f>
        <v>2</v>
      </c>
      <c r="FO72" s="82">
        <f t="shared" ref="FO72:FO73" si="437">FN72*E72</f>
        <v>33440</v>
      </c>
      <c r="FP72" s="82"/>
      <c r="FQ72" s="82"/>
      <c r="FR72" s="82">
        <f t="shared" ref="FR72:FR73" si="438">sum(FP72:FQ72)</f>
        <v>0</v>
      </c>
      <c r="FS72" s="82">
        <f t="shared" ref="FS72:FS73" si="439">FR72*CI72</f>
        <v>0</v>
      </c>
      <c r="FT72" s="82"/>
      <c r="FU72" s="82"/>
      <c r="FV72" s="82"/>
      <c r="FW72" s="82"/>
      <c r="FX72" s="82">
        <f t="shared" ref="FX72:FX73" si="440">sum(FT72:FW72)</f>
        <v>0</v>
      </c>
      <c r="FY72" s="82">
        <f t="shared" ref="FY72:FY73" si="441">FX72*CI72</f>
        <v>0</v>
      </c>
      <c r="FZ72" s="82">
        <f t="shared" ref="FZ72:FZ73" si="442">FN72+FR72-FX72</f>
        <v>2</v>
      </c>
      <c r="GA72" s="82">
        <f t="shared" ref="GA72:GA73" si="443">FZ72*E72</f>
        <v>33440</v>
      </c>
      <c r="GB72" s="82">
        <f t="shared" ref="GB72:GB73" si="444">ET72+FF72+FR72</f>
        <v>0</v>
      </c>
      <c r="GC72" s="82">
        <f t="shared" ref="GC72:GC73" si="445">EZ72+FL72+FX72</f>
        <v>0</v>
      </c>
      <c r="GD72" s="82">
        <f t="shared" ref="GD72:GD73" si="446">EP72+GB72-GC72</f>
        <v>2</v>
      </c>
      <c r="GE72" s="82">
        <f t="shared" ref="GE72:GE73" si="447">GD72*E72</f>
        <v>33440</v>
      </c>
      <c r="GF72" s="85"/>
    </row>
    <row r="73" ht="29.25" customHeight="1">
      <c r="A73" s="50"/>
      <c r="B73" s="50"/>
      <c r="C73" s="50"/>
      <c r="D73" s="78" t="s">
        <v>143</v>
      </c>
      <c r="E73" s="79">
        <v>17760.0</v>
      </c>
      <c r="F73" s="61" t="s">
        <v>92</v>
      </c>
      <c r="G73" s="81">
        <v>25.0</v>
      </c>
      <c r="H73" s="82">
        <v>444000.0</v>
      </c>
      <c r="I73" s="82"/>
      <c r="J73" s="82"/>
      <c r="K73" s="82">
        <f t="shared" si="373"/>
        <v>0</v>
      </c>
      <c r="L73" s="82">
        <f t="shared" si="374"/>
        <v>0</v>
      </c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>
        <f t="shared" si="375"/>
        <v>0</v>
      </c>
      <c r="AC73" s="82">
        <f t="shared" si="376"/>
        <v>0</v>
      </c>
      <c r="AD73" s="82">
        <f t="shared" si="89"/>
        <v>25</v>
      </c>
      <c r="AE73" s="82">
        <f t="shared" si="377"/>
        <v>444000</v>
      </c>
      <c r="AF73" s="82"/>
      <c r="AG73" s="82"/>
      <c r="AH73" s="82">
        <f t="shared" si="378"/>
        <v>0</v>
      </c>
      <c r="AI73" s="82">
        <f t="shared" si="379"/>
        <v>0</v>
      </c>
      <c r="AJ73" s="82"/>
      <c r="AK73" s="82"/>
      <c r="AL73" s="82"/>
      <c r="AM73" s="82"/>
      <c r="AN73" s="82">
        <f t="shared" si="380"/>
        <v>0</v>
      </c>
      <c r="AO73" s="82">
        <f t="shared" si="381"/>
        <v>0</v>
      </c>
      <c r="AP73" s="82">
        <f t="shared" si="11"/>
        <v>25</v>
      </c>
      <c r="AQ73" s="82">
        <f t="shared" si="382"/>
        <v>444000</v>
      </c>
      <c r="AR73" s="82"/>
      <c r="AS73" s="82"/>
      <c r="AT73" s="82"/>
      <c r="AU73" s="82">
        <f t="shared" si="383"/>
        <v>0</v>
      </c>
      <c r="AV73" s="82">
        <f t="shared" si="384"/>
        <v>0</v>
      </c>
      <c r="AW73" s="82"/>
      <c r="AX73" s="82"/>
      <c r="AY73" s="82"/>
      <c r="AZ73" s="82"/>
      <c r="BA73" s="82">
        <f t="shared" si="385"/>
        <v>0</v>
      </c>
      <c r="BB73" s="82">
        <f t="shared" si="386"/>
        <v>0</v>
      </c>
      <c r="BC73" s="82">
        <f t="shared" si="99"/>
        <v>25</v>
      </c>
      <c r="BD73" s="82">
        <f t="shared" si="387"/>
        <v>444000</v>
      </c>
      <c r="BE73" s="82">
        <f t="shared" si="388"/>
        <v>0</v>
      </c>
      <c r="BF73" s="82">
        <f t="shared" si="389"/>
        <v>0</v>
      </c>
      <c r="BG73" s="82">
        <f t="shared" si="103"/>
        <v>25</v>
      </c>
      <c r="BH73" s="82">
        <f t="shared" si="390"/>
        <v>444000</v>
      </c>
      <c r="BI73" s="82"/>
      <c r="BJ73" s="83"/>
      <c r="BK73" s="82">
        <f t="shared" si="391"/>
        <v>0</v>
      </c>
      <c r="BL73" s="82">
        <f t="shared" si="392"/>
        <v>0</v>
      </c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>
        <f t="shared" si="393"/>
        <v>0</v>
      </c>
      <c r="BX73" s="82">
        <f t="shared" si="394"/>
        <v>0</v>
      </c>
      <c r="BY73" s="82">
        <f t="shared" si="109"/>
        <v>25</v>
      </c>
      <c r="BZ73" s="82">
        <f t="shared" si="395"/>
        <v>444000</v>
      </c>
      <c r="CA73" s="82"/>
      <c r="CB73" s="82"/>
      <c r="CC73" s="82">
        <f t="shared" si="396"/>
        <v>0</v>
      </c>
      <c r="CD73" s="82">
        <f t="shared" si="397"/>
        <v>0</v>
      </c>
      <c r="CE73" s="82"/>
      <c r="CF73" s="82"/>
      <c r="CG73" s="82"/>
      <c r="CH73" s="82"/>
      <c r="CI73" s="82">
        <f t="shared" si="398"/>
        <v>0</v>
      </c>
      <c r="CJ73" s="82">
        <f t="shared" si="399"/>
        <v>0</v>
      </c>
      <c r="CK73" s="82">
        <f t="shared" si="189"/>
        <v>25</v>
      </c>
      <c r="CL73" s="82">
        <f t="shared" si="400"/>
        <v>444000</v>
      </c>
      <c r="CM73" s="82"/>
      <c r="CN73" s="82"/>
      <c r="CO73" s="82">
        <f t="shared" si="35"/>
        <v>0</v>
      </c>
      <c r="CP73" s="82">
        <f t="shared" si="36"/>
        <v>0</v>
      </c>
      <c r="CQ73" s="82"/>
      <c r="CR73" s="82"/>
      <c r="CS73" s="82"/>
      <c r="CT73" s="82"/>
      <c r="CU73" s="82">
        <f t="shared" si="401"/>
        <v>0</v>
      </c>
      <c r="CV73" s="82">
        <f t="shared" si="402"/>
        <v>0</v>
      </c>
      <c r="CW73" s="82">
        <f t="shared" si="39"/>
        <v>25</v>
      </c>
      <c r="CX73" s="82">
        <f t="shared" si="403"/>
        <v>444000</v>
      </c>
      <c r="CY73" s="82">
        <f t="shared" si="41"/>
        <v>0</v>
      </c>
      <c r="CZ73" s="82">
        <f t="shared" si="345"/>
        <v>0</v>
      </c>
      <c r="DA73" s="82">
        <f t="shared" si="43"/>
        <v>25</v>
      </c>
      <c r="DB73" s="82">
        <f t="shared" si="44"/>
        <v>444000</v>
      </c>
      <c r="DC73" s="91"/>
      <c r="DD73" s="82"/>
      <c r="DE73" s="82"/>
      <c r="DF73" s="82">
        <f t="shared" si="404"/>
        <v>0</v>
      </c>
      <c r="DG73" s="82">
        <f t="shared" si="405"/>
        <v>0</v>
      </c>
      <c r="DH73" s="82"/>
      <c r="DI73" s="82"/>
      <c r="DJ73" s="82"/>
      <c r="DK73" s="82"/>
      <c r="DL73" s="82">
        <f t="shared" si="406"/>
        <v>0</v>
      </c>
      <c r="DM73" s="82">
        <f t="shared" si="407"/>
        <v>0</v>
      </c>
      <c r="DN73" s="82">
        <f t="shared" si="408"/>
        <v>25</v>
      </c>
      <c r="DO73" s="82">
        <f t="shared" si="409"/>
        <v>444000</v>
      </c>
      <c r="DP73" s="82"/>
      <c r="DQ73" s="82"/>
      <c r="DR73" s="82">
        <f t="shared" si="410"/>
        <v>0</v>
      </c>
      <c r="DS73" s="82">
        <f t="shared" si="411"/>
        <v>0</v>
      </c>
      <c r="DT73" s="82"/>
      <c r="DU73" s="82"/>
      <c r="DV73" s="82"/>
      <c r="DW73" s="82"/>
      <c r="DX73" s="82">
        <f t="shared" si="412"/>
        <v>0</v>
      </c>
      <c r="DY73" s="82">
        <f t="shared" si="413"/>
        <v>0</v>
      </c>
      <c r="DZ73" s="82">
        <f t="shared" si="414"/>
        <v>25</v>
      </c>
      <c r="EA73" s="82">
        <f t="shared" si="415"/>
        <v>444000</v>
      </c>
      <c r="EB73" s="82"/>
      <c r="EC73" s="82"/>
      <c r="ED73" s="82">
        <f t="shared" si="416"/>
        <v>0</v>
      </c>
      <c r="EE73" s="82">
        <f t="shared" si="417"/>
        <v>0</v>
      </c>
      <c r="EF73" s="82"/>
      <c r="EG73" s="82"/>
      <c r="EH73" s="82"/>
      <c r="EI73" s="82"/>
      <c r="EJ73" s="82">
        <f t="shared" si="418"/>
        <v>0</v>
      </c>
      <c r="EK73" s="82">
        <f t="shared" si="419"/>
        <v>0</v>
      </c>
      <c r="EL73" s="82">
        <f t="shared" si="420"/>
        <v>25</v>
      </c>
      <c r="EM73" s="82">
        <f t="shared" si="421"/>
        <v>444000</v>
      </c>
      <c r="EN73" s="82">
        <f t="shared" si="422"/>
        <v>0</v>
      </c>
      <c r="EO73" s="82">
        <f t="shared" si="423"/>
        <v>0</v>
      </c>
      <c r="EP73" s="82">
        <f t="shared" si="424"/>
        <v>25</v>
      </c>
      <c r="EQ73" s="82">
        <f t="shared" si="425"/>
        <v>444000</v>
      </c>
      <c r="ER73" s="82"/>
      <c r="ES73" s="82"/>
      <c r="ET73" s="82">
        <f t="shared" si="426"/>
        <v>0</v>
      </c>
      <c r="EU73" s="82">
        <f t="shared" si="427"/>
        <v>0</v>
      </c>
      <c r="EV73" s="82"/>
      <c r="EW73" s="82"/>
      <c r="EX73" s="82"/>
      <c r="EY73" s="82"/>
      <c r="EZ73" s="82">
        <f t="shared" si="428"/>
        <v>0</v>
      </c>
      <c r="FA73" s="82">
        <f t="shared" si="429"/>
        <v>0</v>
      </c>
      <c r="FB73" s="82">
        <f t="shared" si="430"/>
        <v>25</v>
      </c>
      <c r="FC73" s="82">
        <f t="shared" si="431"/>
        <v>444000</v>
      </c>
      <c r="FD73" s="82"/>
      <c r="FE73" s="82"/>
      <c r="FF73" s="82">
        <f t="shared" si="432"/>
        <v>0</v>
      </c>
      <c r="FG73" s="82">
        <f t="shared" si="433"/>
        <v>0</v>
      </c>
      <c r="FH73" s="82"/>
      <c r="FI73" s="82"/>
      <c r="FJ73" s="82"/>
      <c r="FK73" s="82"/>
      <c r="FL73" s="82">
        <f t="shared" si="434"/>
        <v>0</v>
      </c>
      <c r="FM73" s="82">
        <f t="shared" si="435"/>
        <v>0</v>
      </c>
      <c r="FN73" s="82">
        <f t="shared" si="436"/>
        <v>25</v>
      </c>
      <c r="FO73" s="82">
        <f t="shared" si="437"/>
        <v>444000</v>
      </c>
      <c r="FP73" s="82"/>
      <c r="FQ73" s="82"/>
      <c r="FR73" s="82">
        <f t="shared" si="438"/>
        <v>0</v>
      </c>
      <c r="FS73" s="82">
        <f t="shared" si="439"/>
        <v>0</v>
      </c>
      <c r="FT73" s="82"/>
      <c r="FU73" s="82"/>
      <c r="FV73" s="82"/>
      <c r="FW73" s="82"/>
      <c r="FX73" s="82">
        <f t="shared" si="440"/>
        <v>0</v>
      </c>
      <c r="FY73" s="82">
        <f t="shared" si="441"/>
        <v>0</v>
      </c>
      <c r="FZ73" s="82">
        <f t="shared" si="442"/>
        <v>25</v>
      </c>
      <c r="GA73" s="82">
        <f t="shared" si="443"/>
        <v>444000</v>
      </c>
      <c r="GB73" s="82">
        <f t="shared" si="444"/>
        <v>0</v>
      </c>
      <c r="GC73" s="82">
        <f t="shared" si="445"/>
        <v>0</v>
      </c>
      <c r="GD73" s="82">
        <f t="shared" si="446"/>
        <v>25</v>
      </c>
      <c r="GE73" s="82">
        <f t="shared" si="447"/>
        <v>444000</v>
      </c>
      <c r="GF73" s="85"/>
    </row>
    <row r="74" ht="29.25" customHeight="1">
      <c r="A74" s="96"/>
      <c r="B74" s="97"/>
      <c r="C74" s="88" t="s">
        <v>150</v>
      </c>
      <c r="D74" s="89" t="s">
        <v>147</v>
      </c>
      <c r="E74" s="86">
        <v>18870.0</v>
      </c>
      <c r="F74" s="80" t="s">
        <v>151</v>
      </c>
      <c r="G74" s="81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3"/>
      <c r="BK74" s="82"/>
      <c r="BL74" s="82"/>
      <c r="BM74" s="82"/>
      <c r="BN74" s="82"/>
      <c r="BO74" s="82"/>
      <c r="BP74" s="82"/>
      <c r="BQ74" s="82"/>
      <c r="BR74" s="82"/>
      <c r="BS74" s="83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3">
        <v>25.0</v>
      </c>
      <c r="CN74" s="82"/>
      <c r="CO74" s="82">
        <f t="shared" si="35"/>
        <v>25</v>
      </c>
      <c r="CP74" s="82">
        <f t="shared" si="36"/>
        <v>471750</v>
      </c>
      <c r="CQ74" s="82"/>
      <c r="CR74" s="82"/>
      <c r="CS74" s="82"/>
      <c r="CT74" s="82"/>
      <c r="CU74" s="82"/>
      <c r="CV74" s="82"/>
      <c r="CW74" s="82">
        <f t="shared" si="39"/>
        <v>25</v>
      </c>
      <c r="CX74" s="82">
        <f t="shared" si="403"/>
        <v>471750</v>
      </c>
      <c r="CY74" s="82">
        <f t="shared" si="41"/>
        <v>25</v>
      </c>
      <c r="CZ74" s="82">
        <f t="shared" si="345"/>
        <v>0</v>
      </c>
      <c r="DA74" s="82">
        <f t="shared" si="43"/>
        <v>25</v>
      </c>
      <c r="DB74" s="82">
        <f t="shared" si="44"/>
        <v>471750</v>
      </c>
      <c r="DC74" s="84">
        <v>23.0</v>
      </c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5"/>
    </row>
    <row r="75" ht="29.25" customHeight="1">
      <c r="A75" s="96">
        <v>39.0</v>
      </c>
      <c r="B75" s="97"/>
      <c r="C75" s="77" t="s">
        <v>152</v>
      </c>
      <c r="D75" s="78" t="s">
        <v>143</v>
      </c>
      <c r="E75" s="79">
        <v>178599.0</v>
      </c>
      <c r="F75" s="80" t="s">
        <v>135</v>
      </c>
      <c r="G75" s="81">
        <v>200.0</v>
      </c>
      <c r="H75" s="82">
        <v>3.57198E7</v>
      </c>
      <c r="I75" s="82"/>
      <c r="J75" s="82"/>
      <c r="K75" s="82">
        <f t="shared" ref="K75:K78" si="448">SUM(I75:J75)</f>
        <v>0</v>
      </c>
      <c r="L75" s="82">
        <f t="shared" ref="L75:L78" si="449">K75*E75</f>
        <v>0</v>
      </c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>
        <f t="shared" ref="AB75:AB78" si="450">SUM(M75:AA75)</f>
        <v>0</v>
      </c>
      <c r="AC75" s="82">
        <f t="shared" ref="AC75:AC78" si="451">AB75*E75</f>
        <v>0</v>
      </c>
      <c r="AD75" s="82">
        <f t="shared" ref="AD75:AD153" si="452">G75+K75-AB75</f>
        <v>200</v>
      </c>
      <c r="AE75" s="82">
        <f t="shared" ref="AE75:AE78" si="453">AD75*E75</f>
        <v>35719800</v>
      </c>
      <c r="AF75" s="82"/>
      <c r="AG75" s="82"/>
      <c r="AH75" s="82">
        <f t="shared" ref="AH75:AH78" si="454">SUM(AF75:AG75)</f>
        <v>0</v>
      </c>
      <c r="AI75" s="82">
        <f t="shared" ref="AI75:AI78" si="455">AH75*E75</f>
        <v>0</v>
      </c>
      <c r="AJ75" s="82"/>
      <c r="AK75" s="82"/>
      <c r="AL75" s="82"/>
      <c r="AM75" s="82"/>
      <c r="AN75" s="82">
        <f t="shared" ref="AN75:AN78" si="456">SUM(AJ75:AM75)</f>
        <v>0</v>
      </c>
      <c r="AO75" s="82">
        <f t="shared" ref="AO75:AO78" si="457">AN75*E75</f>
        <v>0</v>
      </c>
      <c r="AP75" s="82">
        <f t="shared" ref="AP75:AP153" si="458">AD75+AH75-AN75</f>
        <v>200</v>
      </c>
      <c r="AQ75" s="82">
        <f t="shared" ref="AQ75:AQ78" si="459">AP75*E75</f>
        <v>35719800</v>
      </c>
      <c r="AR75" s="82"/>
      <c r="AS75" s="82"/>
      <c r="AT75" s="82"/>
      <c r="AU75" s="82">
        <f t="shared" ref="AU75:AU78" si="460">SUM(AS75:AT75)</f>
        <v>0</v>
      </c>
      <c r="AV75" s="82">
        <f t="shared" ref="AV75:AV78" si="461">AU75*AB75</f>
        <v>0</v>
      </c>
      <c r="AW75" s="82"/>
      <c r="AX75" s="82"/>
      <c r="AY75" s="82"/>
      <c r="AZ75" s="82"/>
      <c r="BA75" s="82">
        <f t="shared" ref="BA75:BA78" si="462">SUM(AW75:AZ75)</f>
        <v>0</v>
      </c>
      <c r="BB75" s="82">
        <f t="shared" ref="BB75:BB78" si="463">BA75*AB75</f>
        <v>0</v>
      </c>
      <c r="BC75" s="82">
        <f t="shared" ref="BC75:BC153" si="464">AP75+AU75-BA75</f>
        <v>200</v>
      </c>
      <c r="BD75" s="82">
        <f t="shared" ref="BD75:BD78" si="465">BC75*E75</f>
        <v>35719800</v>
      </c>
      <c r="BE75" s="82">
        <f t="shared" ref="BE75:BE78" si="466">K75+AH75+AU75</f>
        <v>0</v>
      </c>
      <c r="BF75" s="82">
        <f t="shared" ref="BF75:BF78" si="467">AB75+AN75+BA75</f>
        <v>0</v>
      </c>
      <c r="BG75" s="82">
        <f t="shared" ref="BG75:BG153" si="468">G75+BE75-BF75</f>
        <v>200</v>
      </c>
      <c r="BH75" s="82">
        <f t="shared" ref="BH75:BH78" si="469">BG75*E75</f>
        <v>35719800</v>
      </c>
      <c r="BI75" s="82"/>
      <c r="BJ75" s="83"/>
      <c r="BK75" s="82">
        <f t="shared" ref="BK75:BK78" si="470">SUM(BI75:BJ75)</f>
        <v>0</v>
      </c>
      <c r="BL75" s="82">
        <f t="shared" ref="BL75:BL78" si="471">BK75*E75</f>
        <v>0</v>
      </c>
      <c r="BM75" s="82"/>
      <c r="BN75" s="82"/>
      <c r="BO75" s="82"/>
      <c r="BP75" s="82"/>
      <c r="BQ75" s="82"/>
      <c r="BR75" s="82"/>
      <c r="BS75" s="83">
        <v>200.0</v>
      </c>
      <c r="BT75" s="82"/>
      <c r="BU75" s="82"/>
      <c r="BV75" s="82"/>
      <c r="BW75" s="82">
        <f t="shared" ref="BW75:BW78" si="472">SUM(BM75:BV75)</f>
        <v>200</v>
      </c>
      <c r="BX75" s="82">
        <f t="shared" ref="BX75:BX78" si="473">BW75*E75</f>
        <v>35719800</v>
      </c>
      <c r="BY75" s="82">
        <f t="shared" ref="BY75:BY153" si="474">BG75+BK75-BW75</f>
        <v>0</v>
      </c>
      <c r="BZ75" s="82">
        <f t="shared" ref="BZ75:BZ78" si="475">BY75*E75</f>
        <v>0</v>
      </c>
      <c r="CA75" s="82"/>
      <c r="CB75" s="82"/>
      <c r="CC75" s="82">
        <f t="shared" ref="CC75:CC78" si="476">sum(CA75:CB75)</f>
        <v>0</v>
      </c>
      <c r="CD75" s="82">
        <f t="shared" ref="CD75:CD78" si="477">CC75*E75</f>
        <v>0</v>
      </c>
      <c r="CE75" s="82"/>
      <c r="CF75" s="82"/>
      <c r="CG75" s="82"/>
      <c r="CH75" s="82"/>
      <c r="CI75" s="82">
        <f t="shared" ref="CI75:CI78" si="478">sum(CE75:CH75)</f>
        <v>0</v>
      </c>
      <c r="CJ75" s="82">
        <f t="shared" ref="CJ75:CJ78" si="479">CI75*E75</f>
        <v>0</v>
      </c>
      <c r="CK75" s="82">
        <f t="shared" ref="CK75:CK153" si="480">BY75+CC75-CI75</f>
        <v>0</v>
      </c>
      <c r="CL75" s="82">
        <f t="shared" ref="CL75:CL78" si="481">CK75*E75</f>
        <v>0</v>
      </c>
      <c r="CM75" s="82"/>
      <c r="CN75" s="82"/>
      <c r="CO75" s="82">
        <f t="shared" si="35"/>
        <v>0</v>
      </c>
      <c r="CP75" s="82">
        <f t="shared" si="36"/>
        <v>0</v>
      </c>
      <c r="CQ75" s="82"/>
      <c r="CR75" s="82"/>
      <c r="CS75" s="82"/>
      <c r="CT75" s="82"/>
      <c r="CU75" s="82">
        <f t="shared" ref="CU75:CU78" si="482">sum(CQ75:CT75)</f>
        <v>0</v>
      </c>
      <c r="CV75" s="82">
        <f t="shared" ref="CV75:CV78" si="483">CU75*E75</f>
        <v>0</v>
      </c>
      <c r="CW75" s="82">
        <f t="shared" si="39"/>
        <v>0</v>
      </c>
      <c r="CX75" s="82">
        <f t="shared" si="403"/>
        <v>0</v>
      </c>
      <c r="CY75" s="82">
        <f t="shared" si="41"/>
        <v>0</v>
      </c>
      <c r="CZ75" s="82">
        <f t="shared" si="345"/>
        <v>200</v>
      </c>
      <c r="DA75" s="82">
        <f t="shared" si="43"/>
        <v>0</v>
      </c>
      <c r="DB75" s="82">
        <f t="shared" si="44"/>
        <v>0</v>
      </c>
      <c r="DC75" s="91"/>
      <c r="DD75" s="82"/>
      <c r="DE75" s="82"/>
      <c r="DF75" s="82">
        <f t="shared" ref="DF75:DF78" si="484">sum(DD75:DE75)</f>
        <v>0</v>
      </c>
      <c r="DG75" s="82">
        <f t="shared" ref="DG75:DG78" si="485">DF75*E75</f>
        <v>0</v>
      </c>
      <c r="DH75" s="82"/>
      <c r="DI75" s="82"/>
      <c r="DJ75" s="82"/>
      <c r="DK75" s="82"/>
      <c r="DL75" s="82">
        <f t="shared" ref="DL75:DL78" si="486">sum(DH75:DK75)</f>
        <v>0</v>
      </c>
      <c r="DM75" s="82">
        <f t="shared" ref="DM75:DM78" si="487">DL75*E75</f>
        <v>0</v>
      </c>
      <c r="DN75" s="82">
        <f t="shared" ref="DN75:DN78" si="488">DA75+DF75-DL75</f>
        <v>0</v>
      </c>
      <c r="DO75" s="82">
        <f t="shared" ref="DO75:DO78" si="489">DN75*E75</f>
        <v>0</v>
      </c>
      <c r="DP75" s="82"/>
      <c r="DQ75" s="82"/>
      <c r="DR75" s="82">
        <f t="shared" ref="DR75:DR78" si="490">sum(DP75:DQ75)</f>
        <v>0</v>
      </c>
      <c r="DS75" s="82">
        <f t="shared" ref="DS75:DS78" si="491">DR75*AB75</f>
        <v>0</v>
      </c>
      <c r="DT75" s="82"/>
      <c r="DU75" s="82"/>
      <c r="DV75" s="82"/>
      <c r="DW75" s="82"/>
      <c r="DX75" s="82">
        <f t="shared" ref="DX75:DX78" si="492">sum(DT75:DW75)</f>
        <v>0</v>
      </c>
      <c r="DY75" s="82">
        <f t="shared" ref="DY75:DY78" si="493">DX75*AB75</f>
        <v>0</v>
      </c>
      <c r="DZ75" s="82">
        <f t="shared" ref="DZ75:DZ78" si="494">DN75+DR75-DX75</f>
        <v>0</v>
      </c>
      <c r="EA75" s="82">
        <f t="shared" ref="EA75:EA78" si="495">DZ75*E75</f>
        <v>0</v>
      </c>
      <c r="EB75" s="82"/>
      <c r="EC75" s="82"/>
      <c r="ED75" s="82">
        <f t="shared" ref="ED75:ED78" si="496">sum(EB75:EC75)</f>
        <v>0</v>
      </c>
      <c r="EE75" s="82">
        <f t="shared" ref="EE75:EE78" si="497">ED75*AN75</f>
        <v>0</v>
      </c>
      <c r="EF75" s="82"/>
      <c r="EG75" s="82"/>
      <c r="EH75" s="82"/>
      <c r="EI75" s="82"/>
      <c r="EJ75" s="82">
        <f t="shared" ref="EJ75:EJ78" si="498">sum(EF75:EI75)</f>
        <v>0</v>
      </c>
      <c r="EK75" s="82">
        <f t="shared" ref="EK75:EK78" si="499">EJ75*AN75</f>
        <v>0</v>
      </c>
      <c r="EL75" s="82">
        <f t="shared" ref="EL75:EL78" si="500">DZ75+ED75-EJ75</f>
        <v>0</v>
      </c>
      <c r="EM75" s="82">
        <f t="shared" ref="EM75:EM78" si="501">EL75*E75</f>
        <v>0</v>
      </c>
      <c r="EN75" s="82">
        <f t="shared" ref="EN75:EN78" si="502">DF75+DR75+ED75</f>
        <v>0</v>
      </c>
      <c r="EO75" s="82">
        <f t="shared" ref="EO75:EO78" si="503">DL75+DX75+EJ75</f>
        <v>0</v>
      </c>
      <c r="EP75" s="82">
        <f t="shared" ref="EP75:EP78" si="504">DA75+EN75-EO75</f>
        <v>0</v>
      </c>
      <c r="EQ75" s="82">
        <f t="shared" ref="EQ75:EQ78" si="505">EP75*E75</f>
        <v>0</v>
      </c>
      <c r="ER75" s="82"/>
      <c r="ES75" s="82"/>
      <c r="ET75" s="82">
        <f t="shared" ref="ET75:ET78" si="506">sum(ER75:ES75)</f>
        <v>0</v>
      </c>
      <c r="EU75" s="82">
        <f t="shared" ref="EU75:EU78" si="507">ET75*BE75</f>
        <v>0</v>
      </c>
      <c r="EV75" s="82"/>
      <c r="EW75" s="82"/>
      <c r="EX75" s="82"/>
      <c r="EY75" s="82"/>
      <c r="EZ75" s="82">
        <f t="shared" ref="EZ75:EZ78" si="508">sum(EV75:EY75)</f>
        <v>0</v>
      </c>
      <c r="FA75" s="82">
        <f t="shared" ref="FA75:FA78" si="509">EZ75*BE75</f>
        <v>0</v>
      </c>
      <c r="FB75" s="82">
        <f t="shared" ref="FB75:FB78" si="510">EP75+ET75-EZ75</f>
        <v>0</v>
      </c>
      <c r="FC75" s="82">
        <f t="shared" ref="FC75:FC78" si="511">FB75*E75</f>
        <v>0</v>
      </c>
      <c r="FD75" s="82"/>
      <c r="FE75" s="82"/>
      <c r="FF75" s="82">
        <f t="shared" ref="FF75:FF78" si="512">sum(FD75:FE75)</f>
        <v>0</v>
      </c>
      <c r="FG75" s="82">
        <f t="shared" ref="FG75:FG78" si="513">FF75*BW75</f>
        <v>0</v>
      </c>
      <c r="FH75" s="82"/>
      <c r="FI75" s="82"/>
      <c r="FJ75" s="82"/>
      <c r="FK75" s="82"/>
      <c r="FL75" s="82">
        <f t="shared" ref="FL75:FL78" si="514">sum(FH75:FK75)</f>
        <v>0</v>
      </c>
      <c r="FM75" s="82">
        <f t="shared" ref="FM75:FM78" si="515">FL75*BW75</f>
        <v>0</v>
      </c>
      <c r="FN75" s="82">
        <f t="shared" ref="FN75:FN78" si="516">FB75+FF75-FL75</f>
        <v>0</v>
      </c>
      <c r="FO75" s="82">
        <f t="shared" ref="FO75:FO78" si="517">FN75*E75</f>
        <v>0</v>
      </c>
      <c r="FP75" s="82"/>
      <c r="FQ75" s="82"/>
      <c r="FR75" s="82">
        <f t="shared" ref="FR75:FR78" si="518">sum(FP75:FQ75)</f>
        <v>0</v>
      </c>
      <c r="FS75" s="82">
        <f t="shared" ref="FS75:FS78" si="519">FR75*CI75</f>
        <v>0</v>
      </c>
      <c r="FT75" s="82"/>
      <c r="FU75" s="82"/>
      <c r="FV75" s="82"/>
      <c r="FW75" s="82"/>
      <c r="FX75" s="82">
        <f t="shared" ref="FX75:FX78" si="520">sum(FT75:FW75)</f>
        <v>0</v>
      </c>
      <c r="FY75" s="82">
        <f t="shared" ref="FY75:FY78" si="521">FX75*CI75</f>
        <v>0</v>
      </c>
      <c r="FZ75" s="82">
        <f t="shared" ref="FZ75:FZ78" si="522">FN75+FR75-FX75</f>
        <v>0</v>
      </c>
      <c r="GA75" s="82">
        <f t="shared" ref="GA75:GA78" si="523">FZ75*E75</f>
        <v>0</v>
      </c>
      <c r="GB75" s="82">
        <f t="shared" ref="GB75:GB78" si="524">ET75+FF75+FR75</f>
        <v>0</v>
      </c>
      <c r="GC75" s="82">
        <f t="shared" ref="GC75:GC78" si="525">EZ75+FL75+FX75</f>
        <v>0</v>
      </c>
      <c r="GD75" s="82">
        <f t="shared" ref="GD75:GD78" si="526">EP75+GB75-GC75</f>
        <v>0</v>
      </c>
      <c r="GE75" s="82">
        <f t="shared" ref="GE75:GE78" si="527">GD75*E75</f>
        <v>0</v>
      </c>
      <c r="GF75" s="85"/>
    </row>
    <row r="76" ht="29.25" customHeight="1">
      <c r="A76" s="76">
        <v>40.0</v>
      </c>
      <c r="B76" s="87"/>
      <c r="C76" s="77" t="s">
        <v>153</v>
      </c>
      <c r="D76" s="78" t="s">
        <v>154</v>
      </c>
      <c r="E76" s="86">
        <v>7207.0</v>
      </c>
      <c r="F76" s="80" t="s">
        <v>86</v>
      </c>
      <c r="G76" s="81">
        <v>38.0</v>
      </c>
      <c r="H76" s="82">
        <v>273866.0</v>
      </c>
      <c r="I76" s="82"/>
      <c r="J76" s="82"/>
      <c r="K76" s="82">
        <f t="shared" si="448"/>
        <v>0</v>
      </c>
      <c r="L76" s="82">
        <f t="shared" si="449"/>
        <v>0</v>
      </c>
      <c r="M76" s="82"/>
      <c r="N76" s="83">
        <v>5.0</v>
      </c>
      <c r="O76" s="82"/>
      <c r="P76" s="82"/>
      <c r="Q76" s="82"/>
      <c r="R76" s="82"/>
      <c r="S76" s="82"/>
      <c r="T76" s="82"/>
      <c r="U76" s="83">
        <v>2.0</v>
      </c>
      <c r="V76" s="83">
        <v>3.0</v>
      </c>
      <c r="W76" s="82"/>
      <c r="X76" s="82"/>
      <c r="Y76" s="82"/>
      <c r="Z76" s="83">
        <v>1.0</v>
      </c>
      <c r="AA76" s="82"/>
      <c r="AB76" s="82">
        <f t="shared" si="450"/>
        <v>11</v>
      </c>
      <c r="AC76" s="82">
        <f t="shared" si="451"/>
        <v>79277</v>
      </c>
      <c r="AD76" s="82">
        <f t="shared" si="452"/>
        <v>27</v>
      </c>
      <c r="AE76" s="82">
        <f t="shared" si="453"/>
        <v>194589</v>
      </c>
      <c r="AF76" s="82"/>
      <c r="AG76" s="82"/>
      <c r="AH76" s="82">
        <f t="shared" si="454"/>
        <v>0</v>
      </c>
      <c r="AI76" s="82">
        <f t="shared" si="455"/>
        <v>0</v>
      </c>
      <c r="AJ76" s="82"/>
      <c r="AK76" s="82"/>
      <c r="AL76" s="82"/>
      <c r="AM76" s="82"/>
      <c r="AN76" s="82">
        <f t="shared" si="456"/>
        <v>0</v>
      </c>
      <c r="AO76" s="82">
        <f t="shared" si="457"/>
        <v>0</v>
      </c>
      <c r="AP76" s="82">
        <f t="shared" si="458"/>
        <v>27</v>
      </c>
      <c r="AQ76" s="82">
        <f t="shared" si="459"/>
        <v>194589</v>
      </c>
      <c r="AR76" s="82"/>
      <c r="AS76" s="82"/>
      <c r="AT76" s="82"/>
      <c r="AU76" s="82">
        <f t="shared" si="460"/>
        <v>0</v>
      </c>
      <c r="AV76" s="82">
        <f t="shared" si="461"/>
        <v>0</v>
      </c>
      <c r="AW76" s="82"/>
      <c r="AX76" s="82"/>
      <c r="AY76" s="82"/>
      <c r="AZ76" s="82"/>
      <c r="BA76" s="82">
        <f t="shared" si="462"/>
        <v>0</v>
      </c>
      <c r="BB76" s="82">
        <f t="shared" si="463"/>
        <v>0</v>
      </c>
      <c r="BC76" s="82">
        <f t="shared" si="464"/>
        <v>27</v>
      </c>
      <c r="BD76" s="82">
        <f t="shared" si="465"/>
        <v>194589</v>
      </c>
      <c r="BE76" s="82">
        <f t="shared" si="466"/>
        <v>0</v>
      </c>
      <c r="BF76" s="82">
        <f t="shared" si="467"/>
        <v>11</v>
      </c>
      <c r="BG76" s="82">
        <f t="shared" si="468"/>
        <v>27</v>
      </c>
      <c r="BH76" s="82">
        <f t="shared" si="469"/>
        <v>194589</v>
      </c>
      <c r="BI76" s="82"/>
      <c r="BJ76" s="83"/>
      <c r="BK76" s="82">
        <f t="shared" si="470"/>
        <v>0</v>
      </c>
      <c r="BL76" s="82">
        <f t="shared" si="471"/>
        <v>0</v>
      </c>
      <c r="BM76" s="82"/>
      <c r="BN76" s="82"/>
      <c r="BO76" s="82"/>
      <c r="BP76" s="82"/>
      <c r="BQ76" s="82"/>
      <c r="BR76" s="82"/>
      <c r="BS76" s="82"/>
      <c r="BT76" s="82"/>
      <c r="BU76" s="82"/>
      <c r="BV76" s="83">
        <v>3.0</v>
      </c>
      <c r="BW76" s="82">
        <f t="shared" si="472"/>
        <v>3</v>
      </c>
      <c r="BX76" s="82">
        <f t="shared" si="473"/>
        <v>21621</v>
      </c>
      <c r="BY76" s="82">
        <f t="shared" si="474"/>
        <v>24</v>
      </c>
      <c r="BZ76" s="82">
        <f t="shared" si="475"/>
        <v>172968</v>
      </c>
      <c r="CA76" s="82"/>
      <c r="CB76" s="82"/>
      <c r="CC76" s="82">
        <f t="shared" si="476"/>
        <v>0</v>
      </c>
      <c r="CD76" s="82">
        <f t="shared" si="477"/>
        <v>0</v>
      </c>
      <c r="CE76" s="83">
        <v>3.0</v>
      </c>
      <c r="CF76" s="82"/>
      <c r="CG76" s="82"/>
      <c r="CH76" s="82"/>
      <c r="CI76" s="82">
        <f t="shared" si="478"/>
        <v>3</v>
      </c>
      <c r="CJ76" s="82">
        <f t="shared" si="479"/>
        <v>21621</v>
      </c>
      <c r="CK76" s="82">
        <f t="shared" si="480"/>
        <v>21</v>
      </c>
      <c r="CL76" s="82">
        <f t="shared" si="481"/>
        <v>151347</v>
      </c>
      <c r="CM76" s="82"/>
      <c r="CN76" s="82"/>
      <c r="CO76" s="82">
        <f t="shared" si="35"/>
        <v>0</v>
      </c>
      <c r="CP76" s="82">
        <f t="shared" si="36"/>
        <v>0</v>
      </c>
      <c r="CQ76" s="82"/>
      <c r="CR76" s="82"/>
      <c r="CS76" s="82"/>
      <c r="CT76" s="82"/>
      <c r="CU76" s="82">
        <f t="shared" si="482"/>
        <v>0</v>
      </c>
      <c r="CV76" s="82">
        <f t="shared" si="483"/>
        <v>0</v>
      </c>
      <c r="CW76" s="82">
        <f t="shared" si="39"/>
        <v>21</v>
      </c>
      <c r="CX76" s="82">
        <f t="shared" si="403"/>
        <v>151347</v>
      </c>
      <c r="CY76" s="82">
        <f t="shared" si="41"/>
        <v>0</v>
      </c>
      <c r="CZ76" s="82">
        <f t="shared" si="345"/>
        <v>6</v>
      </c>
      <c r="DA76" s="82">
        <f t="shared" si="43"/>
        <v>21</v>
      </c>
      <c r="DB76" s="82">
        <f t="shared" si="44"/>
        <v>151347</v>
      </c>
      <c r="DC76" s="91"/>
      <c r="DD76" s="82"/>
      <c r="DE76" s="82"/>
      <c r="DF76" s="82">
        <f t="shared" si="484"/>
        <v>0</v>
      </c>
      <c r="DG76" s="82">
        <f t="shared" si="485"/>
        <v>0</v>
      </c>
      <c r="DH76" s="82"/>
      <c r="DI76" s="82"/>
      <c r="DJ76" s="82"/>
      <c r="DK76" s="82"/>
      <c r="DL76" s="82">
        <f t="shared" si="486"/>
        <v>0</v>
      </c>
      <c r="DM76" s="82">
        <f t="shared" si="487"/>
        <v>0</v>
      </c>
      <c r="DN76" s="82">
        <f t="shared" si="488"/>
        <v>21</v>
      </c>
      <c r="DO76" s="82">
        <f t="shared" si="489"/>
        <v>151347</v>
      </c>
      <c r="DP76" s="82"/>
      <c r="DQ76" s="82"/>
      <c r="DR76" s="82">
        <f t="shared" si="490"/>
        <v>0</v>
      </c>
      <c r="DS76" s="82">
        <f t="shared" si="491"/>
        <v>0</v>
      </c>
      <c r="DT76" s="82"/>
      <c r="DU76" s="82"/>
      <c r="DV76" s="82"/>
      <c r="DW76" s="82"/>
      <c r="DX76" s="82">
        <f t="shared" si="492"/>
        <v>0</v>
      </c>
      <c r="DY76" s="82">
        <f t="shared" si="493"/>
        <v>0</v>
      </c>
      <c r="DZ76" s="82">
        <f t="shared" si="494"/>
        <v>21</v>
      </c>
      <c r="EA76" s="82">
        <f t="shared" si="495"/>
        <v>151347</v>
      </c>
      <c r="EB76" s="82"/>
      <c r="EC76" s="82"/>
      <c r="ED76" s="82">
        <f t="shared" si="496"/>
        <v>0</v>
      </c>
      <c r="EE76" s="82">
        <f t="shared" si="497"/>
        <v>0</v>
      </c>
      <c r="EF76" s="82"/>
      <c r="EG76" s="82"/>
      <c r="EH76" s="82"/>
      <c r="EI76" s="82"/>
      <c r="EJ76" s="82">
        <f t="shared" si="498"/>
        <v>0</v>
      </c>
      <c r="EK76" s="82">
        <f t="shared" si="499"/>
        <v>0</v>
      </c>
      <c r="EL76" s="82">
        <f t="shared" si="500"/>
        <v>21</v>
      </c>
      <c r="EM76" s="82">
        <f t="shared" si="501"/>
        <v>151347</v>
      </c>
      <c r="EN76" s="82">
        <f t="shared" si="502"/>
        <v>0</v>
      </c>
      <c r="EO76" s="82">
        <f t="shared" si="503"/>
        <v>0</v>
      </c>
      <c r="EP76" s="82">
        <f t="shared" si="504"/>
        <v>21</v>
      </c>
      <c r="EQ76" s="82">
        <f t="shared" si="505"/>
        <v>151347</v>
      </c>
      <c r="ER76" s="82"/>
      <c r="ES76" s="82"/>
      <c r="ET76" s="82">
        <f t="shared" si="506"/>
        <v>0</v>
      </c>
      <c r="EU76" s="82">
        <f t="shared" si="507"/>
        <v>0</v>
      </c>
      <c r="EV76" s="82"/>
      <c r="EW76" s="82"/>
      <c r="EX76" s="82"/>
      <c r="EY76" s="82"/>
      <c r="EZ76" s="82">
        <f t="shared" si="508"/>
        <v>0</v>
      </c>
      <c r="FA76" s="82">
        <f t="shared" si="509"/>
        <v>0</v>
      </c>
      <c r="FB76" s="82">
        <f t="shared" si="510"/>
        <v>21</v>
      </c>
      <c r="FC76" s="82">
        <f t="shared" si="511"/>
        <v>151347</v>
      </c>
      <c r="FD76" s="82"/>
      <c r="FE76" s="82"/>
      <c r="FF76" s="82">
        <f t="shared" si="512"/>
        <v>0</v>
      </c>
      <c r="FG76" s="82">
        <f t="shared" si="513"/>
        <v>0</v>
      </c>
      <c r="FH76" s="82"/>
      <c r="FI76" s="82"/>
      <c r="FJ76" s="82"/>
      <c r="FK76" s="82"/>
      <c r="FL76" s="82">
        <f t="shared" si="514"/>
        <v>0</v>
      </c>
      <c r="FM76" s="82">
        <f t="shared" si="515"/>
        <v>0</v>
      </c>
      <c r="FN76" s="82">
        <f t="shared" si="516"/>
        <v>21</v>
      </c>
      <c r="FO76" s="82">
        <f t="shared" si="517"/>
        <v>151347</v>
      </c>
      <c r="FP76" s="82"/>
      <c r="FQ76" s="82"/>
      <c r="FR76" s="82">
        <f t="shared" si="518"/>
        <v>0</v>
      </c>
      <c r="FS76" s="82">
        <f t="shared" si="519"/>
        <v>0</v>
      </c>
      <c r="FT76" s="82"/>
      <c r="FU76" s="82"/>
      <c r="FV76" s="82"/>
      <c r="FW76" s="82"/>
      <c r="FX76" s="82">
        <f t="shared" si="520"/>
        <v>0</v>
      </c>
      <c r="FY76" s="82">
        <f t="shared" si="521"/>
        <v>0</v>
      </c>
      <c r="FZ76" s="82">
        <f t="shared" si="522"/>
        <v>21</v>
      </c>
      <c r="GA76" s="82">
        <f t="shared" si="523"/>
        <v>151347</v>
      </c>
      <c r="GB76" s="82">
        <f t="shared" si="524"/>
        <v>0</v>
      </c>
      <c r="GC76" s="82">
        <f t="shared" si="525"/>
        <v>0</v>
      </c>
      <c r="GD76" s="82">
        <f t="shared" si="526"/>
        <v>21</v>
      </c>
      <c r="GE76" s="82">
        <f t="shared" si="527"/>
        <v>151347</v>
      </c>
      <c r="GF76" s="85"/>
    </row>
    <row r="77" ht="29.25" customHeight="1">
      <c r="A77" s="76">
        <v>41.0</v>
      </c>
      <c r="B77" s="87"/>
      <c r="C77" s="77" t="s">
        <v>155</v>
      </c>
      <c r="D77" s="78" t="s">
        <v>96</v>
      </c>
      <c r="E77" s="79">
        <v>40000.0044</v>
      </c>
      <c r="F77" s="61" t="s">
        <v>156</v>
      </c>
      <c r="G77" s="81">
        <v>27.0</v>
      </c>
      <c r="H77" s="82">
        <v>1080000.1188</v>
      </c>
      <c r="I77" s="82"/>
      <c r="J77" s="82"/>
      <c r="K77" s="82">
        <f t="shared" si="448"/>
        <v>0</v>
      </c>
      <c r="L77" s="82">
        <f t="shared" si="449"/>
        <v>0</v>
      </c>
      <c r="M77" s="83">
        <v>3.0</v>
      </c>
      <c r="N77" s="83">
        <v>5.0</v>
      </c>
      <c r="O77" s="82"/>
      <c r="P77" s="82"/>
      <c r="Q77" s="82"/>
      <c r="R77" s="83">
        <v>3.0</v>
      </c>
      <c r="S77" s="83">
        <v>3.0</v>
      </c>
      <c r="T77" s="82"/>
      <c r="U77" s="83">
        <v>3.0</v>
      </c>
      <c r="V77" s="83">
        <v>3.0</v>
      </c>
      <c r="W77" s="82"/>
      <c r="X77" s="82"/>
      <c r="Y77" s="82"/>
      <c r="Z77" s="82"/>
      <c r="AA77" s="82"/>
      <c r="AB77" s="82">
        <f t="shared" si="450"/>
        <v>20</v>
      </c>
      <c r="AC77" s="82">
        <f t="shared" si="451"/>
        <v>800000.088</v>
      </c>
      <c r="AD77" s="82">
        <f t="shared" si="452"/>
        <v>7</v>
      </c>
      <c r="AE77" s="82">
        <f t="shared" si="453"/>
        <v>280000.0308</v>
      </c>
      <c r="AF77" s="82"/>
      <c r="AG77" s="82"/>
      <c r="AH77" s="82">
        <f t="shared" si="454"/>
        <v>0</v>
      </c>
      <c r="AI77" s="82">
        <f t="shared" si="455"/>
        <v>0</v>
      </c>
      <c r="AJ77" s="82"/>
      <c r="AK77" s="82"/>
      <c r="AL77" s="82"/>
      <c r="AM77" s="82"/>
      <c r="AN77" s="82">
        <f t="shared" si="456"/>
        <v>0</v>
      </c>
      <c r="AO77" s="82">
        <f t="shared" si="457"/>
        <v>0</v>
      </c>
      <c r="AP77" s="82">
        <f t="shared" si="458"/>
        <v>7</v>
      </c>
      <c r="AQ77" s="82">
        <f t="shared" si="459"/>
        <v>280000.0308</v>
      </c>
      <c r="AR77" s="82"/>
      <c r="AS77" s="82"/>
      <c r="AT77" s="82"/>
      <c r="AU77" s="82">
        <f t="shared" si="460"/>
        <v>0</v>
      </c>
      <c r="AV77" s="82">
        <f t="shared" si="461"/>
        <v>0</v>
      </c>
      <c r="AW77" s="82"/>
      <c r="AX77" s="82"/>
      <c r="AY77" s="82"/>
      <c r="AZ77" s="82"/>
      <c r="BA77" s="82">
        <f t="shared" si="462"/>
        <v>0</v>
      </c>
      <c r="BB77" s="82">
        <f t="shared" si="463"/>
        <v>0</v>
      </c>
      <c r="BC77" s="82">
        <f t="shared" si="464"/>
        <v>7</v>
      </c>
      <c r="BD77" s="82">
        <f t="shared" si="465"/>
        <v>280000.0308</v>
      </c>
      <c r="BE77" s="82">
        <f t="shared" si="466"/>
        <v>0</v>
      </c>
      <c r="BF77" s="82">
        <f t="shared" si="467"/>
        <v>20</v>
      </c>
      <c r="BG77" s="82">
        <f t="shared" si="468"/>
        <v>7</v>
      </c>
      <c r="BH77" s="82">
        <f t="shared" si="469"/>
        <v>280000.0308</v>
      </c>
      <c r="BI77" s="82"/>
      <c r="BJ77" s="83"/>
      <c r="BK77" s="82">
        <f t="shared" si="470"/>
        <v>0</v>
      </c>
      <c r="BL77" s="82">
        <f t="shared" si="471"/>
        <v>0</v>
      </c>
      <c r="BM77" s="82"/>
      <c r="BN77" s="83">
        <v>3.0</v>
      </c>
      <c r="BO77" s="82"/>
      <c r="BP77" s="82"/>
      <c r="BQ77" s="82"/>
      <c r="BR77" s="82"/>
      <c r="BS77" s="82"/>
      <c r="BT77" s="82"/>
      <c r="BU77" s="82"/>
      <c r="BV77" s="82"/>
      <c r="BW77" s="82">
        <f t="shared" si="472"/>
        <v>3</v>
      </c>
      <c r="BX77" s="82">
        <f t="shared" si="473"/>
        <v>120000.0132</v>
      </c>
      <c r="BY77" s="82">
        <f t="shared" si="474"/>
        <v>4</v>
      </c>
      <c r="BZ77" s="82">
        <f t="shared" si="475"/>
        <v>160000.0176</v>
      </c>
      <c r="CA77" s="82"/>
      <c r="CB77" s="82"/>
      <c r="CC77" s="82">
        <f t="shared" si="476"/>
        <v>0</v>
      </c>
      <c r="CD77" s="82">
        <f t="shared" si="477"/>
        <v>0</v>
      </c>
      <c r="CE77" s="83">
        <v>2.0</v>
      </c>
      <c r="CF77" s="82"/>
      <c r="CG77" s="82"/>
      <c r="CH77" s="82"/>
      <c r="CI77" s="82">
        <f t="shared" si="478"/>
        <v>2</v>
      </c>
      <c r="CJ77" s="82">
        <f t="shared" si="479"/>
        <v>80000.0088</v>
      </c>
      <c r="CK77" s="82">
        <f t="shared" si="480"/>
        <v>2</v>
      </c>
      <c r="CL77" s="82">
        <f t="shared" si="481"/>
        <v>80000.0088</v>
      </c>
      <c r="CM77" s="82"/>
      <c r="CN77" s="82"/>
      <c r="CO77" s="82">
        <f t="shared" si="35"/>
        <v>0</v>
      </c>
      <c r="CP77" s="82">
        <f t="shared" si="36"/>
        <v>0</v>
      </c>
      <c r="CQ77" s="82"/>
      <c r="CR77" s="82"/>
      <c r="CS77" s="82"/>
      <c r="CT77" s="82"/>
      <c r="CU77" s="82">
        <f t="shared" si="482"/>
        <v>0</v>
      </c>
      <c r="CV77" s="82">
        <f t="shared" si="483"/>
        <v>0</v>
      </c>
      <c r="CW77" s="82">
        <f t="shared" si="39"/>
        <v>2</v>
      </c>
      <c r="CX77" s="82">
        <f t="shared" si="403"/>
        <v>80000.0088</v>
      </c>
      <c r="CY77" s="82">
        <f t="shared" si="41"/>
        <v>0</v>
      </c>
      <c r="CZ77" s="82">
        <f t="shared" si="345"/>
        <v>5</v>
      </c>
      <c r="DA77" s="82">
        <f t="shared" si="43"/>
        <v>2</v>
      </c>
      <c r="DB77" s="82">
        <f t="shared" si="44"/>
        <v>80000.0088</v>
      </c>
      <c r="DC77" s="84">
        <v>28.0</v>
      </c>
      <c r="DD77" s="82"/>
      <c r="DE77" s="82"/>
      <c r="DF77" s="82">
        <f t="shared" si="484"/>
        <v>0</v>
      </c>
      <c r="DG77" s="82">
        <f t="shared" si="485"/>
        <v>0</v>
      </c>
      <c r="DH77" s="82"/>
      <c r="DI77" s="82"/>
      <c r="DJ77" s="82"/>
      <c r="DK77" s="82"/>
      <c r="DL77" s="82">
        <f t="shared" si="486"/>
        <v>0</v>
      </c>
      <c r="DM77" s="82">
        <f t="shared" si="487"/>
        <v>0</v>
      </c>
      <c r="DN77" s="82">
        <f t="shared" si="488"/>
        <v>2</v>
      </c>
      <c r="DO77" s="82">
        <f t="shared" si="489"/>
        <v>80000.0088</v>
      </c>
      <c r="DP77" s="82"/>
      <c r="DQ77" s="82"/>
      <c r="DR77" s="82">
        <f t="shared" si="490"/>
        <v>0</v>
      </c>
      <c r="DS77" s="82">
        <f t="shared" si="491"/>
        <v>0</v>
      </c>
      <c r="DT77" s="82"/>
      <c r="DU77" s="82"/>
      <c r="DV77" s="82"/>
      <c r="DW77" s="82"/>
      <c r="DX77" s="82">
        <f t="shared" si="492"/>
        <v>0</v>
      </c>
      <c r="DY77" s="82">
        <f t="shared" si="493"/>
        <v>0</v>
      </c>
      <c r="DZ77" s="82">
        <f t="shared" si="494"/>
        <v>2</v>
      </c>
      <c r="EA77" s="82">
        <f t="shared" si="495"/>
        <v>80000.0088</v>
      </c>
      <c r="EB77" s="82"/>
      <c r="EC77" s="82"/>
      <c r="ED77" s="82">
        <f t="shared" si="496"/>
        <v>0</v>
      </c>
      <c r="EE77" s="82">
        <f t="shared" si="497"/>
        <v>0</v>
      </c>
      <c r="EF77" s="82"/>
      <c r="EG77" s="82"/>
      <c r="EH77" s="82"/>
      <c r="EI77" s="82"/>
      <c r="EJ77" s="82">
        <f t="shared" si="498"/>
        <v>0</v>
      </c>
      <c r="EK77" s="82">
        <f t="shared" si="499"/>
        <v>0</v>
      </c>
      <c r="EL77" s="82">
        <f t="shared" si="500"/>
        <v>2</v>
      </c>
      <c r="EM77" s="82">
        <f t="shared" si="501"/>
        <v>80000.0088</v>
      </c>
      <c r="EN77" s="82">
        <f t="shared" si="502"/>
        <v>0</v>
      </c>
      <c r="EO77" s="82">
        <f t="shared" si="503"/>
        <v>0</v>
      </c>
      <c r="EP77" s="82">
        <f t="shared" si="504"/>
        <v>2</v>
      </c>
      <c r="EQ77" s="82">
        <f t="shared" si="505"/>
        <v>80000.0088</v>
      </c>
      <c r="ER77" s="82"/>
      <c r="ES77" s="82"/>
      <c r="ET77" s="82">
        <f t="shared" si="506"/>
        <v>0</v>
      </c>
      <c r="EU77" s="82">
        <f t="shared" si="507"/>
        <v>0</v>
      </c>
      <c r="EV77" s="82"/>
      <c r="EW77" s="82"/>
      <c r="EX77" s="82"/>
      <c r="EY77" s="82"/>
      <c r="EZ77" s="82">
        <f t="shared" si="508"/>
        <v>0</v>
      </c>
      <c r="FA77" s="82">
        <f t="shared" si="509"/>
        <v>0</v>
      </c>
      <c r="FB77" s="82">
        <f t="shared" si="510"/>
        <v>2</v>
      </c>
      <c r="FC77" s="82">
        <f t="shared" si="511"/>
        <v>80000.0088</v>
      </c>
      <c r="FD77" s="82"/>
      <c r="FE77" s="82"/>
      <c r="FF77" s="82">
        <f t="shared" si="512"/>
        <v>0</v>
      </c>
      <c r="FG77" s="82">
        <f t="shared" si="513"/>
        <v>0</v>
      </c>
      <c r="FH77" s="82"/>
      <c r="FI77" s="82"/>
      <c r="FJ77" s="82"/>
      <c r="FK77" s="82"/>
      <c r="FL77" s="82">
        <f t="shared" si="514"/>
        <v>0</v>
      </c>
      <c r="FM77" s="82">
        <f t="shared" si="515"/>
        <v>0</v>
      </c>
      <c r="FN77" s="82">
        <f t="shared" si="516"/>
        <v>2</v>
      </c>
      <c r="FO77" s="82">
        <f t="shared" si="517"/>
        <v>80000.0088</v>
      </c>
      <c r="FP77" s="82"/>
      <c r="FQ77" s="82"/>
      <c r="FR77" s="82">
        <f t="shared" si="518"/>
        <v>0</v>
      </c>
      <c r="FS77" s="82">
        <f t="shared" si="519"/>
        <v>0</v>
      </c>
      <c r="FT77" s="82"/>
      <c r="FU77" s="82"/>
      <c r="FV77" s="82"/>
      <c r="FW77" s="82"/>
      <c r="FX77" s="82">
        <f t="shared" si="520"/>
        <v>0</v>
      </c>
      <c r="FY77" s="82">
        <f t="shared" si="521"/>
        <v>0</v>
      </c>
      <c r="FZ77" s="82">
        <f t="shared" si="522"/>
        <v>2</v>
      </c>
      <c r="GA77" s="82">
        <f t="shared" si="523"/>
        <v>80000.0088</v>
      </c>
      <c r="GB77" s="82">
        <f t="shared" si="524"/>
        <v>0</v>
      </c>
      <c r="GC77" s="82">
        <f t="shared" si="525"/>
        <v>0</v>
      </c>
      <c r="GD77" s="82">
        <f t="shared" si="526"/>
        <v>2</v>
      </c>
      <c r="GE77" s="82">
        <f t="shared" si="527"/>
        <v>80000.0088</v>
      </c>
      <c r="GF77" s="85"/>
    </row>
    <row r="78" ht="29.25" customHeight="1">
      <c r="A78" s="16"/>
      <c r="B78" s="16"/>
      <c r="C78" s="16"/>
      <c r="D78" s="78" t="s">
        <v>96</v>
      </c>
      <c r="E78" s="79">
        <v>40000.0044</v>
      </c>
      <c r="F78" s="80" t="s">
        <v>85</v>
      </c>
      <c r="G78" s="81">
        <v>10.0</v>
      </c>
      <c r="H78" s="82">
        <v>400000.044</v>
      </c>
      <c r="I78" s="82"/>
      <c r="J78" s="82"/>
      <c r="K78" s="82">
        <f t="shared" si="448"/>
        <v>0</v>
      </c>
      <c r="L78" s="82">
        <f t="shared" si="449"/>
        <v>0</v>
      </c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>
        <f t="shared" si="450"/>
        <v>0</v>
      </c>
      <c r="AC78" s="82">
        <f t="shared" si="451"/>
        <v>0</v>
      </c>
      <c r="AD78" s="82">
        <f t="shared" si="452"/>
        <v>10</v>
      </c>
      <c r="AE78" s="82">
        <f t="shared" si="453"/>
        <v>400000.044</v>
      </c>
      <c r="AF78" s="82"/>
      <c r="AG78" s="82"/>
      <c r="AH78" s="82">
        <f t="shared" si="454"/>
        <v>0</v>
      </c>
      <c r="AI78" s="82">
        <f t="shared" si="455"/>
        <v>0</v>
      </c>
      <c r="AJ78" s="82"/>
      <c r="AK78" s="82"/>
      <c r="AL78" s="82"/>
      <c r="AM78" s="82"/>
      <c r="AN78" s="82">
        <f t="shared" si="456"/>
        <v>0</v>
      </c>
      <c r="AO78" s="82">
        <f t="shared" si="457"/>
        <v>0</v>
      </c>
      <c r="AP78" s="82">
        <f t="shared" si="458"/>
        <v>10</v>
      </c>
      <c r="AQ78" s="82">
        <f t="shared" si="459"/>
        <v>400000.044</v>
      </c>
      <c r="AR78" s="82"/>
      <c r="AS78" s="82"/>
      <c r="AT78" s="82"/>
      <c r="AU78" s="82">
        <f t="shared" si="460"/>
        <v>0</v>
      </c>
      <c r="AV78" s="82">
        <f t="shared" si="461"/>
        <v>0</v>
      </c>
      <c r="AW78" s="82"/>
      <c r="AX78" s="82"/>
      <c r="AY78" s="82"/>
      <c r="AZ78" s="82"/>
      <c r="BA78" s="82">
        <f t="shared" si="462"/>
        <v>0</v>
      </c>
      <c r="BB78" s="82">
        <f t="shared" si="463"/>
        <v>0</v>
      </c>
      <c r="BC78" s="82">
        <f t="shared" si="464"/>
        <v>10</v>
      </c>
      <c r="BD78" s="82">
        <f t="shared" si="465"/>
        <v>400000.044</v>
      </c>
      <c r="BE78" s="82">
        <f t="shared" si="466"/>
        <v>0</v>
      </c>
      <c r="BF78" s="82">
        <f t="shared" si="467"/>
        <v>0</v>
      </c>
      <c r="BG78" s="82">
        <f t="shared" si="468"/>
        <v>10</v>
      </c>
      <c r="BH78" s="82">
        <f t="shared" si="469"/>
        <v>400000.044</v>
      </c>
      <c r="BI78" s="82"/>
      <c r="BJ78" s="83"/>
      <c r="BK78" s="82">
        <f t="shared" si="470"/>
        <v>0</v>
      </c>
      <c r="BL78" s="82">
        <f t="shared" si="471"/>
        <v>0</v>
      </c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>
        <f t="shared" si="472"/>
        <v>0</v>
      </c>
      <c r="BX78" s="82">
        <f t="shared" si="473"/>
        <v>0</v>
      </c>
      <c r="BY78" s="82">
        <f t="shared" si="474"/>
        <v>10</v>
      </c>
      <c r="BZ78" s="82">
        <f t="shared" si="475"/>
        <v>400000.044</v>
      </c>
      <c r="CA78" s="82"/>
      <c r="CB78" s="82"/>
      <c r="CC78" s="82">
        <f t="shared" si="476"/>
        <v>0</v>
      </c>
      <c r="CD78" s="82">
        <f t="shared" si="477"/>
        <v>0</v>
      </c>
      <c r="CE78" s="82"/>
      <c r="CF78" s="82"/>
      <c r="CG78" s="82"/>
      <c r="CH78" s="82"/>
      <c r="CI78" s="82">
        <f t="shared" si="478"/>
        <v>0</v>
      </c>
      <c r="CJ78" s="82">
        <f t="shared" si="479"/>
        <v>0</v>
      </c>
      <c r="CK78" s="82">
        <f t="shared" si="480"/>
        <v>10</v>
      </c>
      <c r="CL78" s="82">
        <f t="shared" si="481"/>
        <v>400000.044</v>
      </c>
      <c r="CM78" s="82"/>
      <c r="CN78" s="82"/>
      <c r="CO78" s="82">
        <f t="shared" si="35"/>
        <v>0</v>
      </c>
      <c r="CP78" s="82">
        <f t="shared" si="36"/>
        <v>0</v>
      </c>
      <c r="CQ78" s="82"/>
      <c r="CR78" s="82"/>
      <c r="CS78" s="82"/>
      <c r="CT78" s="82"/>
      <c r="CU78" s="82">
        <f t="shared" si="482"/>
        <v>0</v>
      </c>
      <c r="CV78" s="82">
        <f t="shared" si="483"/>
        <v>0</v>
      </c>
      <c r="CW78" s="82">
        <f t="shared" si="39"/>
        <v>10</v>
      </c>
      <c r="CX78" s="82">
        <f t="shared" si="403"/>
        <v>400000.044</v>
      </c>
      <c r="CY78" s="82">
        <f t="shared" si="41"/>
        <v>0</v>
      </c>
      <c r="CZ78" s="82">
        <f t="shared" si="345"/>
        <v>0</v>
      </c>
      <c r="DA78" s="82">
        <f t="shared" si="43"/>
        <v>10</v>
      </c>
      <c r="DB78" s="82">
        <f t="shared" si="44"/>
        <v>400000.044</v>
      </c>
      <c r="DC78" s="91"/>
      <c r="DD78" s="82"/>
      <c r="DE78" s="82"/>
      <c r="DF78" s="82">
        <f t="shared" si="484"/>
        <v>0</v>
      </c>
      <c r="DG78" s="82">
        <f t="shared" si="485"/>
        <v>0</v>
      </c>
      <c r="DH78" s="82"/>
      <c r="DI78" s="82"/>
      <c r="DJ78" s="82"/>
      <c r="DK78" s="82"/>
      <c r="DL78" s="82">
        <f t="shared" si="486"/>
        <v>0</v>
      </c>
      <c r="DM78" s="82">
        <f t="shared" si="487"/>
        <v>0</v>
      </c>
      <c r="DN78" s="82">
        <f t="shared" si="488"/>
        <v>10</v>
      </c>
      <c r="DO78" s="82">
        <f t="shared" si="489"/>
        <v>400000.044</v>
      </c>
      <c r="DP78" s="82"/>
      <c r="DQ78" s="82"/>
      <c r="DR78" s="82">
        <f t="shared" si="490"/>
        <v>0</v>
      </c>
      <c r="DS78" s="82">
        <f t="shared" si="491"/>
        <v>0</v>
      </c>
      <c r="DT78" s="82"/>
      <c r="DU78" s="82"/>
      <c r="DV78" s="82"/>
      <c r="DW78" s="82"/>
      <c r="DX78" s="82">
        <f t="shared" si="492"/>
        <v>0</v>
      </c>
      <c r="DY78" s="82">
        <f t="shared" si="493"/>
        <v>0</v>
      </c>
      <c r="DZ78" s="82">
        <f t="shared" si="494"/>
        <v>10</v>
      </c>
      <c r="EA78" s="82">
        <f t="shared" si="495"/>
        <v>400000.044</v>
      </c>
      <c r="EB78" s="82"/>
      <c r="EC78" s="82"/>
      <c r="ED78" s="82">
        <f t="shared" si="496"/>
        <v>0</v>
      </c>
      <c r="EE78" s="82">
        <f t="shared" si="497"/>
        <v>0</v>
      </c>
      <c r="EF78" s="82"/>
      <c r="EG78" s="82"/>
      <c r="EH78" s="82"/>
      <c r="EI78" s="82"/>
      <c r="EJ78" s="82">
        <f t="shared" si="498"/>
        <v>0</v>
      </c>
      <c r="EK78" s="82">
        <f t="shared" si="499"/>
        <v>0</v>
      </c>
      <c r="EL78" s="82">
        <f t="shared" si="500"/>
        <v>10</v>
      </c>
      <c r="EM78" s="82">
        <f t="shared" si="501"/>
        <v>400000.044</v>
      </c>
      <c r="EN78" s="82">
        <f t="shared" si="502"/>
        <v>0</v>
      </c>
      <c r="EO78" s="82">
        <f t="shared" si="503"/>
        <v>0</v>
      </c>
      <c r="EP78" s="82">
        <f t="shared" si="504"/>
        <v>10</v>
      </c>
      <c r="EQ78" s="82">
        <f t="shared" si="505"/>
        <v>400000.044</v>
      </c>
      <c r="ER78" s="82"/>
      <c r="ES78" s="82"/>
      <c r="ET78" s="82">
        <f t="shared" si="506"/>
        <v>0</v>
      </c>
      <c r="EU78" s="82">
        <f t="shared" si="507"/>
        <v>0</v>
      </c>
      <c r="EV78" s="82"/>
      <c r="EW78" s="82"/>
      <c r="EX78" s="82"/>
      <c r="EY78" s="82"/>
      <c r="EZ78" s="82">
        <f t="shared" si="508"/>
        <v>0</v>
      </c>
      <c r="FA78" s="82">
        <f t="shared" si="509"/>
        <v>0</v>
      </c>
      <c r="FB78" s="82">
        <f t="shared" si="510"/>
        <v>10</v>
      </c>
      <c r="FC78" s="82">
        <f t="shared" si="511"/>
        <v>400000.044</v>
      </c>
      <c r="FD78" s="82"/>
      <c r="FE78" s="82"/>
      <c r="FF78" s="82">
        <f t="shared" si="512"/>
        <v>0</v>
      </c>
      <c r="FG78" s="82">
        <f t="shared" si="513"/>
        <v>0</v>
      </c>
      <c r="FH78" s="82"/>
      <c r="FI78" s="82"/>
      <c r="FJ78" s="82"/>
      <c r="FK78" s="82"/>
      <c r="FL78" s="82">
        <f t="shared" si="514"/>
        <v>0</v>
      </c>
      <c r="FM78" s="82">
        <f t="shared" si="515"/>
        <v>0</v>
      </c>
      <c r="FN78" s="82">
        <f t="shared" si="516"/>
        <v>10</v>
      </c>
      <c r="FO78" s="82">
        <f t="shared" si="517"/>
        <v>400000.044</v>
      </c>
      <c r="FP78" s="82"/>
      <c r="FQ78" s="82"/>
      <c r="FR78" s="82">
        <f t="shared" si="518"/>
        <v>0</v>
      </c>
      <c r="FS78" s="82">
        <f t="shared" si="519"/>
        <v>0</v>
      </c>
      <c r="FT78" s="82"/>
      <c r="FU78" s="82"/>
      <c r="FV78" s="82"/>
      <c r="FW78" s="82"/>
      <c r="FX78" s="82">
        <f t="shared" si="520"/>
        <v>0</v>
      </c>
      <c r="FY78" s="82">
        <f t="shared" si="521"/>
        <v>0</v>
      </c>
      <c r="FZ78" s="82">
        <f t="shared" si="522"/>
        <v>10</v>
      </c>
      <c r="GA78" s="82">
        <f t="shared" si="523"/>
        <v>400000.044</v>
      </c>
      <c r="GB78" s="82">
        <f t="shared" si="524"/>
        <v>0</v>
      </c>
      <c r="GC78" s="82">
        <f t="shared" si="525"/>
        <v>0</v>
      </c>
      <c r="GD78" s="82">
        <f t="shared" si="526"/>
        <v>10</v>
      </c>
      <c r="GE78" s="82">
        <f t="shared" si="527"/>
        <v>400000.044</v>
      </c>
      <c r="GF78" s="85"/>
    </row>
    <row r="79" ht="29.25" customHeight="1">
      <c r="A79" s="76"/>
      <c r="B79" s="87"/>
      <c r="C79" s="77"/>
      <c r="D79" s="89" t="s">
        <v>157</v>
      </c>
      <c r="E79" s="86">
        <v>47730.0</v>
      </c>
      <c r="F79" s="80" t="s">
        <v>151</v>
      </c>
      <c r="G79" s="81">
        <v>10.0</v>
      </c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>
        <f t="shared" si="452"/>
        <v>10</v>
      </c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>
        <f t="shared" si="458"/>
        <v>10</v>
      </c>
      <c r="AQ79" s="82">
        <f>AP79*E78</f>
        <v>400000.044</v>
      </c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>
        <f t="shared" si="464"/>
        <v>10</v>
      </c>
      <c r="BD79" s="82">
        <f>BC79*E78</f>
        <v>400000.044</v>
      </c>
      <c r="BE79" s="82"/>
      <c r="BF79" s="82"/>
      <c r="BG79" s="82">
        <f t="shared" si="468"/>
        <v>10</v>
      </c>
      <c r="BH79" s="83">
        <v>0.0</v>
      </c>
      <c r="BI79" s="82"/>
      <c r="BJ79" s="83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>
        <f t="shared" si="474"/>
        <v>10</v>
      </c>
      <c r="BZ79" s="82">
        <f>BY79*E78</f>
        <v>400000.044</v>
      </c>
      <c r="CA79" s="82"/>
      <c r="CB79" s="82"/>
      <c r="CC79" s="82"/>
      <c r="CD79" s="82"/>
      <c r="CE79" s="82"/>
      <c r="CF79" s="82"/>
      <c r="CG79" s="82"/>
      <c r="CH79" s="82"/>
      <c r="CI79" s="83"/>
      <c r="CJ79" s="82"/>
      <c r="CK79" s="82">
        <f t="shared" si="480"/>
        <v>10</v>
      </c>
      <c r="CL79" s="82">
        <f>CK79*E78</f>
        <v>400000.044</v>
      </c>
      <c r="CM79" s="83">
        <v>34.0</v>
      </c>
      <c r="CN79" s="82"/>
      <c r="CO79" s="82">
        <f t="shared" si="35"/>
        <v>34</v>
      </c>
      <c r="CP79" s="82">
        <f t="shared" si="36"/>
        <v>1622820</v>
      </c>
      <c r="CQ79" s="82"/>
      <c r="CR79" s="82"/>
      <c r="CS79" s="82"/>
      <c r="CT79" s="82"/>
      <c r="CU79" s="82"/>
      <c r="CV79" s="82"/>
      <c r="CW79" s="82">
        <f t="shared" si="39"/>
        <v>44</v>
      </c>
      <c r="CX79" s="82">
        <f>(CO79*E79)+(CK79*E78)</f>
        <v>2022820.044</v>
      </c>
      <c r="CY79" s="82">
        <f t="shared" si="41"/>
        <v>34</v>
      </c>
      <c r="CZ79" s="82">
        <f t="shared" si="345"/>
        <v>0</v>
      </c>
      <c r="DA79" s="82">
        <f t="shared" si="43"/>
        <v>44</v>
      </c>
      <c r="DB79" s="82">
        <f t="shared" si="44"/>
        <v>2100120</v>
      </c>
      <c r="DC79" s="91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82"/>
      <c r="DT79" s="82"/>
      <c r="DU79" s="82"/>
      <c r="DV79" s="82"/>
      <c r="DW79" s="82"/>
      <c r="DX79" s="82"/>
      <c r="DY79" s="82"/>
      <c r="DZ79" s="82"/>
      <c r="EA79" s="82"/>
      <c r="EB79" s="82"/>
      <c r="EC79" s="82"/>
      <c r="ED79" s="82"/>
      <c r="EE79" s="82"/>
      <c r="EF79" s="82"/>
      <c r="EG79" s="82"/>
      <c r="EH79" s="82"/>
      <c r="EI79" s="82"/>
      <c r="EJ79" s="82"/>
      <c r="EK79" s="82"/>
      <c r="EL79" s="82"/>
      <c r="EM79" s="82"/>
      <c r="EN79" s="82"/>
      <c r="EO79" s="82"/>
      <c r="EP79" s="82"/>
      <c r="EQ79" s="82"/>
      <c r="ER79" s="82"/>
      <c r="ES79" s="82"/>
      <c r="ET79" s="82"/>
      <c r="EU79" s="82"/>
      <c r="EV79" s="82"/>
      <c r="EW79" s="82"/>
      <c r="EX79" s="82"/>
      <c r="EY79" s="82"/>
      <c r="EZ79" s="82"/>
      <c r="FA79" s="82"/>
      <c r="FB79" s="82"/>
      <c r="FC79" s="82"/>
      <c r="FD79" s="82"/>
      <c r="FE79" s="82"/>
      <c r="FF79" s="82"/>
      <c r="FG79" s="82"/>
      <c r="FH79" s="82"/>
      <c r="FI79" s="82"/>
      <c r="FJ79" s="82"/>
      <c r="FK79" s="82"/>
      <c r="FL79" s="82"/>
      <c r="FM79" s="82"/>
      <c r="FN79" s="82"/>
      <c r="FO79" s="82"/>
      <c r="FP79" s="82"/>
      <c r="FQ79" s="82"/>
      <c r="FR79" s="82"/>
      <c r="FS79" s="82"/>
      <c r="FT79" s="82"/>
      <c r="FU79" s="82"/>
      <c r="FV79" s="82"/>
      <c r="FW79" s="82"/>
      <c r="FX79" s="82"/>
      <c r="FY79" s="82"/>
      <c r="FZ79" s="82"/>
      <c r="GA79" s="82"/>
      <c r="GB79" s="82"/>
      <c r="GC79" s="82"/>
      <c r="GD79" s="82"/>
      <c r="GE79" s="82"/>
      <c r="GF79" s="85"/>
    </row>
    <row r="80" ht="29.25" customHeight="1">
      <c r="A80" s="96">
        <v>42.0</v>
      </c>
      <c r="B80" s="97"/>
      <c r="C80" s="58" t="s">
        <v>158</v>
      </c>
      <c r="D80" s="78" t="s">
        <v>96</v>
      </c>
      <c r="E80" s="79">
        <v>3651.9</v>
      </c>
      <c r="F80" s="61"/>
      <c r="G80" s="81">
        <v>6.0</v>
      </c>
      <c r="H80" s="82">
        <v>21911.4</v>
      </c>
      <c r="I80" s="82"/>
      <c r="J80" s="82"/>
      <c r="K80" s="82">
        <f t="shared" ref="K80:K101" si="528">SUM(I80:J80)</f>
        <v>0</v>
      </c>
      <c r="L80" s="82">
        <f t="shared" ref="L80:L101" si="529">K80*E80</f>
        <v>0</v>
      </c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>
        <f t="shared" ref="AB80:AB101" si="530">SUM(M80:AA80)</f>
        <v>0</v>
      </c>
      <c r="AC80" s="82">
        <f t="shared" ref="AC80:AC101" si="531">AB80*E80</f>
        <v>0</v>
      </c>
      <c r="AD80" s="82">
        <f t="shared" si="452"/>
        <v>6</v>
      </c>
      <c r="AE80" s="82">
        <f t="shared" ref="AE80:AE101" si="532">AD80*E80</f>
        <v>21911.4</v>
      </c>
      <c r="AF80" s="82"/>
      <c r="AG80" s="82"/>
      <c r="AH80" s="82">
        <f t="shared" ref="AH80:AH101" si="533">SUM(AF80:AG80)</f>
        <v>0</v>
      </c>
      <c r="AI80" s="82">
        <f t="shared" ref="AI80:AI101" si="534">AH80*E80</f>
        <v>0</v>
      </c>
      <c r="AJ80" s="82"/>
      <c r="AK80" s="82"/>
      <c r="AL80" s="82"/>
      <c r="AM80" s="82"/>
      <c r="AN80" s="82">
        <f t="shared" ref="AN80:AN101" si="535">SUM(AJ80:AM80)</f>
        <v>0</v>
      </c>
      <c r="AO80" s="82">
        <f t="shared" ref="AO80:AO101" si="536">AN80*E80</f>
        <v>0</v>
      </c>
      <c r="AP80" s="82">
        <f t="shared" si="458"/>
        <v>6</v>
      </c>
      <c r="AQ80" s="82">
        <f t="shared" ref="AQ80:AQ101" si="537">AP80*E80</f>
        <v>21911.4</v>
      </c>
      <c r="AR80" s="82"/>
      <c r="AS80" s="82"/>
      <c r="AT80" s="82"/>
      <c r="AU80" s="82">
        <f t="shared" ref="AU80:AU101" si="538">SUM(AS80:AT80)</f>
        <v>0</v>
      </c>
      <c r="AV80" s="82">
        <f t="shared" ref="AV80:AV101" si="539">AU80*AB80</f>
        <v>0</v>
      </c>
      <c r="AW80" s="82"/>
      <c r="AX80" s="82"/>
      <c r="AY80" s="82"/>
      <c r="AZ80" s="82"/>
      <c r="BA80" s="82">
        <f t="shared" ref="BA80:BA101" si="540">SUM(AW80:AZ80)</f>
        <v>0</v>
      </c>
      <c r="BB80" s="82">
        <f t="shared" ref="BB80:BB101" si="541">BA80*AB80</f>
        <v>0</v>
      </c>
      <c r="BC80" s="82">
        <f t="shared" si="464"/>
        <v>6</v>
      </c>
      <c r="BD80" s="82">
        <f t="shared" ref="BD80:BD101" si="542">BC80*E80</f>
        <v>21911.4</v>
      </c>
      <c r="BE80" s="82">
        <f t="shared" ref="BE80:BE101" si="543">K80+AH80+AU80</f>
        <v>0</v>
      </c>
      <c r="BF80" s="82">
        <f t="shared" ref="BF80:BF101" si="544">AB80+AN80+BA80</f>
        <v>0</v>
      </c>
      <c r="BG80" s="82">
        <f t="shared" si="468"/>
        <v>6</v>
      </c>
      <c r="BH80" s="82">
        <f t="shared" ref="BH80:BH101" si="545">BG80*E80</f>
        <v>21911.4</v>
      </c>
      <c r="BI80" s="82"/>
      <c r="BJ80" s="83"/>
      <c r="BK80" s="82">
        <f t="shared" ref="BK80:BK101" si="546">SUM(BI80:BJ80)</f>
        <v>0</v>
      </c>
      <c r="BL80" s="82">
        <f t="shared" ref="BL80:BL101" si="547">BK80*E80</f>
        <v>0</v>
      </c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>
        <f t="shared" ref="BW80:BW101" si="548">SUM(BM80:BV80)</f>
        <v>0</v>
      </c>
      <c r="BX80" s="82">
        <f t="shared" ref="BX80:BX101" si="549">BW80*E80</f>
        <v>0</v>
      </c>
      <c r="BY80" s="82">
        <f t="shared" si="474"/>
        <v>6</v>
      </c>
      <c r="BZ80" s="82">
        <f t="shared" ref="BZ80:BZ101" si="550">BY80*E80</f>
        <v>21911.4</v>
      </c>
      <c r="CA80" s="82"/>
      <c r="CB80" s="82"/>
      <c r="CC80" s="82">
        <f t="shared" ref="CC80:CC101" si="551">sum(CA80:CB80)</f>
        <v>0</v>
      </c>
      <c r="CD80" s="82">
        <f t="shared" ref="CD80:CD101" si="552">CC80*E80</f>
        <v>0</v>
      </c>
      <c r="CE80" s="82"/>
      <c r="CF80" s="82"/>
      <c r="CG80" s="82"/>
      <c r="CH80" s="82"/>
      <c r="CI80" s="82">
        <f t="shared" ref="CI80:CI101" si="553">sum(CE80:CH80)</f>
        <v>0</v>
      </c>
      <c r="CJ80" s="82">
        <f t="shared" ref="CJ80:CJ101" si="554">CI80*E80</f>
        <v>0</v>
      </c>
      <c r="CK80" s="82">
        <f t="shared" si="480"/>
        <v>6</v>
      </c>
      <c r="CL80" s="82">
        <f t="shared" ref="CL80:CL101" si="555">CK80*E80</f>
        <v>21911.4</v>
      </c>
      <c r="CM80" s="82"/>
      <c r="CN80" s="82"/>
      <c r="CO80" s="82">
        <f t="shared" si="35"/>
        <v>0</v>
      </c>
      <c r="CP80" s="82">
        <f t="shared" si="36"/>
        <v>0</v>
      </c>
      <c r="CQ80" s="82"/>
      <c r="CR80" s="82"/>
      <c r="CS80" s="82"/>
      <c r="CT80" s="82"/>
      <c r="CU80" s="82">
        <f t="shared" ref="CU80:CU101" si="556">sum(CQ80:CT80)</f>
        <v>0</v>
      </c>
      <c r="CV80" s="82">
        <f t="shared" ref="CV80:CV101" si="557">CU80*E80</f>
        <v>0</v>
      </c>
      <c r="CW80" s="82">
        <f t="shared" si="39"/>
        <v>6</v>
      </c>
      <c r="CX80" s="82">
        <f t="shared" ref="CX80:CX101" si="558">CW80*E80</f>
        <v>21911.4</v>
      </c>
      <c r="CY80" s="82">
        <f t="shared" si="41"/>
        <v>0</v>
      </c>
      <c r="CZ80" s="82">
        <f t="shared" si="345"/>
        <v>0</v>
      </c>
      <c r="DA80" s="82">
        <f t="shared" si="43"/>
        <v>6</v>
      </c>
      <c r="DB80" s="82">
        <f t="shared" si="44"/>
        <v>21911.4</v>
      </c>
      <c r="DC80" s="84">
        <v>4.0</v>
      </c>
      <c r="DD80" s="82"/>
      <c r="DE80" s="82"/>
      <c r="DF80" s="82">
        <f t="shared" ref="DF80:DF101" si="559">sum(DD80:DE80)</f>
        <v>0</v>
      </c>
      <c r="DG80" s="82">
        <f t="shared" ref="DG80:DG101" si="560">DF80*E80</f>
        <v>0</v>
      </c>
      <c r="DH80" s="82"/>
      <c r="DI80" s="82"/>
      <c r="DJ80" s="82"/>
      <c r="DK80" s="82"/>
      <c r="DL80" s="82">
        <f t="shared" ref="DL80:DL101" si="561">sum(DH80:DK80)</f>
        <v>0</v>
      </c>
      <c r="DM80" s="82">
        <f t="shared" ref="DM80:DM101" si="562">DL80*E80</f>
        <v>0</v>
      </c>
      <c r="DN80" s="82">
        <f t="shared" ref="DN80:DN101" si="563">DA80+DF80-DL80</f>
        <v>6</v>
      </c>
      <c r="DO80" s="82">
        <f t="shared" ref="DO80:DO101" si="564">DN80*E80</f>
        <v>21911.4</v>
      </c>
      <c r="DP80" s="82"/>
      <c r="DQ80" s="82"/>
      <c r="DR80" s="82">
        <f t="shared" ref="DR80:DR101" si="565">sum(DP80:DQ80)</f>
        <v>0</v>
      </c>
      <c r="DS80" s="82">
        <f t="shared" ref="DS80:DS101" si="566">DR80*AB80</f>
        <v>0</v>
      </c>
      <c r="DT80" s="82"/>
      <c r="DU80" s="82"/>
      <c r="DV80" s="82"/>
      <c r="DW80" s="82"/>
      <c r="DX80" s="82">
        <f t="shared" ref="DX80:DX101" si="567">sum(DT80:DW80)</f>
        <v>0</v>
      </c>
      <c r="DY80" s="82">
        <f t="shared" ref="DY80:DY101" si="568">DX80*AB80</f>
        <v>0</v>
      </c>
      <c r="DZ80" s="82">
        <f t="shared" ref="DZ80:DZ101" si="569">DN80+DR80-DX80</f>
        <v>6</v>
      </c>
      <c r="EA80" s="82">
        <f t="shared" ref="EA80:EA101" si="570">DZ80*E80</f>
        <v>21911.4</v>
      </c>
      <c r="EB80" s="82"/>
      <c r="EC80" s="82"/>
      <c r="ED80" s="82">
        <f t="shared" ref="ED80:ED101" si="571">sum(EB80:EC80)</f>
        <v>0</v>
      </c>
      <c r="EE80" s="82">
        <f t="shared" ref="EE80:EE101" si="572">ED80*AN80</f>
        <v>0</v>
      </c>
      <c r="EF80" s="82"/>
      <c r="EG80" s="82"/>
      <c r="EH80" s="82"/>
      <c r="EI80" s="82"/>
      <c r="EJ80" s="82">
        <f t="shared" ref="EJ80:EJ101" si="573">sum(EF80:EI80)</f>
        <v>0</v>
      </c>
      <c r="EK80" s="82">
        <f t="shared" ref="EK80:EK101" si="574">EJ80*AN80</f>
        <v>0</v>
      </c>
      <c r="EL80" s="82">
        <f t="shared" ref="EL80:EL101" si="575">DZ80+ED80-EJ80</f>
        <v>6</v>
      </c>
      <c r="EM80" s="82">
        <f t="shared" ref="EM80:EM101" si="576">EL80*E80</f>
        <v>21911.4</v>
      </c>
      <c r="EN80" s="82">
        <f t="shared" ref="EN80:EN101" si="577">DF80+DR80+ED80</f>
        <v>0</v>
      </c>
      <c r="EO80" s="82">
        <f t="shared" ref="EO80:EO101" si="578">DL80+DX80+EJ80</f>
        <v>0</v>
      </c>
      <c r="EP80" s="82">
        <f t="shared" ref="EP80:EP101" si="579">DA80+EN80-EO80</f>
        <v>6</v>
      </c>
      <c r="EQ80" s="82">
        <f t="shared" ref="EQ80:EQ101" si="580">EP80*E80</f>
        <v>21911.4</v>
      </c>
      <c r="ER80" s="82"/>
      <c r="ES80" s="82"/>
      <c r="ET80" s="82">
        <f t="shared" ref="ET80:ET101" si="581">sum(ER80:ES80)</f>
        <v>0</v>
      </c>
      <c r="EU80" s="82">
        <f t="shared" ref="EU80:EU101" si="582">ET80*BE80</f>
        <v>0</v>
      </c>
      <c r="EV80" s="82"/>
      <c r="EW80" s="82"/>
      <c r="EX80" s="82"/>
      <c r="EY80" s="82"/>
      <c r="EZ80" s="82">
        <f t="shared" ref="EZ80:EZ101" si="583">sum(EV80:EY80)</f>
        <v>0</v>
      </c>
      <c r="FA80" s="82">
        <f t="shared" ref="FA80:FA101" si="584">EZ80*BE80</f>
        <v>0</v>
      </c>
      <c r="FB80" s="82">
        <f t="shared" ref="FB80:FB101" si="585">EP80+ET80-EZ80</f>
        <v>6</v>
      </c>
      <c r="FC80" s="82">
        <f t="shared" ref="FC80:FC101" si="586">FB80*E80</f>
        <v>21911.4</v>
      </c>
      <c r="FD80" s="82"/>
      <c r="FE80" s="82"/>
      <c r="FF80" s="82">
        <f t="shared" ref="FF80:FF101" si="587">sum(FD80:FE80)</f>
        <v>0</v>
      </c>
      <c r="FG80" s="82">
        <f t="shared" ref="FG80:FG101" si="588">FF80*BW80</f>
        <v>0</v>
      </c>
      <c r="FH80" s="82"/>
      <c r="FI80" s="82"/>
      <c r="FJ80" s="82"/>
      <c r="FK80" s="82"/>
      <c r="FL80" s="82">
        <f t="shared" ref="FL80:FL101" si="589">sum(FH80:FK80)</f>
        <v>0</v>
      </c>
      <c r="FM80" s="82">
        <f t="shared" ref="FM80:FM101" si="590">FL80*BW80</f>
        <v>0</v>
      </c>
      <c r="FN80" s="82">
        <f t="shared" ref="FN80:FN101" si="591">FB80+FF80-FL80</f>
        <v>6</v>
      </c>
      <c r="FO80" s="82">
        <f t="shared" ref="FO80:FO101" si="592">FN80*E80</f>
        <v>21911.4</v>
      </c>
      <c r="FP80" s="82"/>
      <c r="FQ80" s="82"/>
      <c r="FR80" s="82">
        <f t="shared" ref="FR80:FR101" si="593">sum(FP80:FQ80)</f>
        <v>0</v>
      </c>
      <c r="FS80" s="82">
        <f t="shared" ref="FS80:FS101" si="594">FR80*CI80</f>
        <v>0</v>
      </c>
      <c r="FT80" s="82"/>
      <c r="FU80" s="82"/>
      <c r="FV80" s="82"/>
      <c r="FW80" s="82"/>
      <c r="FX80" s="82">
        <f t="shared" ref="FX80:FX101" si="595">sum(FT80:FW80)</f>
        <v>0</v>
      </c>
      <c r="FY80" s="82">
        <f t="shared" ref="FY80:FY101" si="596">FX80*CI80</f>
        <v>0</v>
      </c>
      <c r="FZ80" s="82">
        <f t="shared" ref="FZ80:FZ101" si="597">FN80+FR80-FX80</f>
        <v>6</v>
      </c>
      <c r="GA80" s="82">
        <f t="shared" ref="GA80:GA101" si="598">FZ80*E80</f>
        <v>21911.4</v>
      </c>
      <c r="GB80" s="82">
        <f t="shared" ref="GB80:GB101" si="599">ET80+FF80+FR80</f>
        <v>0</v>
      </c>
      <c r="GC80" s="82">
        <f t="shared" ref="GC80:GC101" si="600">EZ80+FL80+FX80</f>
        <v>0</v>
      </c>
      <c r="GD80" s="82">
        <f t="shared" ref="GD80:GD101" si="601">EP80+GB80-GC80</f>
        <v>6</v>
      </c>
      <c r="GE80" s="82">
        <f t="shared" ref="GE80:GE101" si="602">GD80*E80</f>
        <v>21911.4</v>
      </c>
      <c r="GF80" s="85"/>
    </row>
    <row r="81" ht="29.25" customHeight="1">
      <c r="A81" s="76">
        <v>43.0</v>
      </c>
      <c r="B81" s="87"/>
      <c r="C81" s="77" t="s">
        <v>159</v>
      </c>
      <c r="D81" s="78" t="s">
        <v>96</v>
      </c>
      <c r="E81" s="79">
        <v>2131.2</v>
      </c>
      <c r="F81" s="61"/>
      <c r="G81" s="81">
        <v>63.0</v>
      </c>
      <c r="H81" s="82">
        <v>134265.59999999998</v>
      </c>
      <c r="I81" s="82"/>
      <c r="J81" s="82"/>
      <c r="K81" s="82">
        <f t="shared" si="528"/>
        <v>0</v>
      </c>
      <c r="L81" s="82">
        <f t="shared" si="529"/>
        <v>0</v>
      </c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>
        <f t="shared" si="530"/>
        <v>0</v>
      </c>
      <c r="AC81" s="82">
        <f t="shared" si="531"/>
        <v>0</v>
      </c>
      <c r="AD81" s="82">
        <f t="shared" si="452"/>
        <v>63</v>
      </c>
      <c r="AE81" s="82">
        <f t="shared" si="532"/>
        <v>134265.6</v>
      </c>
      <c r="AF81" s="82"/>
      <c r="AG81" s="82"/>
      <c r="AH81" s="82">
        <f t="shared" si="533"/>
        <v>0</v>
      </c>
      <c r="AI81" s="82">
        <f t="shared" si="534"/>
        <v>0</v>
      </c>
      <c r="AJ81" s="82"/>
      <c r="AK81" s="82"/>
      <c r="AL81" s="82"/>
      <c r="AM81" s="82"/>
      <c r="AN81" s="82">
        <f t="shared" si="535"/>
        <v>0</v>
      </c>
      <c r="AO81" s="82">
        <f t="shared" si="536"/>
        <v>0</v>
      </c>
      <c r="AP81" s="82">
        <f t="shared" si="458"/>
        <v>63</v>
      </c>
      <c r="AQ81" s="82">
        <f t="shared" si="537"/>
        <v>134265.6</v>
      </c>
      <c r="AR81" s="82"/>
      <c r="AS81" s="82"/>
      <c r="AT81" s="82"/>
      <c r="AU81" s="82">
        <f t="shared" si="538"/>
        <v>0</v>
      </c>
      <c r="AV81" s="82">
        <f t="shared" si="539"/>
        <v>0</v>
      </c>
      <c r="AW81" s="82"/>
      <c r="AX81" s="82"/>
      <c r="AY81" s="82"/>
      <c r="AZ81" s="82"/>
      <c r="BA81" s="82">
        <f t="shared" si="540"/>
        <v>0</v>
      </c>
      <c r="BB81" s="82">
        <f t="shared" si="541"/>
        <v>0</v>
      </c>
      <c r="BC81" s="82">
        <f t="shared" si="464"/>
        <v>63</v>
      </c>
      <c r="BD81" s="82">
        <f t="shared" si="542"/>
        <v>134265.6</v>
      </c>
      <c r="BE81" s="82">
        <f t="shared" si="543"/>
        <v>0</v>
      </c>
      <c r="BF81" s="82">
        <f t="shared" si="544"/>
        <v>0</v>
      </c>
      <c r="BG81" s="82">
        <f t="shared" si="468"/>
        <v>63</v>
      </c>
      <c r="BH81" s="82">
        <f t="shared" si="545"/>
        <v>134265.6</v>
      </c>
      <c r="BI81" s="82"/>
      <c r="BJ81" s="83"/>
      <c r="BK81" s="82">
        <f t="shared" si="546"/>
        <v>0</v>
      </c>
      <c r="BL81" s="82">
        <f t="shared" si="547"/>
        <v>0</v>
      </c>
      <c r="BM81" s="83">
        <v>63.0</v>
      </c>
      <c r="BN81" s="82"/>
      <c r="BO81" s="82"/>
      <c r="BP81" s="82"/>
      <c r="BQ81" s="82"/>
      <c r="BR81" s="82"/>
      <c r="BS81" s="82"/>
      <c r="BT81" s="82"/>
      <c r="BU81" s="82"/>
      <c r="BV81" s="82"/>
      <c r="BW81" s="82">
        <f t="shared" si="548"/>
        <v>63</v>
      </c>
      <c r="BX81" s="82">
        <f t="shared" si="549"/>
        <v>134265.6</v>
      </c>
      <c r="BY81" s="82">
        <f t="shared" si="474"/>
        <v>0</v>
      </c>
      <c r="BZ81" s="82">
        <f t="shared" si="550"/>
        <v>0</v>
      </c>
      <c r="CA81" s="82"/>
      <c r="CB81" s="82"/>
      <c r="CC81" s="82">
        <f t="shared" si="551"/>
        <v>0</v>
      </c>
      <c r="CD81" s="82">
        <f t="shared" si="552"/>
        <v>0</v>
      </c>
      <c r="CE81" s="82"/>
      <c r="CF81" s="82"/>
      <c r="CG81" s="82"/>
      <c r="CH81" s="82"/>
      <c r="CI81" s="82">
        <f t="shared" si="553"/>
        <v>0</v>
      </c>
      <c r="CJ81" s="82">
        <f t="shared" si="554"/>
        <v>0</v>
      </c>
      <c r="CK81" s="82">
        <f t="shared" si="480"/>
        <v>0</v>
      </c>
      <c r="CL81" s="82">
        <f t="shared" si="555"/>
        <v>0</v>
      </c>
      <c r="CM81" s="82"/>
      <c r="CN81" s="82"/>
      <c r="CO81" s="82">
        <f t="shared" si="35"/>
        <v>0</v>
      </c>
      <c r="CP81" s="82">
        <f t="shared" si="36"/>
        <v>0</v>
      </c>
      <c r="CQ81" s="82"/>
      <c r="CR81" s="82"/>
      <c r="CS81" s="82"/>
      <c r="CT81" s="82"/>
      <c r="CU81" s="82">
        <f t="shared" si="556"/>
        <v>0</v>
      </c>
      <c r="CV81" s="82">
        <f t="shared" si="557"/>
        <v>0</v>
      </c>
      <c r="CW81" s="82">
        <f t="shared" si="39"/>
        <v>0</v>
      </c>
      <c r="CX81" s="82">
        <f t="shared" si="558"/>
        <v>0</v>
      </c>
      <c r="CY81" s="82">
        <f t="shared" si="41"/>
        <v>0</v>
      </c>
      <c r="CZ81" s="82">
        <f t="shared" si="345"/>
        <v>63</v>
      </c>
      <c r="DA81" s="82">
        <f t="shared" si="43"/>
        <v>0</v>
      </c>
      <c r="DB81" s="82">
        <f t="shared" si="44"/>
        <v>0</v>
      </c>
      <c r="DC81" s="91"/>
      <c r="DD81" s="82"/>
      <c r="DE81" s="82"/>
      <c r="DF81" s="82">
        <f t="shared" si="559"/>
        <v>0</v>
      </c>
      <c r="DG81" s="82">
        <f t="shared" si="560"/>
        <v>0</v>
      </c>
      <c r="DH81" s="82"/>
      <c r="DI81" s="82"/>
      <c r="DJ81" s="82"/>
      <c r="DK81" s="82"/>
      <c r="DL81" s="82">
        <f t="shared" si="561"/>
        <v>0</v>
      </c>
      <c r="DM81" s="82">
        <f t="shared" si="562"/>
        <v>0</v>
      </c>
      <c r="DN81" s="82">
        <f t="shared" si="563"/>
        <v>0</v>
      </c>
      <c r="DO81" s="82">
        <f t="shared" si="564"/>
        <v>0</v>
      </c>
      <c r="DP81" s="82"/>
      <c r="DQ81" s="82"/>
      <c r="DR81" s="82">
        <f t="shared" si="565"/>
        <v>0</v>
      </c>
      <c r="DS81" s="82">
        <f t="shared" si="566"/>
        <v>0</v>
      </c>
      <c r="DT81" s="82"/>
      <c r="DU81" s="82"/>
      <c r="DV81" s="82"/>
      <c r="DW81" s="82"/>
      <c r="DX81" s="82">
        <f t="shared" si="567"/>
        <v>0</v>
      </c>
      <c r="DY81" s="82">
        <f t="shared" si="568"/>
        <v>0</v>
      </c>
      <c r="DZ81" s="82">
        <f t="shared" si="569"/>
        <v>0</v>
      </c>
      <c r="EA81" s="82">
        <f t="shared" si="570"/>
        <v>0</v>
      </c>
      <c r="EB81" s="82"/>
      <c r="EC81" s="82"/>
      <c r="ED81" s="82">
        <f t="shared" si="571"/>
        <v>0</v>
      </c>
      <c r="EE81" s="82">
        <f t="shared" si="572"/>
        <v>0</v>
      </c>
      <c r="EF81" s="82"/>
      <c r="EG81" s="82"/>
      <c r="EH81" s="82"/>
      <c r="EI81" s="82"/>
      <c r="EJ81" s="82">
        <f t="shared" si="573"/>
        <v>0</v>
      </c>
      <c r="EK81" s="82">
        <f t="shared" si="574"/>
        <v>0</v>
      </c>
      <c r="EL81" s="82">
        <f t="shared" si="575"/>
        <v>0</v>
      </c>
      <c r="EM81" s="82">
        <f t="shared" si="576"/>
        <v>0</v>
      </c>
      <c r="EN81" s="82">
        <f t="shared" si="577"/>
        <v>0</v>
      </c>
      <c r="EO81" s="82">
        <f t="shared" si="578"/>
        <v>0</v>
      </c>
      <c r="EP81" s="82">
        <f t="shared" si="579"/>
        <v>0</v>
      </c>
      <c r="EQ81" s="82">
        <f t="shared" si="580"/>
        <v>0</v>
      </c>
      <c r="ER81" s="82"/>
      <c r="ES81" s="82"/>
      <c r="ET81" s="82">
        <f t="shared" si="581"/>
        <v>0</v>
      </c>
      <c r="EU81" s="82">
        <f t="shared" si="582"/>
        <v>0</v>
      </c>
      <c r="EV81" s="82"/>
      <c r="EW81" s="82"/>
      <c r="EX81" s="82"/>
      <c r="EY81" s="82"/>
      <c r="EZ81" s="82">
        <f t="shared" si="583"/>
        <v>0</v>
      </c>
      <c r="FA81" s="82">
        <f t="shared" si="584"/>
        <v>0</v>
      </c>
      <c r="FB81" s="82">
        <f t="shared" si="585"/>
        <v>0</v>
      </c>
      <c r="FC81" s="82">
        <f t="shared" si="586"/>
        <v>0</v>
      </c>
      <c r="FD81" s="82"/>
      <c r="FE81" s="82"/>
      <c r="FF81" s="82">
        <f t="shared" si="587"/>
        <v>0</v>
      </c>
      <c r="FG81" s="82">
        <f t="shared" si="588"/>
        <v>0</v>
      </c>
      <c r="FH81" s="82"/>
      <c r="FI81" s="82"/>
      <c r="FJ81" s="82"/>
      <c r="FK81" s="82"/>
      <c r="FL81" s="82">
        <f t="shared" si="589"/>
        <v>0</v>
      </c>
      <c r="FM81" s="82">
        <f t="shared" si="590"/>
        <v>0</v>
      </c>
      <c r="FN81" s="82">
        <f t="shared" si="591"/>
        <v>0</v>
      </c>
      <c r="FO81" s="82">
        <f t="shared" si="592"/>
        <v>0</v>
      </c>
      <c r="FP81" s="82"/>
      <c r="FQ81" s="82"/>
      <c r="FR81" s="82">
        <f t="shared" si="593"/>
        <v>0</v>
      </c>
      <c r="FS81" s="82">
        <f t="shared" si="594"/>
        <v>0</v>
      </c>
      <c r="FT81" s="82"/>
      <c r="FU81" s="82"/>
      <c r="FV81" s="82"/>
      <c r="FW81" s="82"/>
      <c r="FX81" s="82">
        <f t="shared" si="595"/>
        <v>0</v>
      </c>
      <c r="FY81" s="82">
        <f t="shared" si="596"/>
        <v>0</v>
      </c>
      <c r="FZ81" s="82">
        <f t="shared" si="597"/>
        <v>0</v>
      </c>
      <c r="GA81" s="82">
        <f t="shared" si="598"/>
        <v>0</v>
      </c>
      <c r="GB81" s="82">
        <f t="shared" si="599"/>
        <v>0</v>
      </c>
      <c r="GC81" s="82">
        <f t="shared" si="600"/>
        <v>0</v>
      </c>
      <c r="GD81" s="82">
        <f t="shared" si="601"/>
        <v>0</v>
      </c>
      <c r="GE81" s="82">
        <f t="shared" si="602"/>
        <v>0</v>
      </c>
      <c r="GF81" s="85"/>
    </row>
    <row r="82" ht="29.25" customHeight="1">
      <c r="A82" s="16"/>
      <c r="B82" s="16"/>
      <c r="C82" s="16"/>
      <c r="D82" s="78" t="s">
        <v>96</v>
      </c>
      <c r="E82" s="86">
        <v>2432.0</v>
      </c>
      <c r="F82" s="80" t="s">
        <v>86</v>
      </c>
      <c r="G82" s="81">
        <v>100.0</v>
      </c>
      <c r="H82" s="82">
        <v>243200.0</v>
      </c>
      <c r="I82" s="82"/>
      <c r="J82" s="82"/>
      <c r="K82" s="82">
        <f t="shared" si="528"/>
        <v>0</v>
      </c>
      <c r="L82" s="82">
        <f t="shared" si="529"/>
        <v>0</v>
      </c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>
        <f t="shared" si="530"/>
        <v>0</v>
      </c>
      <c r="AC82" s="82">
        <f t="shared" si="531"/>
        <v>0</v>
      </c>
      <c r="AD82" s="82">
        <f t="shared" si="452"/>
        <v>100</v>
      </c>
      <c r="AE82" s="82">
        <f t="shared" si="532"/>
        <v>243200</v>
      </c>
      <c r="AF82" s="82"/>
      <c r="AG82" s="82"/>
      <c r="AH82" s="82">
        <f t="shared" si="533"/>
        <v>0</v>
      </c>
      <c r="AI82" s="82">
        <f t="shared" si="534"/>
        <v>0</v>
      </c>
      <c r="AJ82" s="82"/>
      <c r="AK82" s="82"/>
      <c r="AL82" s="82"/>
      <c r="AM82" s="82"/>
      <c r="AN82" s="82">
        <f t="shared" si="535"/>
        <v>0</v>
      </c>
      <c r="AO82" s="82">
        <f t="shared" si="536"/>
        <v>0</v>
      </c>
      <c r="AP82" s="82">
        <f t="shared" si="458"/>
        <v>100</v>
      </c>
      <c r="AQ82" s="82">
        <f t="shared" si="537"/>
        <v>243200</v>
      </c>
      <c r="AR82" s="82"/>
      <c r="AS82" s="82"/>
      <c r="AT82" s="82"/>
      <c r="AU82" s="82">
        <f t="shared" si="538"/>
        <v>0</v>
      </c>
      <c r="AV82" s="82">
        <f t="shared" si="539"/>
        <v>0</v>
      </c>
      <c r="AW82" s="82"/>
      <c r="AX82" s="82"/>
      <c r="AY82" s="82"/>
      <c r="AZ82" s="82"/>
      <c r="BA82" s="82">
        <f t="shared" si="540"/>
        <v>0</v>
      </c>
      <c r="BB82" s="82">
        <f t="shared" si="541"/>
        <v>0</v>
      </c>
      <c r="BC82" s="82">
        <f t="shared" si="464"/>
        <v>100</v>
      </c>
      <c r="BD82" s="82">
        <f t="shared" si="542"/>
        <v>243200</v>
      </c>
      <c r="BE82" s="82">
        <f t="shared" si="543"/>
        <v>0</v>
      </c>
      <c r="BF82" s="82">
        <f t="shared" si="544"/>
        <v>0</v>
      </c>
      <c r="BG82" s="82">
        <f t="shared" si="468"/>
        <v>100</v>
      </c>
      <c r="BH82" s="82">
        <f t="shared" si="545"/>
        <v>243200</v>
      </c>
      <c r="BI82" s="82"/>
      <c r="BJ82" s="83"/>
      <c r="BK82" s="82">
        <f t="shared" si="546"/>
        <v>0</v>
      </c>
      <c r="BL82" s="82">
        <f t="shared" si="547"/>
        <v>0</v>
      </c>
      <c r="BM82" s="83">
        <v>63.0</v>
      </c>
      <c r="BN82" s="82"/>
      <c r="BO82" s="82"/>
      <c r="BP82" s="82"/>
      <c r="BQ82" s="82"/>
      <c r="BR82" s="82"/>
      <c r="BS82" s="83">
        <v>37.0</v>
      </c>
      <c r="BT82" s="82"/>
      <c r="BU82" s="82"/>
      <c r="BV82" s="82"/>
      <c r="BW82" s="82">
        <f t="shared" si="548"/>
        <v>100</v>
      </c>
      <c r="BX82" s="82">
        <f t="shared" si="549"/>
        <v>243200</v>
      </c>
      <c r="BY82" s="82">
        <f t="shared" si="474"/>
        <v>0</v>
      </c>
      <c r="BZ82" s="82">
        <f t="shared" si="550"/>
        <v>0</v>
      </c>
      <c r="CA82" s="82"/>
      <c r="CB82" s="82"/>
      <c r="CC82" s="82">
        <f t="shared" si="551"/>
        <v>0</v>
      </c>
      <c r="CD82" s="82">
        <f t="shared" si="552"/>
        <v>0</v>
      </c>
      <c r="CE82" s="82"/>
      <c r="CF82" s="82"/>
      <c r="CG82" s="82"/>
      <c r="CH82" s="82"/>
      <c r="CI82" s="82">
        <f t="shared" si="553"/>
        <v>0</v>
      </c>
      <c r="CJ82" s="82">
        <f t="shared" si="554"/>
        <v>0</v>
      </c>
      <c r="CK82" s="82">
        <f t="shared" si="480"/>
        <v>0</v>
      </c>
      <c r="CL82" s="82">
        <f t="shared" si="555"/>
        <v>0</v>
      </c>
      <c r="CM82" s="82"/>
      <c r="CN82" s="82"/>
      <c r="CO82" s="82">
        <f t="shared" si="35"/>
        <v>0</v>
      </c>
      <c r="CP82" s="82">
        <f t="shared" si="36"/>
        <v>0</v>
      </c>
      <c r="CQ82" s="82"/>
      <c r="CR82" s="82"/>
      <c r="CS82" s="82"/>
      <c r="CT82" s="82"/>
      <c r="CU82" s="82">
        <f t="shared" si="556"/>
        <v>0</v>
      </c>
      <c r="CV82" s="82">
        <f t="shared" si="557"/>
        <v>0</v>
      </c>
      <c r="CW82" s="82">
        <f t="shared" si="39"/>
        <v>0</v>
      </c>
      <c r="CX82" s="82">
        <f t="shared" si="558"/>
        <v>0</v>
      </c>
      <c r="CY82" s="82">
        <f t="shared" si="41"/>
        <v>0</v>
      </c>
      <c r="CZ82" s="82">
        <f t="shared" si="345"/>
        <v>100</v>
      </c>
      <c r="DA82" s="82">
        <f t="shared" si="43"/>
        <v>0</v>
      </c>
      <c r="DB82" s="82">
        <f t="shared" si="44"/>
        <v>0</v>
      </c>
      <c r="DC82" s="91"/>
      <c r="DD82" s="82"/>
      <c r="DE82" s="82"/>
      <c r="DF82" s="82">
        <f t="shared" si="559"/>
        <v>0</v>
      </c>
      <c r="DG82" s="82">
        <f t="shared" si="560"/>
        <v>0</v>
      </c>
      <c r="DH82" s="82"/>
      <c r="DI82" s="82"/>
      <c r="DJ82" s="82"/>
      <c r="DK82" s="82"/>
      <c r="DL82" s="82">
        <f t="shared" si="561"/>
        <v>0</v>
      </c>
      <c r="DM82" s="82">
        <f t="shared" si="562"/>
        <v>0</v>
      </c>
      <c r="DN82" s="82">
        <f t="shared" si="563"/>
        <v>0</v>
      </c>
      <c r="DO82" s="82">
        <f t="shared" si="564"/>
        <v>0</v>
      </c>
      <c r="DP82" s="82"/>
      <c r="DQ82" s="82"/>
      <c r="DR82" s="82">
        <f t="shared" si="565"/>
        <v>0</v>
      </c>
      <c r="DS82" s="82">
        <f t="shared" si="566"/>
        <v>0</v>
      </c>
      <c r="DT82" s="82"/>
      <c r="DU82" s="82"/>
      <c r="DV82" s="82"/>
      <c r="DW82" s="82"/>
      <c r="DX82" s="82">
        <f t="shared" si="567"/>
        <v>0</v>
      </c>
      <c r="DY82" s="82">
        <f t="shared" si="568"/>
        <v>0</v>
      </c>
      <c r="DZ82" s="82">
        <f t="shared" si="569"/>
        <v>0</v>
      </c>
      <c r="EA82" s="82">
        <f t="shared" si="570"/>
        <v>0</v>
      </c>
      <c r="EB82" s="82"/>
      <c r="EC82" s="82"/>
      <c r="ED82" s="82">
        <f t="shared" si="571"/>
        <v>0</v>
      </c>
      <c r="EE82" s="82">
        <f t="shared" si="572"/>
        <v>0</v>
      </c>
      <c r="EF82" s="82"/>
      <c r="EG82" s="82"/>
      <c r="EH82" s="82"/>
      <c r="EI82" s="82"/>
      <c r="EJ82" s="82">
        <f t="shared" si="573"/>
        <v>0</v>
      </c>
      <c r="EK82" s="82">
        <f t="shared" si="574"/>
        <v>0</v>
      </c>
      <c r="EL82" s="82">
        <f t="shared" si="575"/>
        <v>0</v>
      </c>
      <c r="EM82" s="82">
        <f t="shared" si="576"/>
        <v>0</v>
      </c>
      <c r="EN82" s="82">
        <f t="shared" si="577"/>
        <v>0</v>
      </c>
      <c r="EO82" s="82">
        <f t="shared" si="578"/>
        <v>0</v>
      </c>
      <c r="EP82" s="82">
        <f t="shared" si="579"/>
        <v>0</v>
      </c>
      <c r="EQ82" s="82">
        <f t="shared" si="580"/>
        <v>0</v>
      </c>
      <c r="ER82" s="82"/>
      <c r="ES82" s="82"/>
      <c r="ET82" s="82">
        <f t="shared" si="581"/>
        <v>0</v>
      </c>
      <c r="EU82" s="82">
        <f t="shared" si="582"/>
        <v>0</v>
      </c>
      <c r="EV82" s="82"/>
      <c r="EW82" s="82"/>
      <c r="EX82" s="82"/>
      <c r="EY82" s="82"/>
      <c r="EZ82" s="82">
        <f t="shared" si="583"/>
        <v>0</v>
      </c>
      <c r="FA82" s="82">
        <f t="shared" si="584"/>
        <v>0</v>
      </c>
      <c r="FB82" s="82">
        <f t="shared" si="585"/>
        <v>0</v>
      </c>
      <c r="FC82" s="82">
        <f t="shared" si="586"/>
        <v>0</v>
      </c>
      <c r="FD82" s="82"/>
      <c r="FE82" s="82"/>
      <c r="FF82" s="82">
        <f t="shared" si="587"/>
        <v>0</v>
      </c>
      <c r="FG82" s="82">
        <f t="shared" si="588"/>
        <v>0</v>
      </c>
      <c r="FH82" s="82"/>
      <c r="FI82" s="82"/>
      <c r="FJ82" s="82"/>
      <c r="FK82" s="82"/>
      <c r="FL82" s="82">
        <f t="shared" si="589"/>
        <v>0</v>
      </c>
      <c r="FM82" s="82">
        <f t="shared" si="590"/>
        <v>0</v>
      </c>
      <c r="FN82" s="82">
        <f t="shared" si="591"/>
        <v>0</v>
      </c>
      <c r="FO82" s="82">
        <f t="shared" si="592"/>
        <v>0</v>
      </c>
      <c r="FP82" s="82"/>
      <c r="FQ82" s="82"/>
      <c r="FR82" s="82">
        <f t="shared" si="593"/>
        <v>0</v>
      </c>
      <c r="FS82" s="82">
        <f t="shared" si="594"/>
        <v>0</v>
      </c>
      <c r="FT82" s="82"/>
      <c r="FU82" s="82"/>
      <c r="FV82" s="82"/>
      <c r="FW82" s="82"/>
      <c r="FX82" s="82">
        <f t="shared" si="595"/>
        <v>0</v>
      </c>
      <c r="FY82" s="82">
        <f t="shared" si="596"/>
        <v>0</v>
      </c>
      <c r="FZ82" s="82">
        <f t="shared" si="597"/>
        <v>0</v>
      </c>
      <c r="GA82" s="82">
        <f t="shared" si="598"/>
        <v>0</v>
      </c>
      <c r="GB82" s="82">
        <f t="shared" si="599"/>
        <v>0</v>
      </c>
      <c r="GC82" s="82">
        <f t="shared" si="600"/>
        <v>0</v>
      </c>
      <c r="GD82" s="82">
        <f t="shared" si="601"/>
        <v>0</v>
      </c>
      <c r="GE82" s="82">
        <f t="shared" si="602"/>
        <v>0</v>
      </c>
      <c r="GF82" s="85"/>
    </row>
    <row r="83" ht="29.25" customHeight="1">
      <c r="A83" s="16"/>
      <c r="B83" s="16"/>
      <c r="C83" s="16"/>
      <c r="D83" s="78" t="s">
        <v>96</v>
      </c>
      <c r="E83" s="79">
        <v>2109.0</v>
      </c>
      <c r="F83" s="80" t="s">
        <v>94</v>
      </c>
      <c r="G83" s="93">
        <v>850.0</v>
      </c>
      <c r="H83" s="94">
        <v>1792650.0</v>
      </c>
      <c r="I83" s="82"/>
      <c r="J83" s="82"/>
      <c r="K83" s="82">
        <f t="shared" si="528"/>
        <v>0</v>
      </c>
      <c r="L83" s="82">
        <f t="shared" si="529"/>
        <v>0</v>
      </c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>
        <f t="shared" si="530"/>
        <v>0</v>
      </c>
      <c r="AC83" s="82">
        <f t="shared" si="531"/>
        <v>0</v>
      </c>
      <c r="AD83" s="82">
        <f t="shared" si="452"/>
        <v>850</v>
      </c>
      <c r="AE83" s="82">
        <f t="shared" si="532"/>
        <v>1792650</v>
      </c>
      <c r="AF83" s="82"/>
      <c r="AG83" s="82"/>
      <c r="AH83" s="82">
        <f t="shared" si="533"/>
        <v>0</v>
      </c>
      <c r="AI83" s="82">
        <f t="shared" si="534"/>
        <v>0</v>
      </c>
      <c r="AJ83" s="82"/>
      <c r="AK83" s="82"/>
      <c r="AL83" s="82"/>
      <c r="AM83" s="82"/>
      <c r="AN83" s="82">
        <f t="shared" si="535"/>
        <v>0</v>
      </c>
      <c r="AO83" s="82">
        <f t="shared" si="536"/>
        <v>0</v>
      </c>
      <c r="AP83" s="82">
        <f t="shared" si="458"/>
        <v>850</v>
      </c>
      <c r="AQ83" s="82">
        <f t="shared" si="537"/>
        <v>1792650</v>
      </c>
      <c r="AR83" s="82"/>
      <c r="AS83" s="82"/>
      <c r="AT83" s="82"/>
      <c r="AU83" s="82">
        <f t="shared" si="538"/>
        <v>0</v>
      </c>
      <c r="AV83" s="82">
        <f t="shared" si="539"/>
        <v>0</v>
      </c>
      <c r="AW83" s="82"/>
      <c r="AX83" s="82"/>
      <c r="AY83" s="82"/>
      <c r="AZ83" s="82"/>
      <c r="BA83" s="82">
        <f t="shared" si="540"/>
        <v>0</v>
      </c>
      <c r="BB83" s="82">
        <f t="shared" si="541"/>
        <v>0</v>
      </c>
      <c r="BC83" s="82">
        <f t="shared" si="464"/>
        <v>850</v>
      </c>
      <c r="BD83" s="82">
        <f t="shared" si="542"/>
        <v>1792650</v>
      </c>
      <c r="BE83" s="82">
        <f t="shared" si="543"/>
        <v>0</v>
      </c>
      <c r="BF83" s="82">
        <f t="shared" si="544"/>
        <v>0</v>
      </c>
      <c r="BG83" s="82">
        <f t="shared" si="468"/>
        <v>850</v>
      </c>
      <c r="BH83" s="82">
        <f t="shared" si="545"/>
        <v>1792650</v>
      </c>
      <c r="BI83" s="82"/>
      <c r="BJ83" s="83"/>
      <c r="BK83" s="82">
        <f t="shared" si="546"/>
        <v>0</v>
      </c>
      <c r="BL83" s="82">
        <f t="shared" si="547"/>
        <v>0</v>
      </c>
      <c r="BM83" s="82"/>
      <c r="BN83" s="82"/>
      <c r="BO83" s="82"/>
      <c r="BP83" s="82"/>
      <c r="BQ83" s="82"/>
      <c r="BR83" s="82"/>
      <c r="BS83" s="83">
        <v>65.0</v>
      </c>
      <c r="BT83" s="82"/>
      <c r="BU83" s="82"/>
      <c r="BV83" s="82"/>
      <c r="BW83" s="82">
        <f t="shared" si="548"/>
        <v>65</v>
      </c>
      <c r="BX83" s="82">
        <f t="shared" si="549"/>
        <v>137085</v>
      </c>
      <c r="BY83" s="82">
        <f t="shared" si="474"/>
        <v>785</v>
      </c>
      <c r="BZ83" s="82">
        <f t="shared" si="550"/>
        <v>1655565</v>
      </c>
      <c r="CA83" s="82"/>
      <c r="CB83" s="82"/>
      <c r="CC83" s="82">
        <f t="shared" si="551"/>
        <v>0</v>
      </c>
      <c r="CD83" s="82">
        <f t="shared" si="552"/>
        <v>0</v>
      </c>
      <c r="CE83" s="82"/>
      <c r="CF83" s="82"/>
      <c r="CG83" s="82"/>
      <c r="CH83" s="82"/>
      <c r="CI83" s="82">
        <f t="shared" si="553"/>
        <v>0</v>
      </c>
      <c r="CJ83" s="82">
        <f t="shared" si="554"/>
        <v>0</v>
      </c>
      <c r="CK83" s="82">
        <f t="shared" si="480"/>
        <v>785</v>
      </c>
      <c r="CL83" s="82">
        <f t="shared" si="555"/>
        <v>1655565</v>
      </c>
      <c r="CM83" s="82"/>
      <c r="CN83" s="82"/>
      <c r="CO83" s="82">
        <f t="shared" si="35"/>
        <v>0</v>
      </c>
      <c r="CP83" s="82">
        <f t="shared" si="36"/>
        <v>0</v>
      </c>
      <c r="CQ83" s="82"/>
      <c r="CR83" s="82"/>
      <c r="CS83" s="82"/>
      <c r="CT83" s="82"/>
      <c r="CU83" s="82">
        <f t="shared" si="556"/>
        <v>0</v>
      </c>
      <c r="CV83" s="82">
        <f t="shared" si="557"/>
        <v>0</v>
      </c>
      <c r="CW83" s="82">
        <f t="shared" si="39"/>
        <v>785</v>
      </c>
      <c r="CX83" s="82">
        <f t="shared" si="558"/>
        <v>1655565</v>
      </c>
      <c r="CY83" s="82">
        <f t="shared" si="41"/>
        <v>0</v>
      </c>
      <c r="CZ83" s="82">
        <f t="shared" si="345"/>
        <v>65</v>
      </c>
      <c r="DA83" s="82">
        <f t="shared" si="43"/>
        <v>785</v>
      </c>
      <c r="DB83" s="82">
        <f t="shared" si="44"/>
        <v>1655565</v>
      </c>
      <c r="DC83" s="91"/>
      <c r="DD83" s="82"/>
      <c r="DE83" s="82"/>
      <c r="DF83" s="82">
        <f t="shared" si="559"/>
        <v>0</v>
      </c>
      <c r="DG83" s="82">
        <f t="shared" si="560"/>
        <v>0</v>
      </c>
      <c r="DH83" s="82"/>
      <c r="DI83" s="82"/>
      <c r="DJ83" s="82"/>
      <c r="DK83" s="82"/>
      <c r="DL83" s="82">
        <f t="shared" si="561"/>
        <v>0</v>
      </c>
      <c r="DM83" s="82">
        <f t="shared" si="562"/>
        <v>0</v>
      </c>
      <c r="DN83" s="82">
        <f t="shared" si="563"/>
        <v>785</v>
      </c>
      <c r="DO83" s="82">
        <f t="shared" si="564"/>
        <v>1655565</v>
      </c>
      <c r="DP83" s="82"/>
      <c r="DQ83" s="82"/>
      <c r="DR83" s="82">
        <f t="shared" si="565"/>
        <v>0</v>
      </c>
      <c r="DS83" s="82">
        <f t="shared" si="566"/>
        <v>0</v>
      </c>
      <c r="DT83" s="82"/>
      <c r="DU83" s="82"/>
      <c r="DV83" s="82"/>
      <c r="DW83" s="82"/>
      <c r="DX83" s="82">
        <f t="shared" si="567"/>
        <v>0</v>
      </c>
      <c r="DY83" s="82">
        <f t="shared" si="568"/>
        <v>0</v>
      </c>
      <c r="DZ83" s="82">
        <f t="shared" si="569"/>
        <v>785</v>
      </c>
      <c r="EA83" s="82">
        <f t="shared" si="570"/>
        <v>1655565</v>
      </c>
      <c r="EB83" s="82"/>
      <c r="EC83" s="82"/>
      <c r="ED83" s="82">
        <f t="shared" si="571"/>
        <v>0</v>
      </c>
      <c r="EE83" s="82">
        <f t="shared" si="572"/>
        <v>0</v>
      </c>
      <c r="EF83" s="82"/>
      <c r="EG83" s="82"/>
      <c r="EH83" s="82"/>
      <c r="EI83" s="82"/>
      <c r="EJ83" s="82">
        <f t="shared" si="573"/>
        <v>0</v>
      </c>
      <c r="EK83" s="82">
        <f t="shared" si="574"/>
        <v>0</v>
      </c>
      <c r="EL83" s="82">
        <f t="shared" si="575"/>
        <v>785</v>
      </c>
      <c r="EM83" s="82">
        <f t="shared" si="576"/>
        <v>1655565</v>
      </c>
      <c r="EN83" s="82">
        <f t="shared" si="577"/>
        <v>0</v>
      </c>
      <c r="EO83" s="82">
        <f t="shared" si="578"/>
        <v>0</v>
      </c>
      <c r="EP83" s="82">
        <f t="shared" si="579"/>
        <v>785</v>
      </c>
      <c r="EQ83" s="82">
        <f t="shared" si="580"/>
        <v>1655565</v>
      </c>
      <c r="ER83" s="82"/>
      <c r="ES83" s="82"/>
      <c r="ET83" s="82">
        <f t="shared" si="581"/>
        <v>0</v>
      </c>
      <c r="EU83" s="82">
        <f t="shared" si="582"/>
        <v>0</v>
      </c>
      <c r="EV83" s="82"/>
      <c r="EW83" s="82"/>
      <c r="EX83" s="82"/>
      <c r="EY83" s="82"/>
      <c r="EZ83" s="82">
        <f t="shared" si="583"/>
        <v>0</v>
      </c>
      <c r="FA83" s="82">
        <f t="shared" si="584"/>
        <v>0</v>
      </c>
      <c r="FB83" s="82">
        <f t="shared" si="585"/>
        <v>785</v>
      </c>
      <c r="FC83" s="82">
        <f t="shared" si="586"/>
        <v>1655565</v>
      </c>
      <c r="FD83" s="82"/>
      <c r="FE83" s="82"/>
      <c r="FF83" s="82">
        <f t="shared" si="587"/>
        <v>0</v>
      </c>
      <c r="FG83" s="82">
        <f t="shared" si="588"/>
        <v>0</v>
      </c>
      <c r="FH83" s="82"/>
      <c r="FI83" s="82"/>
      <c r="FJ83" s="82"/>
      <c r="FK83" s="82"/>
      <c r="FL83" s="82">
        <f t="shared" si="589"/>
        <v>0</v>
      </c>
      <c r="FM83" s="82">
        <f t="shared" si="590"/>
        <v>0</v>
      </c>
      <c r="FN83" s="82">
        <f t="shared" si="591"/>
        <v>785</v>
      </c>
      <c r="FO83" s="82">
        <f t="shared" si="592"/>
        <v>1655565</v>
      </c>
      <c r="FP83" s="82"/>
      <c r="FQ83" s="82"/>
      <c r="FR83" s="82">
        <f t="shared" si="593"/>
        <v>0</v>
      </c>
      <c r="FS83" s="82">
        <f t="shared" si="594"/>
        <v>0</v>
      </c>
      <c r="FT83" s="82"/>
      <c r="FU83" s="82"/>
      <c r="FV83" s="82"/>
      <c r="FW83" s="82"/>
      <c r="FX83" s="82">
        <f t="shared" si="595"/>
        <v>0</v>
      </c>
      <c r="FY83" s="82">
        <f t="shared" si="596"/>
        <v>0</v>
      </c>
      <c r="FZ83" s="82">
        <f t="shared" si="597"/>
        <v>785</v>
      </c>
      <c r="GA83" s="82">
        <f t="shared" si="598"/>
        <v>1655565</v>
      </c>
      <c r="GB83" s="82">
        <f t="shared" si="599"/>
        <v>0</v>
      </c>
      <c r="GC83" s="82">
        <f t="shared" si="600"/>
        <v>0</v>
      </c>
      <c r="GD83" s="82">
        <f t="shared" si="601"/>
        <v>785</v>
      </c>
      <c r="GE83" s="82">
        <f t="shared" si="602"/>
        <v>1655565</v>
      </c>
      <c r="GF83" s="95"/>
    </row>
    <row r="84" ht="29.25" customHeight="1">
      <c r="A84" s="76">
        <v>44.0</v>
      </c>
      <c r="B84" s="87"/>
      <c r="C84" s="77" t="s">
        <v>160</v>
      </c>
      <c r="D84" s="78" t="s">
        <v>96</v>
      </c>
      <c r="E84" s="79">
        <v>2286.6</v>
      </c>
      <c r="F84" s="61"/>
      <c r="G84" s="81">
        <v>281.0</v>
      </c>
      <c r="H84" s="82">
        <v>642534.6</v>
      </c>
      <c r="I84" s="82"/>
      <c r="J84" s="82"/>
      <c r="K84" s="82">
        <f t="shared" si="528"/>
        <v>0</v>
      </c>
      <c r="L84" s="82">
        <f t="shared" si="529"/>
        <v>0</v>
      </c>
      <c r="M84" s="82"/>
      <c r="N84" s="82"/>
      <c r="O84" s="82"/>
      <c r="P84" s="82"/>
      <c r="Q84" s="82"/>
      <c r="R84" s="82"/>
      <c r="S84" s="82"/>
      <c r="T84" s="82"/>
      <c r="U84" s="83">
        <v>3.0</v>
      </c>
      <c r="V84" s="83">
        <v>50.0</v>
      </c>
      <c r="W84" s="82"/>
      <c r="X84" s="82"/>
      <c r="Y84" s="82"/>
      <c r="Z84" s="82"/>
      <c r="AA84" s="82"/>
      <c r="AB84" s="82">
        <f t="shared" si="530"/>
        <v>53</v>
      </c>
      <c r="AC84" s="82">
        <f t="shared" si="531"/>
        <v>121189.8</v>
      </c>
      <c r="AD84" s="82">
        <f t="shared" si="452"/>
        <v>228</v>
      </c>
      <c r="AE84" s="82">
        <f t="shared" si="532"/>
        <v>521344.8</v>
      </c>
      <c r="AF84" s="82"/>
      <c r="AG84" s="82"/>
      <c r="AH84" s="82">
        <f t="shared" si="533"/>
        <v>0</v>
      </c>
      <c r="AI84" s="82">
        <f t="shared" si="534"/>
        <v>0</v>
      </c>
      <c r="AJ84" s="82"/>
      <c r="AK84" s="82"/>
      <c r="AL84" s="82"/>
      <c r="AM84" s="82"/>
      <c r="AN84" s="82">
        <f t="shared" si="535"/>
        <v>0</v>
      </c>
      <c r="AO84" s="82">
        <f t="shared" si="536"/>
        <v>0</v>
      </c>
      <c r="AP84" s="82">
        <f t="shared" si="458"/>
        <v>228</v>
      </c>
      <c r="AQ84" s="82">
        <f t="shared" si="537"/>
        <v>521344.8</v>
      </c>
      <c r="AR84" s="82"/>
      <c r="AS84" s="82"/>
      <c r="AT84" s="82"/>
      <c r="AU84" s="82">
        <f t="shared" si="538"/>
        <v>0</v>
      </c>
      <c r="AV84" s="82">
        <f t="shared" si="539"/>
        <v>0</v>
      </c>
      <c r="AW84" s="82"/>
      <c r="AX84" s="82"/>
      <c r="AY84" s="82"/>
      <c r="AZ84" s="82"/>
      <c r="BA84" s="82">
        <f t="shared" si="540"/>
        <v>0</v>
      </c>
      <c r="BB84" s="82">
        <f t="shared" si="541"/>
        <v>0</v>
      </c>
      <c r="BC84" s="82">
        <f t="shared" si="464"/>
        <v>228</v>
      </c>
      <c r="BD84" s="82">
        <f t="shared" si="542"/>
        <v>521344.8</v>
      </c>
      <c r="BE84" s="82">
        <f t="shared" si="543"/>
        <v>0</v>
      </c>
      <c r="BF84" s="82">
        <f t="shared" si="544"/>
        <v>53</v>
      </c>
      <c r="BG84" s="82">
        <f t="shared" si="468"/>
        <v>228</v>
      </c>
      <c r="BH84" s="82">
        <f t="shared" si="545"/>
        <v>521344.8</v>
      </c>
      <c r="BI84" s="82"/>
      <c r="BJ84" s="83"/>
      <c r="BK84" s="82">
        <f t="shared" si="546"/>
        <v>0</v>
      </c>
      <c r="BL84" s="82">
        <f t="shared" si="547"/>
        <v>0</v>
      </c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>
        <f t="shared" si="548"/>
        <v>0</v>
      </c>
      <c r="BX84" s="82">
        <f t="shared" si="549"/>
        <v>0</v>
      </c>
      <c r="BY84" s="82">
        <f t="shared" si="474"/>
        <v>228</v>
      </c>
      <c r="BZ84" s="82">
        <f t="shared" si="550"/>
        <v>521344.8</v>
      </c>
      <c r="CA84" s="82"/>
      <c r="CB84" s="82"/>
      <c r="CC84" s="82">
        <f t="shared" si="551"/>
        <v>0</v>
      </c>
      <c r="CD84" s="82">
        <f t="shared" si="552"/>
        <v>0</v>
      </c>
      <c r="CE84" s="82"/>
      <c r="CF84" s="82"/>
      <c r="CG84" s="82"/>
      <c r="CH84" s="82"/>
      <c r="CI84" s="82">
        <f t="shared" si="553"/>
        <v>0</v>
      </c>
      <c r="CJ84" s="82">
        <f t="shared" si="554"/>
        <v>0</v>
      </c>
      <c r="CK84" s="82">
        <f t="shared" si="480"/>
        <v>228</v>
      </c>
      <c r="CL84" s="82">
        <f t="shared" si="555"/>
        <v>521344.8</v>
      </c>
      <c r="CM84" s="82"/>
      <c r="CN84" s="82"/>
      <c r="CO84" s="82">
        <f t="shared" si="35"/>
        <v>0</v>
      </c>
      <c r="CP84" s="82">
        <f t="shared" si="36"/>
        <v>0</v>
      </c>
      <c r="CQ84" s="82"/>
      <c r="CR84" s="82"/>
      <c r="CS84" s="82"/>
      <c r="CT84" s="82"/>
      <c r="CU84" s="82">
        <f t="shared" si="556"/>
        <v>0</v>
      </c>
      <c r="CV84" s="82">
        <f t="shared" si="557"/>
        <v>0</v>
      </c>
      <c r="CW84" s="82">
        <f t="shared" si="39"/>
        <v>228</v>
      </c>
      <c r="CX84" s="82">
        <f t="shared" si="558"/>
        <v>521344.8</v>
      </c>
      <c r="CY84" s="82">
        <f t="shared" si="41"/>
        <v>0</v>
      </c>
      <c r="CZ84" s="82">
        <f t="shared" si="345"/>
        <v>0</v>
      </c>
      <c r="DA84" s="82">
        <f t="shared" si="43"/>
        <v>228</v>
      </c>
      <c r="DB84" s="82">
        <f t="shared" si="44"/>
        <v>521344.8</v>
      </c>
      <c r="DC84" s="91"/>
      <c r="DD84" s="82"/>
      <c r="DE84" s="82"/>
      <c r="DF84" s="82">
        <f t="shared" si="559"/>
        <v>0</v>
      </c>
      <c r="DG84" s="82">
        <f t="shared" si="560"/>
        <v>0</v>
      </c>
      <c r="DH84" s="82"/>
      <c r="DI84" s="82"/>
      <c r="DJ84" s="82"/>
      <c r="DK84" s="82"/>
      <c r="DL84" s="82">
        <f t="shared" si="561"/>
        <v>0</v>
      </c>
      <c r="DM84" s="82">
        <f t="shared" si="562"/>
        <v>0</v>
      </c>
      <c r="DN84" s="82">
        <f t="shared" si="563"/>
        <v>228</v>
      </c>
      <c r="DO84" s="82">
        <f t="shared" si="564"/>
        <v>521344.8</v>
      </c>
      <c r="DP84" s="82"/>
      <c r="DQ84" s="82"/>
      <c r="DR84" s="82">
        <f t="shared" si="565"/>
        <v>0</v>
      </c>
      <c r="DS84" s="82">
        <f t="shared" si="566"/>
        <v>0</v>
      </c>
      <c r="DT84" s="82"/>
      <c r="DU84" s="82"/>
      <c r="DV84" s="82"/>
      <c r="DW84" s="82"/>
      <c r="DX84" s="82">
        <f t="shared" si="567"/>
        <v>0</v>
      </c>
      <c r="DY84" s="82">
        <f t="shared" si="568"/>
        <v>0</v>
      </c>
      <c r="DZ84" s="82">
        <f t="shared" si="569"/>
        <v>228</v>
      </c>
      <c r="EA84" s="82">
        <f t="shared" si="570"/>
        <v>521344.8</v>
      </c>
      <c r="EB84" s="82"/>
      <c r="EC84" s="82"/>
      <c r="ED84" s="82">
        <f t="shared" si="571"/>
        <v>0</v>
      </c>
      <c r="EE84" s="82">
        <f t="shared" si="572"/>
        <v>0</v>
      </c>
      <c r="EF84" s="82"/>
      <c r="EG84" s="82"/>
      <c r="EH84" s="82"/>
      <c r="EI84" s="82"/>
      <c r="EJ84" s="82">
        <f t="shared" si="573"/>
        <v>0</v>
      </c>
      <c r="EK84" s="82">
        <f t="shared" si="574"/>
        <v>0</v>
      </c>
      <c r="EL84" s="82">
        <f t="shared" si="575"/>
        <v>228</v>
      </c>
      <c r="EM84" s="82">
        <f t="shared" si="576"/>
        <v>521344.8</v>
      </c>
      <c r="EN84" s="82">
        <f t="shared" si="577"/>
        <v>0</v>
      </c>
      <c r="EO84" s="82">
        <f t="shared" si="578"/>
        <v>0</v>
      </c>
      <c r="EP84" s="82">
        <f t="shared" si="579"/>
        <v>228</v>
      </c>
      <c r="EQ84" s="82">
        <f t="shared" si="580"/>
        <v>521344.8</v>
      </c>
      <c r="ER84" s="82"/>
      <c r="ES84" s="82"/>
      <c r="ET84" s="82">
        <f t="shared" si="581"/>
        <v>0</v>
      </c>
      <c r="EU84" s="82">
        <f t="shared" si="582"/>
        <v>0</v>
      </c>
      <c r="EV84" s="82"/>
      <c r="EW84" s="82"/>
      <c r="EX84" s="82"/>
      <c r="EY84" s="82"/>
      <c r="EZ84" s="82">
        <f t="shared" si="583"/>
        <v>0</v>
      </c>
      <c r="FA84" s="82">
        <f t="shared" si="584"/>
        <v>0</v>
      </c>
      <c r="FB84" s="82">
        <f t="shared" si="585"/>
        <v>228</v>
      </c>
      <c r="FC84" s="82">
        <f t="shared" si="586"/>
        <v>521344.8</v>
      </c>
      <c r="FD84" s="82"/>
      <c r="FE84" s="82"/>
      <c r="FF84" s="82">
        <f t="shared" si="587"/>
        <v>0</v>
      </c>
      <c r="FG84" s="82">
        <f t="shared" si="588"/>
        <v>0</v>
      </c>
      <c r="FH84" s="82"/>
      <c r="FI84" s="82"/>
      <c r="FJ84" s="82"/>
      <c r="FK84" s="82"/>
      <c r="FL84" s="82">
        <f t="shared" si="589"/>
        <v>0</v>
      </c>
      <c r="FM84" s="82">
        <f t="shared" si="590"/>
        <v>0</v>
      </c>
      <c r="FN84" s="82">
        <f t="shared" si="591"/>
        <v>228</v>
      </c>
      <c r="FO84" s="82">
        <f t="shared" si="592"/>
        <v>521344.8</v>
      </c>
      <c r="FP84" s="82"/>
      <c r="FQ84" s="82"/>
      <c r="FR84" s="82">
        <f t="shared" si="593"/>
        <v>0</v>
      </c>
      <c r="FS84" s="82">
        <f t="shared" si="594"/>
        <v>0</v>
      </c>
      <c r="FT84" s="82"/>
      <c r="FU84" s="82"/>
      <c r="FV84" s="82"/>
      <c r="FW84" s="82"/>
      <c r="FX84" s="82">
        <f t="shared" si="595"/>
        <v>0</v>
      </c>
      <c r="FY84" s="82">
        <f t="shared" si="596"/>
        <v>0</v>
      </c>
      <c r="FZ84" s="82">
        <f t="shared" si="597"/>
        <v>228</v>
      </c>
      <c r="GA84" s="82">
        <f t="shared" si="598"/>
        <v>521344.8</v>
      </c>
      <c r="GB84" s="82">
        <f t="shared" si="599"/>
        <v>0</v>
      </c>
      <c r="GC84" s="82">
        <f t="shared" si="600"/>
        <v>0</v>
      </c>
      <c r="GD84" s="82">
        <f t="shared" si="601"/>
        <v>228</v>
      </c>
      <c r="GE84" s="82">
        <f t="shared" si="602"/>
        <v>521344.8</v>
      </c>
      <c r="GF84" s="85"/>
    </row>
    <row r="85" ht="29.25" customHeight="1">
      <c r="A85" s="76">
        <v>45.0</v>
      </c>
      <c r="B85" s="87"/>
      <c r="C85" s="77" t="s">
        <v>161</v>
      </c>
      <c r="D85" s="78" t="s">
        <v>162</v>
      </c>
      <c r="E85" s="79">
        <v>52657.29</v>
      </c>
      <c r="F85" s="61" t="s">
        <v>163</v>
      </c>
      <c r="G85" s="81">
        <v>6.0</v>
      </c>
      <c r="H85" s="82">
        <v>315943.74</v>
      </c>
      <c r="I85" s="82"/>
      <c r="J85" s="82"/>
      <c r="K85" s="82">
        <f t="shared" si="528"/>
        <v>0</v>
      </c>
      <c r="L85" s="82">
        <f t="shared" si="529"/>
        <v>0</v>
      </c>
      <c r="M85" s="82"/>
      <c r="N85" s="83">
        <v>3.0</v>
      </c>
      <c r="O85" s="82"/>
      <c r="P85" s="82"/>
      <c r="Q85" s="82"/>
      <c r="R85" s="82"/>
      <c r="S85" s="82"/>
      <c r="T85" s="82"/>
      <c r="U85" s="82"/>
      <c r="V85" s="83">
        <v>2.0</v>
      </c>
      <c r="W85" s="82"/>
      <c r="X85" s="82"/>
      <c r="Y85" s="82"/>
      <c r="Z85" s="83">
        <v>1.0</v>
      </c>
      <c r="AA85" s="82"/>
      <c r="AB85" s="82">
        <f t="shared" si="530"/>
        <v>6</v>
      </c>
      <c r="AC85" s="82">
        <f t="shared" si="531"/>
        <v>315943.74</v>
      </c>
      <c r="AD85" s="82">
        <f t="shared" si="452"/>
        <v>0</v>
      </c>
      <c r="AE85" s="82">
        <f t="shared" si="532"/>
        <v>0</v>
      </c>
      <c r="AF85" s="82"/>
      <c r="AG85" s="82"/>
      <c r="AH85" s="82">
        <f t="shared" si="533"/>
        <v>0</v>
      </c>
      <c r="AI85" s="82">
        <f t="shared" si="534"/>
        <v>0</v>
      </c>
      <c r="AJ85" s="82"/>
      <c r="AK85" s="82"/>
      <c r="AL85" s="82"/>
      <c r="AM85" s="82"/>
      <c r="AN85" s="82">
        <f t="shared" si="535"/>
        <v>0</v>
      </c>
      <c r="AO85" s="82">
        <f t="shared" si="536"/>
        <v>0</v>
      </c>
      <c r="AP85" s="82">
        <f t="shared" si="458"/>
        <v>0</v>
      </c>
      <c r="AQ85" s="82">
        <f t="shared" si="537"/>
        <v>0</v>
      </c>
      <c r="AR85" s="82"/>
      <c r="AS85" s="82"/>
      <c r="AT85" s="82"/>
      <c r="AU85" s="82">
        <f t="shared" si="538"/>
        <v>0</v>
      </c>
      <c r="AV85" s="82">
        <f t="shared" si="539"/>
        <v>0</v>
      </c>
      <c r="AW85" s="82"/>
      <c r="AX85" s="82"/>
      <c r="AY85" s="82"/>
      <c r="AZ85" s="82"/>
      <c r="BA85" s="82">
        <f t="shared" si="540"/>
        <v>0</v>
      </c>
      <c r="BB85" s="82">
        <f t="shared" si="541"/>
        <v>0</v>
      </c>
      <c r="BC85" s="82">
        <f t="shared" si="464"/>
        <v>0</v>
      </c>
      <c r="BD85" s="82">
        <f t="shared" si="542"/>
        <v>0</v>
      </c>
      <c r="BE85" s="82">
        <f t="shared" si="543"/>
        <v>0</v>
      </c>
      <c r="BF85" s="82">
        <f t="shared" si="544"/>
        <v>6</v>
      </c>
      <c r="BG85" s="82">
        <f t="shared" si="468"/>
        <v>0</v>
      </c>
      <c r="BH85" s="82">
        <f t="shared" si="545"/>
        <v>0</v>
      </c>
      <c r="BI85" s="82"/>
      <c r="BJ85" s="83"/>
      <c r="BK85" s="82">
        <f t="shared" si="546"/>
        <v>0</v>
      </c>
      <c r="BL85" s="82">
        <f t="shared" si="547"/>
        <v>0</v>
      </c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>
        <f t="shared" si="548"/>
        <v>0</v>
      </c>
      <c r="BX85" s="82">
        <f t="shared" si="549"/>
        <v>0</v>
      </c>
      <c r="BY85" s="82">
        <f t="shared" si="474"/>
        <v>0</v>
      </c>
      <c r="BZ85" s="82">
        <f t="shared" si="550"/>
        <v>0</v>
      </c>
      <c r="CA85" s="82"/>
      <c r="CB85" s="82"/>
      <c r="CC85" s="82">
        <f t="shared" si="551"/>
        <v>0</v>
      </c>
      <c r="CD85" s="82">
        <f t="shared" si="552"/>
        <v>0</v>
      </c>
      <c r="CE85" s="82"/>
      <c r="CF85" s="82"/>
      <c r="CG85" s="82"/>
      <c r="CH85" s="82"/>
      <c r="CI85" s="82">
        <f t="shared" si="553"/>
        <v>0</v>
      </c>
      <c r="CJ85" s="82">
        <f t="shared" si="554"/>
        <v>0</v>
      </c>
      <c r="CK85" s="82">
        <f t="shared" si="480"/>
        <v>0</v>
      </c>
      <c r="CL85" s="82">
        <f t="shared" si="555"/>
        <v>0</v>
      </c>
      <c r="CM85" s="82"/>
      <c r="CN85" s="82"/>
      <c r="CO85" s="82">
        <f t="shared" si="35"/>
        <v>0</v>
      </c>
      <c r="CP85" s="82">
        <f t="shared" si="36"/>
        <v>0</v>
      </c>
      <c r="CQ85" s="82"/>
      <c r="CR85" s="82"/>
      <c r="CS85" s="82"/>
      <c r="CT85" s="82"/>
      <c r="CU85" s="82">
        <f t="shared" si="556"/>
        <v>0</v>
      </c>
      <c r="CV85" s="82">
        <f t="shared" si="557"/>
        <v>0</v>
      </c>
      <c r="CW85" s="82">
        <f t="shared" si="39"/>
        <v>0</v>
      </c>
      <c r="CX85" s="82">
        <f t="shared" si="558"/>
        <v>0</v>
      </c>
      <c r="CY85" s="82">
        <f t="shared" si="41"/>
        <v>0</v>
      </c>
      <c r="CZ85" s="82">
        <f t="shared" si="345"/>
        <v>0</v>
      </c>
      <c r="DA85" s="82">
        <f t="shared" si="43"/>
        <v>0</v>
      </c>
      <c r="DB85" s="82">
        <f t="shared" si="44"/>
        <v>0</v>
      </c>
      <c r="DC85" s="91"/>
      <c r="DD85" s="82"/>
      <c r="DE85" s="82"/>
      <c r="DF85" s="82">
        <f t="shared" si="559"/>
        <v>0</v>
      </c>
      <c r="DG85" s="82">
        <f t="shared" si="560"/>
        <v>0</v>
      </c>
      <c r="DH85" s="82"/>
      <c r="DI85" s="82"/>
      <c r="DJ85" s="82"/>
      <c r="DK85" s="82"/>
      <c r="DL85" s="82">
        <f t="shared" si="561"/>
        <v>0</v>
      </c>
      <c r="DM85" s="82">
        <f t="shared" si="562"/>
        <v>0</v>
      </c>
      <c r="DN85" s="82">
        <f t="shared" si="563"/>
        <v>0</v>
      </c>
      <c r="DO85" s="82">
        <f t="shared" si="564"/>
        <v>0</v>
      </c>
      <c r="DP85" s="82"/>
      <c r="DQ85" s="82"/>
      <c r="DR85" s="82">
        <f t="shared" si="565"/>
        <v>0</v>
      </c>
      <c r="DS85" s="82">
        <f t="shared" si="566"/>
        <v>0</v>
      </c>
      <c r="DT85" s="82"/>
      <c r="DU85" s="82"/>
      <c r="DV85" s="82"/>
      <c r="DW85" s="82"/>
      <c r="DX85" s="82">
        <f t="shared" si="567"/>
        <v>0</v>
      </c>
      <c r="DY85" s="82">
        <f t="shared" si="568"/>
        <v>0</v>
      </c>
      <c r="DZ85" s="82">
        <f t="shared" si="569"/>
        <v>0</v>
      </c>
      <c r="EA85" s="82">
        <f t="shared" si="570"/>
        <v>0</v>
      </c>
      <c r="EB85" s="82"/>
      <c r="EC85" s="82"/>
      <c r="ED85" s="82">
        <f t="shared" si="571"/>
        <v>0</v>
      </c>
      <c r="EE85" s="82">
        <f t="shared" si="572"/>
        <v>0</v>
      </c>
      <c r="EF85" s="82"/>
      <c r="EG85" s="82"/>
      <c r="EH85" s="82"/>
      <c r="EI85" s="82"/>
      <c r="EJ85" s="82">
        <f t="shared" si="573"/>
        <v>0</v>
      </c>
      <c r="EK85" s="82">
        <f t="shared" si="574"/>
        <v>0</v>
      </c>
      <c r="EL85" s="82">
        <f t="shared" si="575"/>
        <v>0</v>
      </c>
      <c r="EM85" s="82">
        <f t="shared" si="576"/>
        <v>0</v>
      </c>
      <c r="EN85" s="82">
        <f t="shared" si="577"/>
        <v>0</v>
      </c>
      <c r="EO85" s="82">
        <f t="shared" si="578"/>
        <v>0</v>
      </c>
      <c r="EP85" s="82">
        <f t="shared" si="579"/>
        <v>0</v>
      </c>
      <c r="EQ85" s="82">
        <f t="shared" si="580"/>
        <v>0</v>
      </c>
      <c r="ER85" s="82"/>
      <c r="ES85" s="82"/>
      <c r="ET85" s="82">
        <f t="shared" si="581"/>
        <v>0</v>
      </c>
      <c r="EU85" s="82">
        <f t="shared" si="582"/>
        <v>0</v>
      </c>
      <c r="EV85" s="82"/>
      <c r="EW85" s="82"/>
      <c r="EX85" s="82"/>
      <c r="EY85" s="82"/>
      <c r="EZ85" s="82">
        <f t="shared" si="583"/>
        <v>0</v>
      </c>
      <c r="FA85" s="82">
        <f t="shared" si="584"/>
        <v>0</v>
      </c>
      <c r="FB85" s="82">
        <f t="shared" si="585"/>
        <v>0</v>
      </c>
      <c r="FC85" s="82">
        <f t="shared" si="586"/>
        <v>0</v>
      </c>
      <c r="FD85" s="82"/>
      <c r="FE85" s="82"/>
      <c r="FF85" s="82">
        <f t="shared" si="587"/>
        <v>0</v>
      </c>
      <c r="FG85" s="82">
        <f t="shared" si="588"/>
        <v>0</v>
      </c>
      <c r="FH85" s="82"/>
      <c r="FI85" s="82"/>
      <c r="FJ85" s="82"/>
      <c r="FK85" s="82"/>
      <c r="FL85" s="82">
        <f t="shared" si="589"/>
        <v>0</v>
      </c>
      <c r="FM85" s="82">
        <f t="shared" si="590"/>
        <v>0</v>
      </c>
      <c r="FN85" s="82">
        <f t="shared" si="591"/>
        <v>0</v>
      </c>
      <c r="FO85" s="82">
        <f t="shared" si="592"/>
        <v>0</v>
      </c>
      <c r="FP85" s="82"/>
      <c r="FQ85" s="82"/>
      <c r="FR85" s="82">
        <f t="shared" si="593"/>
        <v>0</v>
      </c>
      <c r="FS85" s="82">
        <f t="shared" si="594"/>
        <v>0</v>
      </c>
      <c r="FT85" s="82"/>
      <c r="FU85" s="82"/>
      <c r="FV85" s="82"/>
      <c r="FW85" s="82"/>
      <c r="FX85" s="82">
        <f t="shared" si="595"/>
        <v>0</v>
      </c>
      <c r="FY85" s="82">
        <f t="shared" si="596"/>
        <v>0</v>
      </c>
      <c r="FZ85" s="82">
        <f t="shared" si="597"/>
        <v>0</v>
      </c>
      <c r="GA85" s="82">
        <f t="shared" si="598"/>
        <v>0</v>
      </c>
      <c r="GB85" s="82">
        <f t="shared" si="599"/>
        <v>0</v>
      </c>
      <c r="GC85" s="82">
        <f t="shared" si="600"/>
        <v>0</v>
      </c>
      <c r="GD85" s="82">
        <f t="shared" si="601"/>
        <v>0</v>
      </c>
      <c r="GE85" s="82">
        <f t="shared" si="602"/>
        <v>0</v>
      </c>
      <c r="GF85" s="85"/>
    </row>
    <row r="86" ht="29.25" customHeight="1">
      <c r="A86" s="16"/>
      <c r="B86" s="16"/>
      <c r="C86" s="16"/>
      <c r="D86" s="78" t="s">
        <v>162</v>
      </c>
      <c r="E86" s="79">
        <v>52170.0</v>
      </c>
      <c r="F86" s="61" t="s">
        <v>164</v>
      </c>
      <c r="G86" s="81">
        <v>6.0</v>
      </c>
      <c r="H86" s="82">
        <v>313020.0</v>
      </c>
      <c r="I86" s="82"/>
      <c r="J86" s="82"/>
      <c r="K86" s="82">
        <f t="shared" si="528"/>
        <v>0</v>
      </c>
      <c r="L86" s="82">
        <f t="shared" si="529"/>
        <v>0</v>
      </c>
      <c r="M86" s="82"/>
      <c r="N86" s="82"/>
      <c r="O86" s="82"/>
      <c r="P86" s="82"/>
      <c r="Q86" s="82"/>
      <c r="R86" s="82"/>
      <c r="S86" s="82"/>
      <c r="T86" s="82"/>
      <c r="U86" s="82"/>
      <c r="V86" s="83">
        <v>1.0</v>
      </c>
      <c r="W86" s="82"/>
      <c r="X86" s="82"/>
      <c r="Y86" s="82"/>
      <c r="Z86" s="82"/>
      <c r="AA86" s="82"/>
      <c r="AB86" s="82">
        <f t="shared" si="530"/>
        <v>1</v>
      </c>
      <c r="AC86" s="82">
        <f t="shared" si="531"/>
        <v>52170</v>
      </c>
      <c r="AD86" s="82">
        <f t="shared" si="452"/>
        <v>5</v>
      </c>
      <c r="AE86" s="82">
        <f t="shared" si="532"/>
        <v>260850</v>
      </c>
      <c r="AF86" s="82"/>
      <c r="AG86" s="82"/>
      <c r="AH86" s="82">
        <f t="shared" si="533"/>
        <v>0</v>
      </c>
      <c r="AI86" s="82">
        <f t="shared" si="534"/>
        <v>0</v>
      </c>
      <c r="AJ86" s="82"/>
      <c r="AK86" s="82"/>
      <c r="AL86" s="82"/>
      <c r="AM86" s="82"/>
      <c r="AN86" s="82">
        <f t="shared" si="535"/>
        <v>0</v>
      </c>
      <c r="AO86" s="82">
        <f t="shared" si="536"/>
        <v>0</v>
      </c>
      <c r="AP86" s="82">
        <f t="shared" si="458"/>
        <v>5</v>
      </c>
      <c r="AQ86" s="82">
        <f t="shared" si="537"/>
        <v>260850</v>
      </c>
      <c r="AR86" s="82"/>
      <c r="AS86" s="82"/>
      <c r="AT86" s="82"/>
      <c r="AU86" s="82">
        <f t="shared" si="538"/>
        <v>0</v>
      </c>
      <c r="AV86" s="82">
        <f t="shared" si="539"/>
        <v>0</v>
      </c>
      <c r="AW86" s="82"/>
      <c r="AX86" s="82"/>
      <c r="AY86" s="82"/>
      <c r="AZ86" s="82"/>
      <c r="BA86" s="82">
        <f t="shared" si="540"/>
        <v>0</v>
      </c>
      <c r="BB86" s="82">
        <f t="shared" si="541"/>
        <v>0</v>
      </c>
      <c r="BC86" s="82">
        <f t="shared" si="464"/>
        <v>5</v>
      </c>
      <c r="BD86" s="82">
        <f t="shared" si="542"/>
        <v>260850</v>
      </c>
      <c r="BE86" s="82">
        <f t="shared" si="543"/>
        <v>0</v>
      </c>
      <c r="BF86" s="82">
        <f t="shared" si="544"/>
        <v>1</v>
      </c>
      <c r="BG86" s="82">
        <f t="shared" si="468"/>
        <v>5</v>
      </c>
      <c r="BH86" s="82">
        <f t="shared" si="545"/>
        <v>260850</v>
      </c>
      <c r="BI86" s="82"/>
      <c r="BJ86" s="83"/>
      <c r="BK86" s="82">
        <f t="shared" si="546"/>
        <v>0</v>
      </c>
      <c r="BL86" s="82">
        <f t="shared" si="547"/>
        <v>0</v>
      </c>
      <c r="BM86" s="82"/>
      <c r="BN86" s="82"/>
      <c r="BO86" s="82"/>
      <c r="BP86" s="82"/>
      <c r="BQ86" s="82"/>
      <c r="BR86" s="83">
        <v>1.0</v>
      </c>
      <c r="BS86" s="83">
        <v>4.0</v>
      </c>
      <c r="BT86" s="82"/>
      <c r="BU86" s="82"/>
      <c r="BV86" s="83"/>
      <c r="BW86" s="82">
        <f t="shared" si="548"/>
        <v>5</v>
      </c>
      <c r="BX86" s="82">
        <f t="shared" si="549"/>
        <v>260850</v>
      </c>
      <c r="BY86" s="82">
        <f t="shared" si="474"/>
        <v>0</v>
      </c>
      <c r="BZ86" s="82">
        <f t="shared" si="550"/>
        <v>0</v>
      </c>
      <c r="CA86" s="82"/>
      <c r="CB86" s="82"/>
      <c r="CC86" s="82">
        <f t="shared" si="551"/>
        <v>0</v>
      </c>
      <c r="CD86" s="82">
        <f t="shared" si="552"/>
        <v>0</v>
      </c>
      <c r="CE86" s="83"/>
      <c r="CF86" s="82"/>
      <c r="CG86" s="82"/>
      <c r="CH86" s="82"/>
      <c r="CI86" s="82">
        <f t="shared" si="553"/>
        <v>0</v>
      </c>
      <c r="CJ86" s="82">
        <f t="shared" si="554"/>
        <v>0</v>
      </c>
      <c r="CK86" s="82">
        <f t="shared" si="480"/>
        <v>0</v>
      </c>
      <c r="CL86" s="82">
        <f t="shared" si="555"/>
        <v>0</v>
      </c>
      <c r="CM86" s="82"/>
      <c r="CN86" s="82"/>
      <c r="CO86" s="82">
        <f t="shared" si="35"/>
        <v>0</v>
      </c>
      <c r="CP86" s="82">
        <f t="shared" si="36"/>
        <v>0</v>
      </c>
      <c r="CQ86" s="82"/>
      <c r="CR86" s="82"/>
      <c r="CS86" s="82"/>
      <c r="CT86" s="82"/>
      <c r="CU86" s="82">
        <f t="shared" si="556"/>
        <v>0</v>
      </c>
      <c r="CV86" s="82">
        <f t="shared" si="557"/>
        <v>0</v>
      </c>
      <c r="CW86" s="82">
        <f t="shared" si="39"/>
        <v>0</v>
      </c>
      <c r="CX86" s="82">
        <f t="shared" si="558"/>
        <v>0</v>
      </c>
      <c r="CY86" s="82">
        <f t="shared" si="41"/>
        <v>0</v>
      </c>
      <c r="CZ86" s="82">
        <f t="shared" si="345"/>
        <v>5</v>
      </c>
      <c r="DA86" s="82">
        <f t="shared" si="43"/>
        <v>0</v>
      </c>
      <c r="DB86" s="82">
        <f t="shared" si="44"/>
        <v>0</v>
      </c>
      <c r="DC86" s="91"/>
      <c r="DD86" s="82"/>
      <c r="DE86" s="82"/>
      <c r="DF86" s="82">
        <f t="shared" si="559"/>
        <v>0</v>
      </c>
      <c r="DG86" s="82">
        <f t="shared" si="560"/>
        <v>0</v>
      </c>
      <c r="DH86" s="82"/>
      <c r="DI86" s="82"/>
      <c r="DJ86" s="82"/>
      <c r="DK86" s="82"/>
      <c r="DL86" s="82">
        <f t="shared" si="561"/>
        <v>0</v>
      </c>
      <c r="DM86" s="82">
        <f t="shared" si="562"/>
        <v>0</v>
      </c>
      <c r="DN86" s="82">
        <f t="shared" si="563"/>
        <v>0</v>
      </c>
      <c r="DO86" s="82">
        <f t="shared" si="564"/>
        <v>0</v>
      </c>
      <c r="DP86" s="82"/>
      <c r="DQ86" s="82"/>
      <c r="DR86" s="82">
        <f t="shared" si="565"/>
        <v>0</v>
      </c>
      <c r="DS86" s="82">
        <f t="shared" si="566"/>
        <v>0</v>
      </c>
      <c r="DT86" s="82"/>
      <c r="DU86" s="82"/>
      <c r="DV86" s="82"/>
      <c r="DW86" s="82"/>
      <c r="DX86" s="82">
        <f t="shared" si="567"/>
        <v>0</v>
      </c>
      <c r="DY86" s="82">
        <f t="shared" si="568"/>
        <v>0</v>
      </c>
      <c r="DZ86" s="82">
        <f t="shared" si="569"/>
        <v>0</v>
      </c>
      <c r="EA86" s="82">
        <f t="shared" si="570"/>
        <v>0</v>
      </c>
      <c r="EB86" s="82"/>
      <c r="EC86" s="82"/>
      <c r="ED86" s="82">
        <f t="shared" si="571"/>
        <v>0</v>
      </c>
      <c r="EE86" s="82">
        <f t="shared" si="572"/>
        <v>0</v>
      </c>
      <c r="EF86" s="82"/>
      <c r="EG86" s="82"/>
      <c r="EH86" s="82"/>
      <c r="EI86" s="82"/>
      <c r="EJ86" s="82">
        <f t="shared" si="573"/>
        <v>0</v>
      </c>
      <c r="EK86" s="82">
        <f t="shared" si="574"/>
        <v>0</v>
      </c>
      <c r="EL86" s="82">
        <f t="shared" si="575"/>
        <v>0</v>
      </c>
      <c r="EM86" s="82">
        <f t="shared" si="576"/>
        <v>0</v>
      </c>
      <c r="EN86" s="82">
        <f t="shared" si="577"/>
        <v>0</v>
      </c>
      <c r="EO86" s="82">
        <f t="shared" si="578"/>
        <v>0</v>
      </c>
      <c r="EP86" s="82">
        <f t="shared" si="579"/>
        <v>0</v>
      </c>
      <c r="EQ86" s="82">
        <f t="shared" si="580"/>
        <v>0</v>
      </c>
      <c r="ER86" s="82"/>
      <c r="ES86" s="82"/>
      <c r="ET86" s="82">
        <f t="shared" si="581"/>
        <v>0</v>
      </c>
      <c r="EU86" s="82">
        <f t="shared" si="582"/>
        <v>0</v>
      </c>
      <c r="EV86" s="82"/>
      <c r="EW86" s="82"/>
      <c r="EX86" s="82"/>
      <c r="EY86" s="82"/>
      <c r="EZ86" s="82">
        <f t="shared" si="583"/>
        <v>0</v>
      </c>
      <c r="FA86" s="82">
        <f t="shared" si="584"/>
        <v>0</v>
      </c>
      <c r="FB86" s="82">
        <f t="shared" si="585"/>
        <v>0</v>
      </c>
      <c r="FC86" s="82">
        <f t="shared" si="586"/>
        <v>0</v>
      </c>
      <c r="FD86" s="82"/>
      <c r="FE86" s="82"/>
      <c r="FF86" s="82">
        <f t="shared" si="587"/>
        <v>0</v>
      </c>
      <c r="FG86" s="82">
        <f t="shared" si="588"/>
        <v>0</v>
      </c>
      <c r="FH86" s="82"/>
      <c r="FI86" s="82"/>
      <c r="FJ86" s="82"/>
      <c r="FK86" s="82"/>
      <c r="FL86" s="82">
        <f t="shared" si="589"/>
        <v>0</v>
      </c>
      <c r="FM86" s="82">
        <f t="shared" si="590"/>
        <v>0</v>
      </c>
      <c r="FN86" s="82">
        <f t="shared" si="591"/>
        <v>0</v>
      </c>
      <c r="FO86" s="82">
        <f t="shared" si="592"/>
        <v>0</v>
      </c>
      <c r="FP86" s="82"/>
      <c r="FQ86" s="82"/>
      <c r="FR86" s="82">
        <f t="shared" si="593"/>
        <v>0</v>
      </c>
      <c r="FS86" s="82">
        <f t="shared" si="594"/>
        <v>0</v>
      </c>
      <c r="FT86" s="82"/>
      <c r="FU86" s="82"/>
      <c r="FV86" s="82"/>
      <c r="FW86" s="82"/>
      <c r="FX86" s="82">
        <f t="shared" si="595"/>
        <v>0</v>
      </c>
      <c r="FY86" s="82">
        <f t="shared" si="596"/>
        <v>0</v>
      </c>
      <c r="FZ86" s="82">
        <f t="shared" si="597"/>
        <v>0</v>
      </c>
      <c r="GA86" s="82">
        <f t="shared" si="598"/>
        <v>0</v>
      </c>
      <c r="GB86" s="82">
        <f t="shared" si="599"/>
        <v>0</v>
      </c>
      <c r="GC86" s="82">
        <f t="shared" si="600"/>
        <v>0</v>
      </c>
      <c r="GD86" s="82">
        <f t="shared" si="601"/>
        <v>0</v>
      </c>
      <c r="GE86" s="82">
        <f t="shared" si="602"/>
        <v>0</v>
      </c>
      <c r="GF86" s="85"/>
    </row>
    <row r="87" ht="29.25" customHeight="1">
      <c r="A87" s="50"/>
      <c r="B87" s="50"/>
      <c r="C87" s="16"/>
      <c r="D87" s="78" t="s">
        <v>162</v>
      </c>
      <c r="E87" s="86">
        <v>34234.0</v>
      </c>
      <c r="F87" s="80" t="s">
        <v>86</v>
      </c>
      <c r="G87" s="81">
        <v>26.0</v>
      </c>
      <c r="H87" s="82">
        <v>890084.0</v>
      </c>
      <c r="I87" s="82"/>
      <c r="J87" s="82"/>
      <c r="K87" s="82">
        <f t="shared" si="528"/>
        <v>0</v>
      </c>
      <c r="L87" s="82">
        <f t="shared" si="529"/>
        <v>0</v>
      </c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>
        <f t="shared" si="530"/>
        <v>0</v>
      </c>
      <c r="AC87" s="82">
        <f t="shared" si="531"/>
        <v>0</v>
      </c>
      <c r="AD87" s="82">
        <f t="shared" si="452"/>
        <v>26</v>
      </c>
      <c r="AE87" s="82">
        <f t="shared" si="532"/>
        <v>890084</v>
      </c>
      <c r="AF87" s="82"/>
      <c r="AG87" s="82"/>
      <c r="AH87" s="82">
        <f t="shared" si="533"/>
        <v>0</v>
      </c>
      <c r="AI87" s="82">
        <f t="shared" si="534"/>
        <v>0</v>
      </c>
      <c r="AJ87" s="82"/>
      <c r="AK87" s="82"/>
      <c r="AL87" s="82"/>
      <c r="AM87" s="82"/>
      <c r="AN87" s="82">
        <f t="shared" si="535"/>
        <v>0</v>
      </c>
      <c r="AO87" s="82">
        <f t="shared" si="536"/>
        <v>0</v>
      </c>
      <c r="AP87" s="82">
        <f t="shared" si="458"/>
        <v>26</v>
      </c>
      <c r="AQ87" s="82">
        <f t="shared" si="537"/>
        <v>890084</v>
      </c>
      <c r="AR87" s="82"/>
      <c r="AS87" s="82"/>
      <c r="AT87" s="82"/>
      <c r="AU87" s="82">
        <f t="shared" si="538"/>
        <v>0</v>
      </c>
      <c r="AV87" s="82">
        <f t="shared" si="539"/>
        <v>0</v>
      </c>
      <c r="AW87" s="82"/>
      <c r="AX87" s="82"/>
      <c r="AY87" s="82"/>
      <c r="AZ87" s="82"/>
      <c r="BA87" s="82">
        <f t="shared" si="540"/>
        <v>0</v>
      </c>
      <c r="BB87" s="82">
        <f t="shared" si="541"/>
        <v>0</v>
      </c>
      <c r="BC87" s="82">
        <f t="shared" si="464"/>
        <v>26</v>
      </c>
      <c r="BD87" s="82">
        <f t="shared" si="542"/>
        <v>890084</v>
      </c>
      <c r="BE87" s="82">
        <f t="shared" si="543"/>
        <v>0</v>
      </c>
      <c r="BF87" s="82">
        <f t="shared" si="544"/>
        <v>0</v>
      </c>
      <c r="BG87" s="82">
        <f t="shared" si="468"/>
        <v>26</v>
      </c>
      <c r="BH87" s="82">
        <f t="shared" si="545"/>
        <v>890084</v>
      </c>
      <c r="BI87" s="82"/>
      <c r="BJ87" s="83"/>
      <c r="BK87" s="82">
        <f t="shared" si="546"/>
        <v>0</v>
      </c>
      <c r="BL87" s="82">
        <f t="shared" si="547"/>
        <v>0</v>
      </c>
      <c r="BM87" s="82"/>
      <c r="BN87" s="82"/>
      <c r="BO87" s="82"/>
      <c r="BP87" s="82"/>
      <c r="BQ87" s="82"/>
      <c r="BR87" s="82"/>
      <c r="BS87" s="83">
        <v>1.0</v>
      </c>
      <c r="BT87" s="82"/>
      <c r="BU87" s="83"/>
      <c r="BV87" s="83">
        <v>1.0</v>
      </c>
      <c r="BW87" s="82">
        <f t="shared" si="548"/>
        <v>2</v>
      </c>
      <c r="BX87" s="82">
        <f t="shared" si="549"/>
        <v>68468</v>
      </c>
      <c r="BY87" s="82">
        <f t="shared" si="474"/>
        <v>24</v>
      </c>
      <c r="BZ87" s="82">
        <f t="shared" si="550"/>
        <v>821616</v>
      </c>
      <c r="CA87" s="82"/>
      <c r="CB87" s="82"/>
      <c r="CC87" s="82">
        <f t="shared" si="551"/>
        <v>0</v>
      </c>
      <c r="CD87" s="82">
        <f t="shared" si="552"/>
        <v>0</v>
      </c>
      <c r="CE87" s="83">
        <v>1.0</v>
      </c>
      <c r="CF87" s="82"/>
      <c r="CG87" s="82"/>
      <c r="CH87" s="82"/>
      <c r="CI87" s="82">
        <f t="shared" si="553"/>
        <v>1</v>
      </c>
      <c r="CJ87" s="82">
        <f t="shared" si="554"/>
        <v>34234</v>
      </c>
      <c r="CK87" s="82">
        <f t="shared" si="480"/>
        <v>23</v>
      </c>
      <c r="CL87" s="82">
        <f t="shared" si="555"/>
        <v>787382</v>
      </c>
      <c r="CM87" s="82"/>
      <c r="CN87" s="82"/>
      <c r="CO87" s="82">
        <f t="shared" si="35"/>
        <v>0</v>
      </c>
      <c r="CP87" s="82">
        <f t="shared" si="36"/>
        <v>0</v>
      </c>
      <c r="CQ87" s="82"/>
      <c r="CR87" s="82"/>
      <c r="CS87" s="82"/>
      <c r="CT87" s="82"/>
      <c r="CU87" s="82">
        <f t="shared" si="556"/>
        <v>0</v>
      </c>
      <c r="CV87" s="82">
        <f t="shared" si="557"/>
        <v>0</v>
      </c>
      <c r="CW87" s="82">
        <f t="shared" si="39"/>
        <v>23</v>
      </c>
      <c r="CX87" s="82">
        <f t="shared" si="558"/>
        <v>787382</v>
      </c>
      <c r="CY87" s="82">
        <f t="shared" si="41"/>
        <v>0</v>
      </c>
      <c r="CZ87" s="82">
        <f t="shared" si="345"/>
        <v>3</v>
      </c>
      <c r="DA87" s="82">
        <f t="shared" si="43"/>
        <v>23</v>
      </c>
      <c r="DB87" s="82">
        <f t="shared" si="44"/>
        <v>787382</v>
      </c>
      <c r="DC87" s="91"/>
      <c r="DD87" s="82"/>
      <c r="DE87" s="82"/>
      <c r="DF87" s="82">
        <f t="shared" si="559"/>
        <v>0</v>
      </c>
      <c r="DG87" s="82">
        <f t="shared" si="560"/>
        <v>0</v>
      </c>
      <c r="DH87" s="82"/>
      <c r="DI87" s="82"/>
      <c r="DJ87" s="82"/>
      <c r="DK87" s="82"/>
      <c r="DL87" s="82">
        <f t="shared" si="561"/>
        <v>0</v>
      </c>
      <c r="DM87" s="82">
        <f t="shared" si="562"/>
        <v>0</v>
      </c>
      <c r="DN87" s="82">
        <f t="shared" si="563"/>
        <v>23</v>
      </c>
      <c r="DO87" s="82">
        <f t="shared" si="564"/>
        <v>787382</v>
      </c>
      <c r="DP87" s="82"/>
      <c r="DQ87" s="82"/>
      <c r="DR87" s="82">
        <f t="shared" si="565"/>
        <v>0</v>
      </c>
      <c r="DS87" s="82">
        <f t="shared" si="566"/>
        <v>0</v>
      </c>
      <c r="DT87" s="82"/>
      <c r="DU87" s="82"/>
      <c r="DV87" s="82"/>
      <c r="DW87" s="82"/>
      <c r="DX87" s="82">
        <f t="shared" si="567"/>
        <v>0</v>
      </c>
      <c r="DY87" s="82">
        <f t="shared" si="568"/>
        <v>0</v>
      </c>
      <c r="DZ87" s="82">
        <f t="shared" si="569"/>
        <v>23</v>
      </c>
      <c r="EA87" s="82">
        <f t="shared" si="570"/>
        <v>787382</v>
      </c>
      <c r="EB87" s="82"/>
      <c r="EC87" s="82"/>
      <c r="ED87" s="82">
        <f t="shared" si="571"/>
        <v>0</v>
      </c>
      <c r="EE87" s="82">
        <f t="shared" si="572"/>
        <v>0</v>
      </c>
      <c r="EF87" s="82"/>
      <c r="EG87" s="82"/>
      <c r="EH87" s="82"/>
      <c r="EI87" s="82"/>
      <c r="EJ87" s="82">
        <f t="shared" si="573"/>
        <v>0</v>
      </c>
      <c r="EK87" s="82">
        <f t="shared" si="574"/>
        <v>0</v>
      </c>
      <c r="EL87" s="82">
        <f t="shared" si="575"/>
        <v>23</v>
      </c>
      <c r="EM87" s="82">
        <f t="shared" si="576"/>
        <v>787382</v>
      </c>
      <c r="EN87" s="82">
        <f t="shared" si="577"/>
        <v>0</v>
      </c>
      <c r="EO87" s="82">
        <f t="shared" si="578"/>
        <v>0</v>
      </c>
      <c r="EP87" s="82">
        <f t="shared" si="579"/>
        <v>23</v>
      </c>
      <c r="EQ87" s="82">
        <f t="shared" si="580"/>
        <v>787382</v>
      </c>
      <c r="ER87" s="82"/>
      <c r="ES87" s="82"/>
      <c r="ET87" s="82">
        <f t="shared" si="581"/>
        <v>0</v>
      </c>
      <c r="EU87" s="82">
        <f t="shared" si="582"/>
        <v>0</v>
      </c>
      <c r="EV87" s="82"/>
      <c r="EW87" s="82"/>
      <c r="EX87" s="82"/>
      <c r="EY87" s="82"/>
      <c r="EZ87" s="82">
        <f t="shared" si="583"/>
        <v>0</v>
      </c>
      <c r="FA87" s="82">
        <f t="shared" si="584"/>
        <v>0</v>
      </c>
      <c r="FB87" s="82">
        <f t="shared" si="585"/>
        <v>23</v>
      </c>
      <c r="FC87" s="82">
        <f t="shared" si="586"/>
        <v>787382</v>
      </c>
      <c r="FD87" s="82"/>
      <c r="FE87" s="82"/>
      <c r="FF87" s="82">
        <f t="shared" si="587"/>
        <v>0</v>
      </c>
      <c r="FG87" s="82">
        <f t="shared" si="588"/>
        <v>0</v>
      </c>
      <c r="FH87" s="82"/>
      <c r="FI87" s="82"/>
      <c r="FJ87" s="82"/>
      <c r="FK87" s="82"/>
      <c r="FL87" s="82">
        <f t="shared" si="589"/>
        <v>0</v>
      </c>
      <c r="FM87" s="82">
        <f t="shared" si="590"/>
        <v>0</v>
      </c>
      <c r="FN87" s="82">
        <f t="shared" si="591"/>
        <v>23</v>
      </c>
      <c r="FO87" s="82">
        <f t="shared" si="592"/>
        <v>787382</v>
      </c>
      <c r="FP87" s="82"/>
      <c r="FQ87" s="82"/>
      <c r="FR87" s="82">
        <f t="shared" si="593"/>
        <v>0</v>
      </c>
      <c r="FS87" s="82">
        <f t="shared" si="594"/>
        <v>0</v>
      </c>
      <c r="FT87" s="82"/>
      <c r="FU87" s="82"/>
      <c r="FV87" s="82"/>
      <c r="FW87" s="82"/>
      <c r="FX87" s="82">
        <f t="shared" si="595"/>
        <v>0</v>
      </c>
      <c r="FY87" s="82">
        <f t="shared" si="596"/>
        <v>0</v>
      </c>
      <c r="FZ87" s="82">
        <f t="shared" si="597"/>
        <v>23</v>
      </c>
      <c r="GA87" s="82">
        <f t="shared" si="598"/>
        <v>787382</v>
      </c>
      <c r="GB87" s="82">
        <f t="shared" si="599"/>
        <v>0</v>
      </c>
      <c r="GC87" s="82">
        <f t="shared" si="600"/>
        <v>0</v>
      </c>
      <c r="GD87" s="82">
        <f t="shared" si="601"/>
        <v>23</v>
      </c>
      <c r="GE87" s="82">
        <f t="shared" si="602"/>
        <v>787382</v>
      </c>
      <c r="GF87" s="85"/>
    </row>
    <row r="88" ht="29.25" customHeight="1">
      <c r="A88" s="96">
        <v>46.0</v>
      </c>
      <c r="B88" s="97"/>
      <c r="C88" s="100" t="s">
        <v>165</v>
      </c>
      <c r="D88" s="78" t="s">
        <v>96</v>
      </c>
      <c r="E88" s="79"/>
      <c r="F88" s="61"/>
      <c r="G88" s="81">
        <v>0.0</v>
      </c>
      <c r="H88" s="82">
        <v>0.0</v>
      </c>
      <c r="I88" s="82"/>
      <c r="J88" s="82"/>
      <c r="K88" s="82">
        <f t="shared" si="528"/>
        <v>0</v>
      </c>
      <c r="L88" s="82">
        <f t="shared" si="529"/>
        <v>0</v>
      </c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>
        <f t="shared" si="530"/>
        <v>0</v>
      </c>
      <c r="AC88" s="82">
        <f t="shared" si="531"/>
        <v>0</v>
      </c>
      <c r="AD88" s="82">
        <f t="shared" si="452"/>
        <v>0</v>
      </c>
      <c r="AE88" s="82">
        <f t="shared" si="532"/>
        <v>0</v>
      </c>
      <c r="AF88" s="82"/>
      <c r="AG88" s="82"/>
      <c r="AH88" s="82">
        <f t="shared" si="533"/>
        <v>0</v>
      </c>
      <c r="AI88" s="82">
        <f t="shared" si="534"/>
        <v>0</v>
      </c>
      <c r="AJ88" s="82"/>
      <c r="AK88" s="82"/>
      <c r="AL88" s="82"/>
      <c r="AM88" s="82"/>
      <c r="AN88" s="82">
        <f t="shared" si="535"/>
        <v>0</v>
      </c>
      <c r="AO88" s="82">
        <f t="shared" si="536"/>
        <v>0</v>
      </c>
      <c r="AP88" s="82">
        <f t="shared" si="458"/>
        <v>0</v>
      </c>
      <c r="AQ88" s="82">
        <f t="shared" si="537"/>
        <v>0</v>
      </c>
      <c r="AR88" s="82"/>
      <c r="AS88" s="82"/>
      <c r="AT88" s="82"/>
      <c r="AU88" s="82">
        <f t="shared" si="538"/>
        <v>0</v>
      </c>
      <c r="AV88" s="82">
        <f t="shared" si="539"/>
        <v>0</v>
      </c>
      <c r="AW88" s="82"/>
      <c r="AX88" s="82"/>
      <c r="AY88" s="82"/>
      <c r="AZ88" s="82"/>
      <c r="BA88" s="82">
        <f t="shared" si="540"/>
        <v>0</v>
      </c>
      <c r="BB88" s="82">
        <f t="shared" si="541"/>
        <v>0</v>
      </c>
      <c r="BC88" s="82">
        <f t="shared" si="464"/>
        <v>0</v>
      </c>
      <c r="BD88" s="82">
        <f t="shared" si="542"/>
        <v>0</v>
      </c>
      <c r="BE88" s="82">
        <f t="shared" si="543"/>
        <v>0</v>
      </c>
      <c r="BF88" s="82">
        <f t="shared" si="544"/>
        <v>0</v>
      </c>
      <c r="BG88" s="82">
        <f t="shared" si="468"/>
        <v>0</v>
      </c>
      <c r="BH88" s="82">
        <f t="shared" si="545"/>
        <v>0</v>
      </c>
      <c r="BI88" s="82"/>
      <c r="BJ88" s="83"/>
      <c r="BK88" s="82">
        <f t="shared" si="546"/>
        <v>0</v>
      </c>
      <c r="BL88" s="82">
        <f t="shared" si="547"/>
        <v>0</v>
      </c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>
        <f t="shared" si="548"/>
        <v>0</v>
      </c>
      <c r="BX88" s="82">
        <f t="shared" si="549"/>
        <v>0</v>
      </c>
      <c r="BY88" s="82">
        <f t="shared" si="474"/>
        <v>0</v>
      </c>
      <c r="BZ88" s="82">
        <f t="shared" si="550"/>
        <v>0</v>
      </c>
      <c r="CA88" s="82"/>
      <c r="CB88" s="82"/>
      <c r="CC88" s="82">
        <f t="shared" si="551"/>
        <v>0</v>
      </c>
      <c r="CD88" s="82">
        <f t="shared" si="552"/>
        <v>0</v>
      </c>
      <c r="CE88" s="82"/>
      <c r="CF88" s="82"/>
      <c r="CG88" s="82"/>
      <c r="CH88" s="82"/>
      <c r="CI88" s="82">
        <f t="shared" si="553"/>
        <v>0</v>
      </c>
      <c r="CJ88" s="82">
        <f t="shared" si="554"/>
        <v>0</v>
      </c>
      <c r="CK88" s="82">
        <f t="shared" si="480"/>
        <v>0</v>
      </c>
      <c r="CL88" s="82">
        <f t="shared" si="555"/>
        <v>0</v>
      </c>
      <c r="CM88" s="82"/>
      <c r="CN88" s="82"/>
      <c r="CO88" s="82">
        <f t="shared" si="35"/>
        <v>0</v>
      </c>
      <c r="CP88" s="82">
        <f t="shared" si="36"/>
        <v>0</v>
      </c>
      <c r="CQ88" s="82"/>
      <c r="CR88" s="82"/>
      <c r="CS88" s="82"/>
      <c r="CT88" s="82"/>
      <c r="CU88" s="82">
        <f t="shared" si="556"/>
        <v>0</v>
      </c>
      <c r="CV88" s="82">
        <f t="shared" si="557"/>
        <v>0</v>
      </c>
      <c r="CW88" s="82">
        <f t="shared" si="39"/>
        <v>0</v>
      </c>
      <c r="CX88" s="82">
        <f t="shared" si="558"/>
        <v>0</v>
      </c>
      <c r="CY88" s="82">
        <f t="shared" si="41"/>
        <v>0</v>
      </c>
      <c r="CZ88" s="82">
        <f t="shared" si="345"/>
        <v>0</v>
      </c>
      <c r="DA88" s="82">
        <f t="shared" si="43"/>
        <v>0</v>
      </c>
      <c r="DB88" s="82">
        <f t="shared" si="44"/>
        <v>0</v>
      </c>
      <c r="DC88" s="91"/>
      <c r="DD88" s="82"/>
      <c r="DE88" s="82"/>
      <c r="DF88" s="82">
        <f t="shared" si="559"/>
        <v>0</v>
      </c>
      <c r="DG88" s="82">
        <f t="shared" si="560"/>
        <v>0</v>
      </c>
      <c r="DH88" s="82"/>
      <c r="DI88" s="82"/>
      <c r="DJ88" s="82"/>
      <c r="DK88" s="82"/>
      <c r="DL88" s="82">
        <f t="shared" si="561"/>
        <v>0</v>
      </c>
      <c r="DM88" s="82">
        <f t="shared" si="562"/>
        <v>0</v>
      </c>
      <c r="DN88" s="82">
        <f t="shared" si="563"/>
        <v>0</v>
      </c>
      <c r="DO88" s="82">
        <f t="shared" si="564"/>
        <v>0</v>
      </c>
      <c r="DP88" s="82"/>
      <c r="DQ88" s="82"/>
      <c r="DR88" s="82">
        <f t="shared" si="565"/>
        <v>0</v>
      </c>
      <c r="DS88" s="82">
        <f t="shared" si="566"/>
        <v>0</v>
      </c>
      <c r="DT88" s="82"/>
      <c r="DU88" s="82"/>
      <c r="DV88" s="82"/>
      <c r="DW88" s="82"/>
      <c r="DX88" s="82">
        <f t="shared" si="567"/>
        <v>0</v>
      </c>
      <c r="DY88" s="82">
        <f t="shared" si="568"/>
        <v>0</v>
      </c>
      <c r="DZ88" s="82">
        <f t="shared" si="569"/>
        <v>0</v>
      </c>
      <c r="EA88" s="82">
        <f t="shared" si="570"/>
        <v>0</v>
      </c>
      <c r="EB88" s="82"/>
      <c r="EC88" s="82"/>
      <c r="ED88" s="82">
        <f t="shared" si="571"/>
        <v>0</v>
      </c>
      <c r="EE88" s="82">
        <f t="shared" si="572"/>
        <v>0</v>
      </c>
      <c r="EF88" s="82"/>
      <c r="EG88" s="82"/>
      <c r="EH88" s="82"/>
      <c r="EI88" s="82"/>
      <c r="EJ88" s="82">
        <f t="shared" si="573"/>
        <v>0</v>
      </c>
      <c r="EK88" s="82">
        <f t="shared" si="574"/>
        <v>0</v>
      </c>
      <c r="EL88" s="82">
        <f t="shared" si="575"/>
        <v>0</v>
      </c>
      <c r="EM88" s="82">
        <f t="shared" si="576"/>
        <v>0</v>
      </c>
      <c r="EN88" s="82">
        <f t="shared" si="577"/>
        <v>0</v>
      </c>
      <c r="EO88" s="82">
        <f t="shared" si="578"/>
        <v>0</v>
      </c>
      <c r="EP88" s="82">
        <f t="shared" si="579"/>
        <v>0</v>
      </c>
      <c r="EQ88" s="82">
        <f t="shared" si="580"/>
        <v>0</v>
      </c>
      <c r="ER88" s="82"/>
      <c r="ES88" s="82"/>
      <c r="ET88" s="82">
        <f t="shared" si="581"/>
        <v>0</v>
      </c>
      <c r="EU88" s="82">
        <f t="shared" si="582"/>
        <v>0</v>
      </c>
      <c r="EV88" s="82"/>
      <c r="EW88" s="82"/>
      <c r="EX88" s="82"/>
      <c r="EY88" s="82"/>
      <c r="EZ88" s="82">
        <f t="shared" si="583"/>
        <v>0</v>
      </c>
      <c r="FA88" s="82">
        <f t="shared" si="584"/>
        <v>0</v>
      </c>
      <c r="FB88" s="82">
        <f t="shared" si="585"/>
        <v>0</v>
      </c>
      <c r="FC88" s="82">
        <f t="shared" si="586"/>
        <v>0</v>
      </c>
      <c r="FD88" s="82"/>
      <c r="FE88" s="82"/>
      <c r="FF88" s="82">
        <f t="shared" si="587"/>
        <v>0</v>
      </c>
      <c r="FG88" s="82">
        <f t="shared" si="588"/>
        <v>0</v>
      </c>
      <c r="FH88" s="82"/>
      <c r="FI88" s="82"/>
      <c r="FJ88" s="82"/>
      <c r="FK88" s="82"/>
      <c r="FL88" s="82">
        <f t="shared" si="589"/>
        <v>0</v>
      </c>
      <c r="FM88" s="82">
        <f t="shared" si="590"/>
        <v>0</v>
      </c>
      <c r="FN88" s="82">
        <f t="shared" si="591"/>
        <v>0</v>
      </c>
      <c r="FO88" s="82">
        <f t="shared" si="592"/>
        <v>0</v>
      </c>
      <c r="FP88" s="82"/>
      <c r="FQ88" s="82"/>
      <c r="FR88" s="82">
        <f t="shared" si="593"/>
        <v>0</v>
      </c>
      <c r="FS88" s="82">
        <f t="shared" si="594"/>
        <v>0</v>
      </c>
      <c r="FT88" s="82"/>
      <c r="FU88" s="82"/>
      <c r="FV88" s="82"/>
      <c r="FW88" s="82"/>
      <c r="FX88" s="82">
        <f t="shared" si="595"/>
        <v>0</v>
      </c>
      <c r="FY88" s="82">
        <f t="shared" si="596"/>
        <v>0</v>
      </c>
      <c r="FZ88" s="82">
        <f t="shared" si="597"/>
        <v>0</v>
      </c>
      <c r="GA88" s="82">
        <f t="shared" si="598"/>
        <v>0</v>
      </c>
      <c r="GB88" s="82">
        <f t="shared" si="599"/>
        <v>0</v>
      </c>
      <c r="GC88" s="82">
        <f t="shared" si="600"/>
        <v>0</v>
      </c>
      <c r="GD88" s="82">
        <f t="shared" si="601"/>
        <v>0</v>
      </c>
      <c r="GE88" s="82">
        <f t="shared" si="602"/>
        <v>0</v>
      </c>
      <c r="GF88" s="85"/>
    </row>
    <row r="89" ht="29.25" customHeight="1">
      <c r="A89" s="76">
        <v>47.0</v>
      </c>
      <c r="B89" s="87"/>
      <c r="C89" s="77" t="s">
        <v>166</v>
      </c>
      <c r="D89" s="78" t="s">
        <v>96</v>
      </c>
      <c r="E89" s="79">
        <v>61050.0</v>
      </c>
      <c r="F89" s="61" t="s">
        <v>92</v>
      </c>
      <c r="G89" s="81">
        <v>16.0</v>
      </c>
      <c r="H89" s="82">
        <v>976800.0</v>
      </c>
      <c r="I89" s="82"/>
      <c r="J89" s="82"/>
      <c r="K89" s="82">
        <f t="shared" si="528"/>
        <v>0</v>
      </c>
      <c r="L89" s="82">
        <f t="shared" si="529"/>
        <v>0</v>
      </c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>
        <f t="shared" si="530"/>
        <v>0</v>
      </c>
      <c r="AC89" s="82">
        <f t="shared" si="531"/>
        <v>0</v>
      </c>
      <c r="AD89" s="82">
        <f t="shared" si="452"/>
        <v>16</v>
      </c>
      <c r="AE89" s="82">
        <f t="shared" si="532"/>
        <v>976800</v>
      </c>
      <c r="AF89" s="82"/>
      <c r="AG89" s="82"/>
      <c r="AH89" s="82">
        <f t="shared" si="533"/>
        <v>0</v>
      </c>
      <c r="AI89" s="82">
        <f t="shared" si="534"/>
        <v>0</v>
      </c>
      <c r="AJ89" s="82"/>
      <c r="AK89" s="82"/>
      <c r="AL89" s="82"/>
      <c r="AM89" s="82"/>
      <c r="AN89" s="82">
        <f t="shared" si="535"/>
        <v>0</v>
      </c>
      <c r="AO89" s="82">
        <f t="shared" si="536"/>
        <v>0</v>
      </c>
      <c r="AP89" s="82">
        <f t="shared" si="458"/>
        <v>16</v>
      </c>
      <c r="AQ89" s="82">
        <f t="shared" si="537"/>
        <v>976800</v>
      </c>
      <c r="AR89" s="82"/>
      <c r="AS89" s="82"/>
      <c r="AT89" s="82"/>
      <c r="AU89" s="82">
        <f t="shared" si="538"/>
        <v>0</v>
      </c>
      <c r="AV89" s="82">
        <f t="shared" si="539"/>
        <v>0</v>
      </c>
      <c r="AW89" s="82"/>
      <c r="AX89" s="82"/>
      <c r="AY89" s="82"/>
      <c r="AZ89" s="82"/>
      <c r="BA89" s="82">
        <f t="shared" si="540"/>
        <v>0</v>
      </c>
      <c r="BB89" s="82">
        <f t="shared" si="541"/>
        <v>0</v>
      </c>
      <c r="BC89" s="82">
        <f t="shared" si="464"/>
        <v>16</v>
      </c>
      <c r="BD89" s="82">
        <f t="shared" si="542"/>
        <v>976800</v>
      </c>
      <c r="BE89" s="82">
        <f t="shared" si="543"/>
        <v>0</v>
      </c>
      <c r="BF89" s="82">
        <f t="shared" si="544"/>
        <v>0</v>
      </c>
      <c r="BG89" s="82">
        <f t="shared" si="468"/>
        <v>16</v>
      </c>
      <c r="BH89" s="82">
        <f t="shared" si="545"/>
        <v>976800</v>
      </c>
      <c r="BI89" s="82"/>
      <c r="BJ89" s="83"/>
      <c r="BK89" s="82">
        <f t="shared" si="546"/>
        <v>0</v>
      </c>
      <c r="BL89" s="82">
        <f t="shared" si="547"/>
        <v>0</v>
      </c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>
        <f t="shared" si="548"/>
        <v>0</v>
      </c>
      <c r="BX89" s="82">
        <f t="shared" si="549"/>
        <v>0</v>
      </c>
      <c r="BY89" s="82">
        <f t="shared" si="474"/>
        <v>16</v>
      </c>
      <c r="BZ89" s="82">
        <f t="shared" si="550"/>
        <v>976800</v>
      </c>
      <c r="CA89" s="82"/>
      <c r="CB89" s="82"/>
      <c r="CC89" s="82">
        <f t="shared" si="551"/>
        <v>0</v>
      </c>
      <c r="CD89" s="82">
        <f t="shared" si="552"/>
        <v>0</v>
      </c>
      <c r="CE89" s="82"/>
      <c r="CF89" s="82"/>
      <c r="CG89" s="82"/>
      <c r="CH89" s="82"/>
      <c r="CI89" s="82">
        <f t="shared" si="553"/>
        <v>0</v>
      </c>
      <c r="CJ89" s="82">
        <f t="shared" si="554"/>
        <v>0</v>
      </c>
      <c r="CK89" s="82">
        <f t="shared" si="480"/>
        <v>16</v>
      </c>
      <c r="CL89" s="82">
        <f t="shared" si="555"/>
        <v>976800</v>
      </c>
      <c r="CM89" s="82"/>
      <c r="CN89" s="82"/>
      <c r="CO89" s="82">
        <f t="shared" si="35"/>
        <v>0</v>
      </c>
      <c r="CP89" s="82">
        <f t="shared" si="36"/>
        <v>0</v>
      </c>
      <c r="CQ89" s="82"/>
      <c r="CR89" s="82"/>
      <c r="CS89" s="82"/>
      <c r="CT89" s="82"/>
      <c r="CU89" s="82">
        <f t="shared" si="556"/>
        <v>0</v>
      </c>
      <c r="CV89" s="82">
        <f t="shared" si="557"/>
        <v>0</v>
      </c>
      <c r="CW89" s="82">
        <f t="shared" si="39"/>
        <v>16</v>
      </c>
      <c r="CX89" s="82">
        <f t="shared" si="558"/>
        <v>976800</v>
      </c>
      <c r="CY89" s="82">
        <f t="shared" si="41"/>
        <v>0</v>
      </c>
      <c r="CZ89" s="82">
        <f t="shared" si="345"/>
        <v>0</v>
      </c>
      <c r="DA89" s="82">
        <f t="shared" si="43"/>
        <v>16</v>
      </c>
      <c r="DB89" s="82">
        <f t="shared" si="44"/>
        <v>976800</v>
      </c>
      <c r="DC89" s="91"/>
      <c r="DD89" s="82"/>
      <c r="DE89" s="82"/>
      <c r="DF89" s="82">
        <f t="shared" si="559"/>
        <v>0</v>
      </c>
      <c r="DG89" s="82">
        <f t="shared" si="560"/>
        <v>0</v>
      </c>
      <c r="DH89" s="82"/>
      <c r="DI89" s="82"/>
      <c r="DJ89" s="82"/>
      <c r="DK89" s="82"/>
      <c r="DL89" s="82">
        <f t="shared" si="561"/>
        <v>0</v>
      </c>
      <c r="DM89" s="82">
        <f t="shared" si="562"/>
        <v>0</v>
      </c>
      <c r="DN89" s="82">
        <f t="shared" si="563"/>
        <v>16</v>
      </c>
      <c r="DO89" s="82">
        <f t="shared" si="564"/>
        <v>976800</v>
      </c>
      <c r="DP89" s="82"/>
      <c r="DQ89" s="82"/>
      <c r="DR89" s="82">
        <f t="shared" si="565"/>
        <v>0</v>
      </c>
      <c r="DS89" s="82">
        <f t="shared" si="566"/>
        <v>0</v>
      </c>
      <c r="DT89" s="82"/>
      <c r="DU89" s="82"/>
      <c r="DV89" s="82"/>
      <c r="DW89" s="82"/>
      <c r="DX89" s="82">
        <f t="shared" si="567"/>
        <v>0</v>
      </c>
      <c r="DY89" s="82">
        <f t="shared" si="568"/>
        <v>0</v>
      </c>
      <c r="DZ89" s="82">
        <f t="shared" si="569"/>
        <v>16</v>
      </c>
      <c r="EA89" s="82">
        <f t="shared" si="570"/>
        <v>976800</v>
      </c>
      <c r="EB89" s="82"/>
      <c r="EC89" s="82"/>
      <c r="ED89" s="82">
        <f t="shared" si="571"/>
        <v>0</v>
      </c>
      <c r="EE89" s="82">
        <f t="shared" si="572"/>
        <v>0</v>
      </c>
      <c r="EF89" s="82"/>
      <c r="EG89" s="82"/>
      <c r="EH89" s="82"/>
      <c r="EI89" s="82"/>
      <c r="EJ89" s="82">
        <f t="shared" si="573"/>
        <v>0</v>
      </c>
      <c r="EK89" s="82">
        <f t="shared" si="574"/>
        <v>0</v>
      </c>
      <c r="EL89" s="82">
        <f t="shared" si="575"/>
        <v>16</v>
      </c>
      <c r="EM89" s="82">
        <f t="shared" si="576"/>
        <v>976800</v>
      </c>
      <c r="EN89" s="82">
        <f t="shared" si="577"/>
        <v>0</v>
      </c>
      <c r="EO89" s="82">
        <f t="shared" si="578"/>
        <v>0</v>
      </c>
      <c r="EP89" s="82">
        <f t="shared" si="579"/>
        <v>16</v>
      </c>
      <c r="EQ89" s="82">
        <f t="shared" si="580"/>
        <v>976800</v>
      </c>
      <c r="ER89" s="82"/>
      <c r="ES89" s="82"/>
      <c r="ET89" s="82">
        <f t="shared" si="581"/>
        <v>0</v>
      </c>
      <c r="EU89" s="82">
        <f t="shared" si="582"/>
        <v>0</v>
      </c>
      <c r="EV89" s="82"/>
      <c r="EW89" s="82"/>
      <c r="EX89" s="82"/>
      <c r="EY89" s="82"/>
      <c r="EZ89" s="82">
        <f t="shared" si="583"/>
        <v>0</v>
      </c>
      <c r="FA89" s="82">
        <f t="shared" si="584"/>
        <v>0</v>
      </c>
      <c r="FB89" s="82">
        <f t="shared" si="585"/>
        <v>16</v>
      </c>
      <c r="FC89" s="82">
        <f t="shared" si="586"/>
        <v>976800</v>
      </c>
      <c r="FD89" s="82"/>
      <c r="FE89" s="82"/>
      <c r="FF89" s="82">
        <f t="shared" si="587"/>
        <v>0</v>
      </c>
      <c r="FG89" s="82">
        <f t="shared" si="588"/>
        <v>0</v>
      </c>
      <c r="FH89" s="82"/>
      <c r="FI89" s="82"/>
      <c r="FJ89" s="82"/>
      <c r="FK89" s="82"/>
      <c r="FL89" s="82">
        <f t="shared" si="589"/>
        <v>0</v>
      </c>
      <c r="FM89" s="82">
        <f t="shared" si="590"/>
        <v>0</v>
      </c>
      <c r="FN89" s="82">
        <f t="shared" si="591"/>
        <v>16</v>
      </c>
      <c r="FO89" s="82">
        <f t="shared" si="592"/>
        <v>976800</v>
      </c>
      <c r="FP89" s="82"/>
      <c r="FQ89" s="82"/>
      <c r="FR89" s="82">
        <f t="shared" si="593"/>
        <v>0</v>
      </c>
      <c r="FS89" s="82">
        <f t="shared" si="594"/>
        <v>0</v>
      </c>
      <c r="FT89" s="82"/>
      <c r="FU89" s="82"/>
      <c r="FV89" s="82"/>
      <c r="FW89" s="82"/>
      <c r="FX89" s="82">
        <f t="shared" si="595"/>
        <v>0</v>
      </c>
      <c r="FY89" s="82">
        <f t="shared" si="596"/>
        <v>0</v>
      </c>
      <c r="FZ89" s="82">
        <f t="shared" si="597"/>
        <v>16</v>
      </c>
      <c r="GA89" s="82">
        <f t="shared" si="598"/>
        <v>976800</v>
      </c>
      <c r="GB89" s="82">
        <f t="shared" si="599"/>
        <v>0</v>
      </c>
      <c r="GC89" s="82">
        <f t="shared" si="600"/>
        <v>0</v>
      </c>
      <c r="GD89" s="82">
        <f t="shared" si="601"/>
        <v>16</v>
      </c>
      <c r="GE89" s="82">
        <f t="shared" si="602"/>
        <v>976800</v>
      </c>
      <c r="GF89" s="85"/>
    </row>
    <row r="90" ht="29.25" customHeight="1">
      <c r="A90" s="76">
        <v>48.0</v>
      </c>
      <c r="B90" s="87"/>
      <c r="C90" s="77" t="s">
        <v>167</v>
      </c>
      <c r="D90" s="78" t="s">
        <v>96</v>
      </c>
      <c r="E90" s="79">
        <v>66600.0</v>
      </c>
      <c r="F90" s="61" t="s">
        <v>92</v>
      </c>
      <c r="G90" s="81">
        <v>21.0</v>
      </c>
      <c r="H90" s="82">
        <v>1398600.0</v>
      </c>
      <c r="I90" s="82"/>
      <c r="J90" s="82"/>
      <c r="K90" s="82">
        <f t="shared" si="528"/>
        <v>0</v>
      </c>
      <c r="L90" s="82">
        <f t="shared" si="529"/>
        <v>0</v>
      </c>
      <c r="M90" s="82"/>
      <c r="N90" s="82"/>
      <c r="O90" s="82"/>
      <c r="P90" s="82"/>
      <c r="Q90" s="82"/>
      <c r="R90" s="82"/>
      <c r="S90" s="83">
        <v>3.0</v>
      </c>
      <c r="T90" s="82"/>
      <c r="U90" s="83">
        <v>2.0</v>
      </c>
      <c r="V90" s="82"/>
      <c r="W90" s="82"/>
      <c r="X90" s="82"/>
      <c r="Y90" s="82"/>
      <c r="Z90" s="82"/>
      <c r="AA90" s="82"/>
      <c r="AB90" s="82">
        <f t="shared" si="530"/>
        <v>5</v>
      </c>
      <c r="AC90" s="82">
        <f t="shared" si="531"/>
        <v>333000</v>
      </c>
      <c r="AD90" s="82">
        <f t="shared" si="452"/>
        <v>16</v>
      </c>
      <c r="AE90" s="82">
        <f t="shared" si="532"/>
        <v>1065600</v>
      </c>
      <c r="AF90" s="82"/>
      <c r="AG90" s="82"/>
      <c r="AH90" s="82">
        <f t="shared" si="533"/>
        <v>0</v>
      </c>
      <c r="AI90" s="82">
        <f t="shared" si="534"/>
        <v>0</v>
      </c>
      <c r="AJ90" s="82"/>
      <c r="AK90" s="82"/>
      <c r="AL90" s="82"/>
      <c r="AM90" s="82"/>
      <c r="AN90" s="82">
        <f t="shared" si="535"/>
        <v>0</v>
      </c>
      <c r="AO90" s="82">
        <f t="shared" si="536"/>
        <v>0</v>
      </c>
      <c r="AP90" s="82">
        <f t="shared" si="458"/>
        <v>16</v>
      </c>
      <c r="AQ90" s="82">
        <f t="shared" si="537"/>
        <v>1065600</v>
      </c>
      <c r="AR90" s="82"/>
      <c r="AS90" s="82"/>
      <c r="AT90" s="82"/>
      <c r="AU90" s="82">
        <f t="shared" si="538"/>
        <v>0</v>
      </c>
      <c r="AV90" s="82">
        <f t="shared" si="539"/>
        <v>0</v>
      </c>
      <c r="AW90" s="82"/>
      <c r="AX90" s="82"/>
      <c r="AY90" s="82"/>
      <c r="AZ90" s="82"/>
      <c r="BA90" s="82">
        <f t="shared" si="540"/>
        <v>0</v>
      </c>
      <c r="BB90" s="82">
        <f t="shared" si="541"/>
        <v>0</v>
      </c>
      <c r="BC90" s="82">
        <f t="shared" si="464"/>
        <v>16</v>
      </c>
      <c r="BD90" s="82">
        <f t="shared" si="542"/>
        <v>1065600</v>
      </c>
      <c r="BE90" s="82">
        <f t="shared" si="543"/>
        <v>0</v>
      </c>
      <c r="BF90" s="82">
        <f t="shared" si="544"/>
        <v>5</v>
      </c>
      <c r="BG90" s="82">
        <f t="shared" si="468"/>
        <v>16</v>
      </c>
      <c r="BH90" s="82">
        <f t="shared" si="545"/>
        <v>1065600</v>
      </c>
      <c r="BI90" s="82"/>
      <c r="BJ90" s="83"/>
      <c r="BK90" s="82">
        <f t="shared" si="546"/>
        <v>0</v>
      </c>
      <c r="BL90" s="82">
        <f t="shared" si="547"/>
        <v>0</v>
      </c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>
        <f t="shared" si="548"/>
        <v>0</v>
      </c>
      <c r="BX90" s="82">
        <f t="shared" si="549"/>
        <v>0</v>
      </c>
      <c r="BY90" s="82">
        <f t="shared" si="474"/>
        <v>16</v>
      </c>
      <c r="BZ90" s="82">
        <f t="shared" si="550"/>
        <v>1065600</v>
      </c>
      <c r="CA90" s="82"/>
      <c r="CB90" s="82"/>
      <c r="CC90" s="82">
        <f t="shared" si="551"/>
        <v>0</v>
      </c>
      <c r="CD90" s="82">
        <f t="shared" si="552"/>
        <v>0</v>
      </c>
      <c r="CE90" s="82"/>
      <c r="CF90" s="82"/>
      <c r="CG90" s="82"/>
      <c r="CH90" s="82"/>
      <c r="CI90" s="82">
        <f t="shared" si="553"/>
        <v>0</v>
      </c>
      <c r="CJ90" s="82">
        <f t="shared" si="554"/>
        <v>0</v>
      </c>
      <c r="CK90" s="82">
        <f t="shared" si="480"/>
        <v>16</v>
      </c>
      <c r="CL90" s="82">
        <f t="shared" si="555"/>
        <v>1065600</v>
      </c>
      <c r="CM90" s="82"/>
      <c r="CN90" s="82"/>
      <c r="CO90" s="82">
        <f t="shared" si="35"/>
        <v>0</v>
      </c>
      <c r="CP90" s="82">
        <f t="shared" si="36"/>
        <v>0</v>
      </c>
      <c r="CQ90" s="82"/>
      <c r="CR90" s="82"/>
      <c r="CS90" s="82"/>
      <c r="CT90" s="82"/>
      <c r="CU90" s="82">
        <f t="shared" si="556"/>
        <v>0</v>
      </c>
      <c r="CV90" s="82">
        <f t="shared" si="557"/>
        <v>0</v>
      </c>
      <c r="CW90" s="82">
        <f t="shared" si="39"/>
        <v>16</v>
      </c>
      <c r="CX90" s="82">
        <f t="shared" si="558"/>
        <v>1065600</v>
      </c>
      <c r="CY90" s="82">
        <f t="shared" si="41"/>
        <v>0</v>
      </c>
      <c r="CZ90" s="82">
        <f t="shared" si="345"/>
        <v>0</v>
      </c>
      <c r="DA90" s="82">
        <f t="shared" si="43"/>
        <v>16</v>
      </c>
      <c r="DB90" s="82">
        <f t="shared" si="44"/>
        <v>1065600</v>
      </c>
      <c r="DC90" s="91"/>
      <c r="DD90" s="82"/>
      <c r="DE90" s="82"/>
      <c r="DF90" s="82">
        <f t="shared" si="559"/>
        <v>0</v>
      </c>
      <c r="DG90" s="82">
        <f t="shared" si="560"/>
        <v>0</v>
      </c>
      <c r="DH90" s="82"/>
      <c r="DI90" s="82"/>
      <c r="DJ90" s="82"/>
      <c r="DK90" s="82"/>
      <c r="DL90" s="82">
        <f t="shared" si="561"/>
        <v>0</v>
      </c>
      <c r="DM90" s="82">
        <f t="shared" si="562"/>
        <v>0</v>
      </c>
      <c r="DN90" s="82">
        <f t="shared" si="563"/>
        <v>16</v>
      </c>
      <c r="DO90" s="82">
        <f t="shared" si="564"/>
        <v>1065600</v>
      </c>
      <c r="DP90" s="82"/>
      <c r="DQ90" s="82"/>
      <c r="DR90" s="82">
        <f t="shared" si="565"/>
        <v>0</v>
      </c>
      <c r="DS90" s="82">
        <f t="shared" si="566"/>
        <v>0</v>
      </c>
      <c r="DT90" s="82"/>
      <c r="DU90" s="82"/>
      <c r="DV90" s="82"/>
      <c r="DW90" s="82"/>
      <c r="DX90" s="82">
        <f t="shared" si="567"/>
        <v>0</v>
      </c>
      <c r="DY90" s="82">
        <f t="shared" si="568"/>
        <v>0</v>
      </c>
      <c r="DZ90" s="82">
        <f t="shared" si="569"/>
        <v>16</v>
      </c>
      <c r="EA90" s="82">
        <f t="shared" si="570"/>
        <v>1065600</v>
      </c>
      <c r="EB90" s="82"/>
      <c r="EC90" s="82"/>
      <c r="ED90" s="82">
        <f t="shared" si="571"/>
        <v>0</v>
      </c>
      <c r="EE90" s="82">
        <f t="shared" si="572"/>
        <v>0</v>
      </c>
      <c r="EF90" s="82"/>
      <c r="EG90" s="82"/>
      <c r="EH90" s="82"/>
      <c r="EI90" s="82"/>
      <c r="EJ90" s="82">
        <f t="shared" si="573"/>
        <v>0</v>
      </c>
      <c r="EK90" s="82">
        <f t="shared" si="574"/>
        <v>0</v>
      </c>
      <c r="EL90" s="82">
        <f t="shared" si="575"/>
        <v>16</v>
      </c>
      <c r="EM90" s="82">
        <f t="shared" si="576"/>
        <v>1065600</v>
      </c>
      <c r="EN90" s="82">
        <f t="shared" si="577"/>
        <v>0</v>
      </c>
      <c r="EO90" s="82">
        <f t="shared" si="578"/>
        <v>0</v>
      </c>
      <c r="EP90" s="82">
        <f t="shared" si="579"/>
        <v>16</v>
      </c>
      <c r="EQ90" s="82">
        <f t="shared" si="580"/>
        <v>1065600</v>
      </c>
      <c r="ER90" s="82"/>
      <c r="ES90" s="82"/>
      <c r="ET90" s="82">
        <f t="shared" si="581"/>
        <v>0</v>
      </c>
      <c r="EU90" s="82">
        <f t="shared" si="582"/>
        <v>0</v>
      </c>
      <c r="EV90" s="82"/>
      <c r="EW90" s="82"/>
      <c r="EX90" s="82"/>
      <c r="EY90" s="82"/>
      <c r="EZ90" s="82">
        <f t="shared" si="583"/>
        <v>0</v>
      </c>
      <c r="FA90" s="82">
        <f t="shared" si="584"/>
        <v>0</v>
      </c>
      <c r="FB90" s="82">
        <f t="shared" si="585"/>
        <v>16</v>
      </c>
      <c r="FC90" s="82">
        <f t="shared" si="586"/>
        <v>1065600</v>
      </c>
      <c r="FD90" s="82"/>
      <c r="FE90" s="82"/>
      <c r="FF90" s="82">
        <f t="shared" si="587"/>
        <v>0</v>
      </c>
      <c r="FG90" s="82">
        <f t="shared" si="588"/>
        <v>0</v>
      </c>
      <c r="FH90" s="82"/>
      <c r="FI90" s="82"/>
      <c r="FJ90" s="82"/>
      <c r="FK90" s="82"/>
      <c r="FL90" s="82">
        <f t="shared" si="589"/>
        <v>0</v>
      </c>
      <c r="FM90" s="82">
        <f t="shared" si="590"/>
        <v>0</v>
      </c>
      <c r="FN90" s="82">
        <f t="shared" si="591"/>
        <v>16</v>
      </c>
      <c r="FO90" s="82">
        <f t="shared" si="592"/>
        <v>1065600</v>
      </c>
      <c r="FP90" s="82"/>
      <c r="FQ90" s="82"/>
      <c r="FR90" s="82">
        <f t="shared" si="593"/>
        <v>0</v>
      </c>
      <c r="FS90" s="82">
        <f t="shared" si="594"/>
        <v>0</v>
      </c>
      <c r="FT90" s="82"/>
      <c r="FU90" s="82"/>
      <c r="FV90" s="82"/>
      <c r="FW90" s="82"/>
      <c r="FX90" s="82">
        <f t="shared" si="595"/>
        <v>0</v>
      </c>
      <c r="FY90" s="82">
        <f t="shared" si="596"/>
        <v>0</v>
      </c>
      <c r="FZ90" s="82">
        <f t="shared" si="597"/>
        <v>16</v>
      </c>
      <c r="GA90" s="82">
        <f t="shared" si="598"/>
        <v>1065600</v>
      </c>
      <c r="GB90" s="82">
        <f t="shared" si="599"/>
        <v>0</v>
      </c>
      <c r="GC90" s="82">
        <f t="shared" si="600"/>
        <v>0</v>
      </c>
      <c r="GD90" s="82">
        <f t="shared" si="601"/>
        <v>16</v>
      </c>
      <c r="GE90" s="82">
        <f t="shared" si="602"/>
        <v>1065600</v>
      </c>
      <c r="GF90" s="85"/>
    </row>
    <row r="91" ht="29.25" customHeight="1">
      <c r="A91" s="16"/>
      <c r="B91" s="16"/>
      <c r="C91" s="16"/>
      <c r="D91" s="78" t="s">
        <v>96</v>
      </c>
      <c r="E91" s="79">
        <v>55500.0</v>
      </c>
      <c r="F91" s="80" t="s">
        <v>168</v>
      </c>
      <c r="G91" s="81">
        <v>34.0</v>
      </c>
      <c r="H91" s="82">
        <v>1887000.0</v>
      </c>
      <c r="I91" s="82"/>
      <c r="J91" s="82"/>
      <c r="K91" s="82">
        <f t="shared" si="528"/>
        <v>0</v>
      </c>
      <c r="L91" s="82">
        <f t="shared" si="529"/>
        <v>0</v>
      </c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>
        <f t="shared" si="530"/>
        <v>0</v>
      </c>
      <c r="AC91" s="82">
        <f t="shared" si="531"/>
        <v>0</v>
      </c>
      <c r="AD91" s="82">
        <f t="shared" si="452"/>
        <v>34</v>
      </c>
      <c r="AE91" s="82">
        <f t="shared" si="532"/>
        <v>1887000</v>
      </c>
      <c r="AF91" s="82"/>
      <c r="AG91" s="82"/>
      <c r="AH91" s="82">
        <f t="shared" si="533"/>
        <v>0</v>
      </c>
      <c r="AI91" s="82">
        <f t="shared" si="534"/>
        <v>0</v>
      </c>
      <c r="AJ91" s="82"/>
      <c r="AK91" s="82"/>
      <c r="AL91" s="82"/>
      <c r="AM91" s="82"/>
      <c r="AN91" s="82">
        <f t="shared" si="535"/>
        <v>0</v>
      </c>
      <c r="AO91" s="82">
        <f t="shared" si="536"/>
        <v>0</v>
      </c>
      <c r="AP91" s="82">
        <f t="shared" si="458"/>
        <v>34</v>
      </c>
      <c r="AQ91" s="82">
        <f t="shared" si="537"/>
        <v>1887000</v>
      </c>
      <c r="AR91" s="82"/>
      <c r="AS91" s="82"/>
      <c r="AT91" s="82"/>
      <c r="AU91" s="82">
        <f t="shared" si="538"/>
        <v>0</v>
      </c>
      <c r="AV91" s="82">
        <f t="shared" si="539"/>
        <v>0</v>
      </c>
      <c r="AW91" s="82"/>
      <c r="AX91" s="82"/>
      <c r="AY91" s="82"/>
      <c r="AZ91" s="82"/>
      <c r="BA91" s="82">
        <f t="shared" si="540"/>
        <v>0</v>
      </c>
      <c r="BB91" s="82">
        <f t="shared" si="541"/>
        <v>0</v>
      </c>
      <c r="BC91" s="82">
        <f t="shared" si="464"/>
        <v>34</v>
      </c>
      <c r="BD91" s="82">
        <f t="shared" si="542"/>
        <v>1887000</v>
      </c>
      <c r="BE91" s="82">
        <f t="shared" si="543"/>
        <v>0</v>
      </c>
      <c r="BF91" s="82">
        <f t="shared" si="544"/>
        <v>0</v>
      </c>
      <c r="BG91" s="82">
        <f t="shared" si="468"/>
        <v>34</v>
      </c>
      <c r="BH91" s="82">
        <f t="shared" si="545"/>
        <v>1887000</v>
      </c>
      <c r="BI91" s="82"/>
      <c r="BJ91" s="83"/>
      <c r="BK91" s="82">
        <f t="shared" si="546"/>
        <v>0</v>
      </c>
      <c r="BL91" s="82">
        <f t="shared" si="547"/>
        <v>0</v>
      </c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>
        <f t="shared" si="548"/>
        <v>0</v>
      </c>
      <c r="BX91" s="82">
        <f t="shared" si="549"/>
        <v>0</v>
      </c>
      <c r="BY91" s="82">
        <f t="shared" si="474"/>
        <v>34</v>
      </c>
      <c r="BZ91" s="82">
        <f t="shared" si="550"/>
        <v>1887000</v>
      </c>
      <c r="CA91" s="82"/>
      <c r="CB91" s="82"/>
      <c r="CC91" s="82">
        <f t="shared" si="551"/>
        <v>0</v>
      </c>
      <c r="CD91" s="82">
        <f t="shared" si="552"/>
        <v>0</v>
      </c>
      <c r="CE91" s="82"/>
      <c r="CF91" s="82"/>
      <c r="CG91" s="82"/>
      <c r="CH91" s="82"/>
      <c r="CI91" s="82">
        <f t="shared" si="553"/>
        <v>0</v>
      </c>
      <c r="CJ91" s="82">
        <f t="shared" si="554"/>
        <v>0</v>
      </c>
      <c r="CK91" s="82">
        <f t="shared" si="480"/>
        <v>34</v>
      </c>
      <c r="CL91" s="82">
        <f t="shared" si="555"/>
        <v>1887000</v>
      </c>
      <c r="CM91" s="82"/>
      <c r="CN91" s="82"/>
      <c r="CO91" s="82">
        <f t="shared" si="35"/>
        <v>0</v>
      </c>
      <c r="CP91" s="82">
        <f t="shared" si="36"/>
        <v>0</v>
      </c>
      <c r="CQ91" s="82"/>
      <c r="CR91" s="82"/>
      <c r="CS91" s="82"/>
      <c r="CT91" s="82"/>
      <c r="CU91" s="82">
        <f t="shared" si="556"/>
        <v>0</v>
      </c>
      <c r="CV91" s="82">
        <f t="shared" si="557"/>
        <v>0</v>
      </c>
      <c r="CW91" s="82">
        <f t="shared" si="39"/>
        <v>34</v>
      </c>
      <c r="CX91" s="82">
        <f t="shared" si="558"/>
        <v>1887000</v>
      </c>
      <c r="CY91" s="82">
        <f t="shared" si="41"/>
        <v>0</v>
      </c>
      <c r="CZ91" s="82">
        <f t="shared" si="345"/>
        <v>0</v>
      </c>
      <c r="DA91" s="82">
        <f t="shared" si="43"/>
        <v>34</v>
      </c>
      <c r="DB91" s="82">
        <f t="shared" si="44"/>
        <v>1887000</v>
      </c>
      <c r="DC91" s="91"/>
      <c r="DD91" s="82"/>
      <c r="DE91" s="82"/>
      <c r="DF91" s="82">
        <f t="shared" si="559"/>
        <v>0</v>
      </c>
      <c r="DG91" s="82">
        <f t="shared" si="560"/>
        <v>0</v>
      </c>
      <c r="DH91" s="82"/>
      <c r="DI91" s="82"/>
      <c r="DJ91" s="82"/>
      <c r="DK91" s="82"/>
      <c r="DL91" s="82">
        <f t="shared" si="561"/>
        <v>0</v>
      </c>
      <c r="DM91" s="82">
        <f t="shared" si="562"/>
        <v>0</v>
      </c>
      <c r="DN91" s="82">
        <f t="shared" si="563"/>
        <v>34</v>
      </c>
      <c r="DO91" s="82">
        <f t="shared" si="564"/>
        <v>1887000</v>
      </c>
      <c r="DP91" s="82"/>
      <c r="DQ91" s="82"/>
      <c r="DR91" s="82">
        <f t="shared" si="565"/>
        <v>0</v>
      </c>
      <c r="DS91" s="82">
        <f t="shared" si="566"/>
        <v>0</v>
      </c>
      <c r="DT91" s="82"/>
      <c r="DU91" s="82"/>
      <c r="DV91" s="82"/>
      <c r="DW91" s="82"/>
      <c r="DX91" s="82">
        <f t="shared" si="567"/>
        <v>0</v>
      </c>
      <c r="DY91" s="82">
        <f t="shared" si="568"/>
        <v>0</v>
      </c>
      <c r="DZ91" s="82">
        <f t="shared" si="569"/>
        <v>34</v>
      </c>
      <c r="EA91" s="82">
        <f t="shared" si="570"/>
        <v>1887000</v>
      </c>
      <c r="EB91" s="82"/>
      <c r="EC91" s="82"/>
      <c r="ED91" s="82">
        <f t="shared" si="571"/>
        <v>0</v>
      </c>
      <c r="EE91" s="82">
        <f t="shared" si="572"/>
        <v>0</v>
      </c>
      <c r="EF91" s="82"/>
      <c r="EG91" s="82"/>
      <c r="EH91" s="82"/>
      <c r="EI91" s="82"/>
      <c r="EJ91" s="82">
        <f t="shared" si="573"/>
        <v>0</v>
      </c>
      <c r="EK91" s="82">
        <f t="shared" si="574"/>
        <v>0</v>
      </c>
      <c r="EL91" s="82">
        <f t="shared" si="575"/>
        <v>34</v>
      </c>
      <c r="EM91" s="82">
        <f t="shared" si="576"/>
        <v>1887000</v>
      </c>
      <c r="EN91" s="82">
        <f t="shared" si="577"/>
        <v>0</v>
      </c>
      <c r="EO91" s="82">
        <f t="shared" si="578"/>
        <v>0</v>
      </c>
      <c r="EP91" s="82">
        <f t="shared" si="579"/>
        <v>34</v>
      </c>
      <c r="EQ91" s="82">
        <f t="shared" si="580"/>
        <v>1887000</v>
      </c>
      <c r="ER91" s="82"/>
      <c r="ES91" s="82"/>
      <c r="ET91" s="82">
        <f t="shared" si="581"/>
        <v>0</v>
      </c>
      <c r="EU91" s="82">
        <f t="shared" si="582"/>
        <v>0</v>
      </c>
      <c r="EV91" s="82"/>
      <c r="EW91" s="82"/>
      <c r="EX91" s="82"/>
      <c r="EY91" s="82"/>
      <c r="EZ91" s="82">
        <f t="shared" si="583"/>
        <v>0</v>
      </c>
      <c r="FA91" s="82">
        <f t="shared" si="584"/>
        <v>0</v>
      </c>
      <c r="FB91" s="82">
        <f t="shared" si="585"/>
        <v>34</v>
      </c>
      <c r="FC91" s="82">
        <f t="shared" si="586"/>
        <v>1887000</v>
      </c>
      <c r="FD91" s="82"/>
      <c r="FE91" s="82"/>
      <c r="FF91" s="82">
        <f t="shared" si="587"/>
        <v>0</v>
      </c>
      <c r="FG91" s="82">
        <f t="shared" si="588"/>
        <v>0</v>
      </c>
      <c r="FH91" s="82"/>
      <c r="FI91" s="82"/>
      <c r="FJ91" s="82"/>
      <c r="FK91" s="82"/>
      <c r="FL91" s="82">
        <f t="shared" si="589"/>
        <v>0</v>
      </c>
      <c r="FM91" s="82">
        <f t="shared" si="590"/>
        <v>0</v>
      </c>
      <c r="FN91" s="82">
        <f t="shared" si="591"/>
        <v>34</v>
      </c>
      <c r="FO91" s="82">
        <f t="shared" si="592"/>
        <v>1887000</v>
      </c>
      <c r="FP91" s="82"/>
      <c r="FQ91" s="82"/>
      <c r="FR91" s="82">
        <f t="shared" si="593"/>
        <v>0</v>
      </c>
      <c r="FS91" s="82">
        <f t="shared" si="594"/>
        <v>0</v>
      </c>
      <c r="FT91" s="82"/>
      <c r="FU91" s="82"/>
      <c r="FV91" s="82"/>
      <c r="FW91" s="82"/>
      <c r="FX91" s="82">
        <f t="shared" si="595"/>
        <v>0</v>
      </c>
      <c r="FY91" s="82">
        <f t="shared" si="596"/>
        <v>0</v>
      </c>
      <c r="FZ91" s="82">
        <f t="shared" si="597"/>
        <v>34</v>
      </c>
      <c r="GA91" s="82">
        <f t="shared" si="598"/>
        <v>1887000</v>
      </c>
      <c r="GB91" s="82">
        <f t="shared" si="599"/>
        <v>0</v>
      </c>
      <c r="GC91" s="82">
        <f t="shared" si="600"/>
        <v>0</v>
      </c>
      <c r="GD91" s="82">
        <f t="shared" si="601"/>
        <v>34</v>
      </c>
      <c r="GE91" s="82">
        <f t="shared" si="602"/>
        <v>1887000</v>
      </c>
      <c r="GF91" s="85"/>
    </row>
    <row r="92" ht="29.25" customHeight="1">
      <c r="A92" s="76">
        <v>49.0</v>
      </c>
      <c r="B92" s="87"/>
      <c r="C92" s="77" t="s">
        <v>169</v>
      </c>
      <c r="D92" s="78" t="s">
        <v>96</v>
      </c>
      <c r="E92" s="79">
        <v>1169.94</v>
      </c>
      <c r="F92" s="61" t="s">
        <v>97</v>
      </c>
      <c r="G92" s="81">
        <v>12.0</v>
      </c>
      <c r="H92" s="82">
        <v>14039.28</v>
      </c>
      <c r="I92" s="82"/>
      <c r="J92" s="82"/>
      <c r="K92" s="82">
        <f t="shared" si="528"/>
        <v>0</v>
      </c>
      <c r="L92" s="82">
        <f t="shared" si="529"/>
        <v>0</v>
      </c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>
        <f t="shared" si="530"/>
        <v>0</v>
      </c>
      <c r="AC92" s="82">
        <f t="shared" si="531"/>
        <v>0</v>
      </c>
      <c r="AD92" s="82">
        <f t="shared" si="452"/>
        <v>12</v>
      </c>
      <c r="AE92" s="82">
        <f t="shared" si="532"/>
        <v>14039.28</v>
      </c>
      <c r="AF92" s="82"/>
      <c r="AG92" s="82"/>
      <c r="AH92" s="82">
        <f t="shared" si="533"/>
        <v>0</v>
      </c>
      <c r="AI92" s="82">
        <f t="shared" si="534"/>
        <v>0</v>
      </c>
      <c r="AJ92" s="82"/>
      <c r="AK92" s="82"/>
      <c r="AL92" s="82"/>
      <c r="AM92" s="82"/>
      <c r="AN92" s="82">
        <f t="shared" si="535"/>
        <v>0</v>
      </c>
      <c r="AO92" s="82">
        <f t="shared" si="536"/>
        <v>0</v>
      </c>
      <c r="AP92" s="82">
        <f t="shared" si="458"/>
        <v>12</v>
      </c>
      <c r="AQ92" s="82">
        <f t="shared" si="537"/>
        <v>14039.28</v>
      </c>
      <c r="AR92" s="82"/>
      <c r="AS92" s="82"/>
      <c r="AT92" s="82"/>
      <c r="AU92" s="82">
        <f t="shared" si="538"/>
        <v>0</v>
      </c>
      <c r="AV92" s="82">
        <f t="shared" si="539"/>
        <v>0</v>
      </c>
      <c r="AW92" s="82"/>
      <c r="AX92" s="82"/>
      <c r="AY92" s="82"/>
      <c r="AZ92" s="82"/>
      <c r="BA92" s="82">
        <f t="shared" si="540"/>
        <v>0</v>
      </c>
      <c r="BB92" s="82">
        <f t="shared" si="541"/>
        <v>0</v>
      </c>
      <c r="BC92" s="82">
        <f t="shared" si="464"/>
        <v>12</v>
      </c>
      <c r="BD92" s="82">
        <f t="shared" si="542"/>
        <v>14039.28</v>
      </c>
      <c r="BE92" s="82">
        <f t="shared" si="543"/>
        <v>0</v>
      </c>
      <c r="BF92" s="82">
        <f t="shared" si="544"/>
        <v>0</v>
      </c>
      <c r="BG92" s="82">
        <f t="shared" si="468"/>
        <v>12</v>
      </c>
      <c r="BH92" s="82">
        <f t="shared" si="545"/>
        <v>14039.28</v>
      </c>
      <c r="BI92" s="82"/>
      <c r="BJ92" s="83"/>
      <c r="BK92" s="82">
        <f t="shared" si="546"/>
        <v>0</v>
      </c>
      <c r="BL92" s="82">
        <f t="shared" si="547"/>
        <v>0</v>
      </c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>
        <f t="shared" si="548"/>
        <v>0</v>
      </c>
      <c r="BX92" s="82">
        <f t="shared" si="549"/>
        <v>0</v>
      </c>
      <c r="BY92" s="82">
        <f t="shared" si="474"/>
        <v>12</v>
      </c>
      <c r="BZ92" s="82">
        <f t="shared" si="550"/>
        <v>14039.28</v>
      </c>
      <c r="CA92" s="82"/>
      <c r="CB92" s="82"/>
      <c r="CC92" s="82">
        <f t="shared" si="551"/>
        <v>0</v>
      </c>
      <c r="CD92" s="82">
        <f t="shared" si="552"/>
        <v>0</v>
      </c>
      <c r="CE92" s="82"/>
      <c r="CF92" s="82"/>
      <c r="CG92" s="82"/>
      <c r="CH92" s="82"/>
      <c r="CI92" s="82">
        <f t="shared" si="553"/>
        <v>0</v>
      </c>
      <c r="CJ92" s="82">
        <f t="shared" si="554"/>
        <v>0</v>
      </c>
      <c r="CK92" s="82">
        <f t="shared" si="480"/>
        <v>12</v>
      </c>
      <c r="CL92" s="82">
        <f t="shared" si="555"/>
        <v>14039.28</v>
      </c>
      <c r="CM92" s="82"/>
      <c r="CN92" s="82"/>
      <c r="CO92" s="82">
        <f t="shared" si="35"/>
        <v>0</v>
      </c>
      <c r="CP92" s="82">
        <f t="shared" si="36"/>
        <v>0</v>
      </c>
      <c r="CQ92" s="82"/>
      <c r="CR92" s="82"/>
      <c r="CS92" s="82"/>
      <c r="CT92" s="82"/>
      <c r="CU92" s="82">
        <f t="shared" si="556"/>
        <v>0</v>
      </c>
      <c r="CV92" s="82">
        <f t="shared" si="557"/>
        <v>0</v>
      </c>
      <c r="CW92" s="82">
        <f t="shared" si="39"/>
        <v>12</v>
      </c>
      <c r="CX92" s="82">
        <f t="shared" si="558"/>
        <v>14039.28</v>
      </c>
      <c r="CY92" s="82">
        <f t="shared" si="41"/>
        <v>0</v>
      </c>
      <c r="CZ92" s="82">
        <f t="shared" si="345"/>
        <v>0</v>
      </c>
      <c r="DA92" s="82">
        <f t="shared" si="43"/>
        <v>12</v>
      </c>
      <c r="DB92" s="82">
        <f t="shared" si="44"/>
        <v>14039.28</v>
      </c>
      <c r="DC92" s="84">
        <v>77.0</v>
      </c>
      <c r="DD92" s="82"/>
      <c r="DE92" s="82"/>
      <c r="DF92" s="82">
        <f t="shared" si="559"/>
        <v>0</v>
      </c>
      <c r="DG92" s="82">
        <f t="shared" si="560"/>
        <v>0</v>
      </c>
      <c r="DH92" s="82"/>
      <c r="DI92" s="82"/>
      <c r="DJ92" s="82"/>
      <c r="DK92" s="82"/>
      <c r="DL92" s="82">
        <f t="shared" si="561"/>
        <v>0</v>
      </c>
      <c r="DM92" s="82">
        <f t="shared" si="562"/>
        <v>0</v>
      </c>
      <c r="DN92" s="82">
        <f t="shared" si="563"/>
        <v>12</v>
      </c>
      <c r="DO92" s="82">
        <f t="shared" si="564"/>
        <v>14039.28</v>
      </c>
      <c r="DP92" s="82"/>
      <c r="DQ92" s="82"/>
      <c r="DR92" s="82">
        <f t="shared" si="565"/>
        <v>0</v>
      </c>
      <c r="DS92" s="82">
        <f t="shared" si="566"/>
        <v>0</v>
      </c>
      <c r="DT92" s="82"/>
      <c r="DU92" s="82"/>
      <c r="DV92" s="82"/>
      <c r="DW92" s="82"/>
      <c r="DX92" s="82">
        <f t="shared" si="567"/>
        <v>0</v>
      </c>
      <c r="DY92" s="82">
        <f t="shared" si="568"/>
        <v>0</v>
      </c>
      <c r="DZ92" s="82">
        <f t="shared" si="569"/>
        <v>12</v>
      </c>
      <c r="EA92" s="82">
        <f t="shared" si="570"/>
        <v>14039.28</v>
      </c>
      <c r="EB92" s="82"/>
      <c r="EC92" s="82"/>
      <c r="ED92" s="82">
        <f t="shared" si="571"/>
        <v>0</v>
      </c>
      <c r="EE92" s="82">
        <f t="shared" si="572"/>
        <v>0</v>
      </c>
      <c r="EF92" s="82"/>
      <c r="EG92" s="82"/>
      <c r="EH92" s="82"/>
      <c r="EI92" s="82"/>
      <c r="EJ92" s="82">
        <f t="shared" si="573"/>
        <v>0</v>
      </c>
      <c r="EK92" s="82">
        <f t="shared" si="574"/>
        <v>0</v>
      </c>
      <c r="EL92" s="82">
        <f t="shared" si="575"/>
        <v>12</v>
      </c>
      <c r="EM92" s="82">
        <f t="shared" si="576"/>
        <v>14039.28</v>
      </c>
      <c r="EN92" s="82">
        <f t="shared" si="577"/>
        <v>0</v>
      </c>
      <c r="EO92" s="82">
        <f t="shared" si="578"/>
        <v>0</v>
      </c>
      <c r="EP92" s="82">
        <f t="shared" si="579"/>
        <v>12</v>
      </c>
      <c r="EQ92" s="82">
        <f t="shared" si="580"/>
        <v>14039.28</v>
      </c>
      <c r="ER92" s="82"/>
      <c r="ES92" s="82"/>
      <c r="ET92" s="82">
        <f t="shared" si="581"/>
        <v>0</v>
      </c>
      <c r="EU92" s="82">
        <f t="shared" si="582"/>
        <v>0</v>
      </c>
      <c r="EV92" s="82"/>
      <c r="EW92" s="82"/>
      <c r="EX92" s="82"/>
      <c r="EY92" s="82"/>
      <c r="EZ92" s="82">
        <f t="shared" si="583"/>
        <v>0</v>
      </c>
      <c r="FA92" s="82">
        <f t="shared" si="584"/>
        <v>0</v>
      </c>
      <c r="FB92" s="82">
        <f t="shared" si="585"/>
        <v>12</v>
      </c>
      <c r="FC92" s="82">
        <f t="shared" si="586"/>
        <v>14039.28</v>
      </c>
      <c r="FD92" s="82"/>
      <c r="FE92" s="82"/>
      <c r="FF92" s="82">
        <f t="shared" si="587"/>
        <v>0</v>
      </c>
      <c r="FG92" s="82">
        <f t="shared" si="588"/>
        <v>0</v>
      </c>
      <c r="FH92" s="82"/>
      <c r="FI92" s="82"/>
      <c r="FJ92" s="82"/>
      <c r="FK92" s="82"/>
      <c r="FL92" s="82">
        <f t="shared" si="589"/>
        <v>0</v>
      </c>
      <c r="FM92" s="82">
        <f t="shared" si="590"/>
        <v>0</v>
      </c>
      <c r="FN92" s="82">
        <f t="shared" si="591"/>
        <v>12</v>
      </c>
      <c r="FO92" s="82">
        <f t="shared" si="592"/>
        <v>14039.28</v>
      </c>
      <c r="FP92" s="82"/>
      <c r="FQ92" s="82"/>
      <c r="FR92" s="82">
        <f t="shared" si="593"/>
        <v>0</v>
      </c>
      <c r="FS92" s="82">
        <f t="shared" si="594"/>
        <v>0</v>
      </c>
      <c r="FT92" s="82"/>
      <c r="FU92" s="82"/>
      <c r="FV92" s="82"/>
      <c r="FW92" s="82"/>
      <c r="FX92" s="82">
        <f t="shared" si="595"/>
        <v>0</v>
      </c>
      <c r="FY92" s="82">
        <f t="shared" si="596"/>
        <v>0</v>
      </c>
      <c r="FZ92" s="82">
        <f t="shared" si="597"/>
        <v>12</v>
      </c>
      <c r="GA92" s="82">
        <f t="shared" si="598"/>
        <v>14039.28</v>
      </c>
      <c r="GB92" s="82">
        <f t="shared" si="599"/>
        <v>0</v>
      </c>
      <c r="GC92" s="82">
        <f t="shared" si="600"/>
        <v>0</v>
      </c>
      <c r="GD92" s="82">
        <f t="shared" si="601"/>
        <v>12</v>
      </c>
      <c r="GE92" s="82">
        <f t="shared" si="602"/>
        <v>14039.28</v>
      </c>
      <c r="GF92" s="85"/>
    </row>
    <row r="93" ht="29.25" customHeight="1">
      <c r="A93" s="96">
        <v>50.0</v>
      </c>
      <c r="B93" s="97"/>
      <c r="C93" s="58" t="s">
        <v>170</v>
      </c>
      <c r="D93" s="78" t="s">
        <v>96</v>
      </c>
      <c r="E93" s="79"/>
      <c r="F93" s="61"/>
      <c r="G93" s="81">
        <v>0.0</v>
      </c>
      <c r="H93" s="82">
        <v>0.0</v>
      </c>
      <c r="I93" s="82"/>
      <c r="J93" s="82"/>
      <c r="K93" s="82">
        <f t="shared" si="528"/>
        <v>0</v>
      </c>
      <c r="L93" s="82">
        <f t="shared" si="529"/>
        <v>0</v>
      </c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>
        <f t="shared" si="530"/>
        <v>0</v>
      </c>
      <c r="AC93" s="82">
        <f t="shared" si="531"/>
        <v>0</v>
      </c>
      <c r="AD93" s="82">
        <f t="shared" si="452"/>
        <v>0</v>
      </c>
      <c r="AE93" s="82">
        <f t="shared" si="532"/>
        <v>0</v>
      </c>
      <c r="AF93" s="82"/>
      <c r="AG93" s="82"/>
      <c r="AH93" s="82">
        <f t="shared" si="533"/>
        <v>0</v>
      </c>
      <c r="AI93" s="82">
        <f t="shared" si="534"/>
        <v>0</v>
      </c>
      <c r="AJ93" s="82"/>
      <c r="AK93" s="82"/>
      <c r="AL93" s="82"/>
      <c r="AM93" s="82"/>
      <c r="AN93" s="82">
        <f t="shared" si="535"/>
        <v>0</v>
      </c>
      <c r="AO93" s="82">
        <f t="shared" si="536"/>
        <v>0</v>
      </c>
      <c r="AP93" s="82">
        <f t="shared" si="458"/>
        <v>0</v>
      </c>
      <c r="AQ93" s="82">
        <f t="shared" si="537"/>
        <v>0</v>
      </c>
      <c r="AR93" s="82"/>
      <c r="AS93" s="82"/>
      <c r="AT93" s="82"/>
      <c r="AU93" s="82">
        <f t="shared" si="538"/>
        <v>0</v>
      </c>
      <c r="AV93" s="82">
        <f t="shared" si="539"/>
        <v>0</v>
      </c>
      <c r="AW93" s="82"/>
      <c r="AX93" s="82"/>
      <c r="AY93" s="82"/>
      <c r="AZ93" s="82"/>
      <c r="BA93" s="82">
        <f t="shared" si="540"/>
        <v>0</v>
      </c>
      <c r="BB93" s="82">
        <f t="shared" si="541"/>
        <v>0</v>
      </c>
      <c r="BC93" s="82">
        <f t="shared" si="464"/>
        <v>0</v>
      </c>
      <c r="BD93" s="82">
        <f t="shared" si="542"/>
        <v>0</v>
      </c>
      <c r="BE93" s="82">
        <f t="shared" si="543"/>
        <v>0</v>
      </c>
      <c r="BF93" s="82">
        <f t="shared" si="544"/>
        <v>0</v>
      </c>
      <c r="BG93" s="82">
        <f t="shared" si="468"/>
        <v>0</v>
      </c>
      <c r="BH93" s="82">
        <f t="shared" si="545"/>
        <v>0</v>
      </c>
      <c r="BI93" s="82"/>
      <c r="BJ93" s="83"/>
      <c r="BK93" s="82">
        <f t="shared" si="546"/>
        <v>0</v>
      </c>
      <c r="BL93" s="82">
        <f t="shared" si="547"/>
        <v>0</v>
      </c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>
        <f t="shared" si="548"/>
        <v>0</v>
      </c>
      <c r="BX93" s="82">
        <f t="shared" si="549"/>
        <v>0</v>
      </c>
      <c r="BY93" s="82">
        <f t="shared" si="474"/>
        <v>0</v>
      </c>
      <c r="BZ93" s="82">
        <f t="shared" si="550"/>
        <v>0</v>
      </c>
      <c r="CA93" s="82"/>
      <c r="CB93" s="82"/>
      <c r="CC93" s="82">
        <f t="shared" si="551"/>
        <v>0</v>
      </c>
      <c r="CD93" s="82">
        <f t="shared" si="552"/>
        <v>0</v>
      </c>
      <c r="CE93" s="82"/>
      <c r="CF93" s="82"/>
      <c r="CG93" s="82"/>
      <c r="CH93" s="82"/>
      <c r="CI93" s="82">
        <f t="shared" si="553"/>
        <v>0</v>
      </c>
      <c r="CJ93" s="82">
        <f t="shared" si="554"/>
        <v>0</v>
      </c>
      <c r="CK93" s="82">
        <f t="shared" si="480"/>
        <v>0</v>
      </c>
      <c r="CL93" s="82">
        <f t="shared" si="555"/>
        <v>0</v>
      </c>
      <c r="CM93" s="82"/>
      <c r="CN93" s="82"/>
      <c r="CO93" s="82">
        <f t="shared" si="35"/>
        <v>0</v>
      </c>
      <c r="CP93" s="82">
        <f t="shared" si="36"/>
        <v>0</v>
      </c>
      <c r="CQ93" s="82"/>
      <c r="CR93" s="82"/>
      <c r="CS93" s="82"/>
      <c r="CT93" s="82"/>
      <c r="CU93" s="82">
        <f t="shared" si="556"/>
        <v>0</v>
      </c>
      <c r="CV93" s="82">
        <f t="shared" si="557"/>
        <v>0</v>
      </c>
      <c r="CW93" s="82">
        <f t="shared" si="39"/>
        <v>0</v>
      </c>
      <c r="CX93" s="82">
        <f t="shared" si="558"/>
        <v>0</v>
      </c>
      <c r="CY93" s="82">
        <f t="shared" si="41"/>
        <v>0</v>
      </c>
      <c r="CZ93" s="82">
        <f t="shared" si="345"/>
        <v>0</v>
      </c>
      <c r="DA93" s="82">
        <f t="shared" si="43"/>
        <v>0</v>
      </c>
      <c r="DB93" s="82">
        <f t="shared" si="44"/>
        <v>0</v>
      </c>
      <c r="DC93" s="91"/>
      <c r="DD93" s="82"/>
      <c r="DE93" s="82"/>
      <c r="DF93" s="82">
        <f t="shared" si="559"/>
        <v>0</v>
      </c>
      <c r="DG93" s="82">
        <f t="shared" si="560"/>
        <v>0</v>
      </c>
      <c r="DH93" s="82"/>
      <c r="DI93" s="82"/>
      <c r="DJ93" s="82"/>
      <c r="DK93" s="82"/>
      <c r="DL93" s="82">
        <f t="shared" si="561"/>
        <v>0</v>
      </c>
      <c r="DM93" s="82">
        <f t="shared" si="562"/>
        <v>0</v>
      </c>
      <c r="DN93" s="82">
        <f t="shared" si="563"/>
        <v>0</v>
      </c>
      <c r="DO93" s="82">
        <f t="shared" si="564"/>
        <v>0</v>
      </c>
      <c r="DP93" s="82"/>
      <c r="DQ93" s="82"/>
      <c r="DR93" s="82">
        <f t="shared" si="565"/>
        <v>0</v>
      </c>
      <c r="DS93" s="82">
        <f t="shared" si="566"/>
        <v>0</v>
      </c>
      <c r="DT93" s="82"/>
      <c r="DU93" s="82"/>
      <c r="DV93" s="82"/>
      <c r="DW93" s="82"/>
      <c r="DX93" s="82">
        <f t="shared" si="567"/>
        <v>0</v>
      </c>
      <c r="DY93" s="82">
        <f t="shared" si="568"/>
        <v>0</v>
      </c>
      <c r="DZ93" s="82">
        <f t="shared" si="569"/>
        <v>0</v>
      </c>
      <c r="EA93" s="82">
        <f t="shared" si="570"/>
        <v>0</v>
      </c>
      <c r="EB93" s="82"/>
      <c r="EC93" s="82"/>
      <c r="ED93" s="82">
        <f t="shared" si="571"/>
        <v>0</v>
      </c>
      <c r="EE93" s="82">
        <f t="shared" si="572"/>
        <v>0</v>
      </c>
      <c r="EF93" s="82"/>
      <c r="EG93" s="82"/>
      <c r="EH93" s="82"/>
      <c r="EI93" s="82"/>
      <c r="EJ93" s="82">
        <f t="shared" si="573"/>
        <v>0</v>
      </c>
      <c r="EK93" s="82">
        <f t="shared" si="574"/>
        <v>0</v>
      </c>
      <c r="EL93" s="82">
        <f t="shared" si="575"/>
        <v>0</v>
      </c>
      <c r="EM93" s="82">
        <f t="shared" si="576"/>
        <v>0</v>
      </c>
      <c r="EN93" s="82">
        <f t="shared" si="577"/>
        <v>0</v>
      </c>
      <c r="EO93" s="82">
        <f t="shared" si="578"/>
        <v>0</v>
      </c>
      <c r="EP93" s="82">
        <f t="shared" si="579"/>
        <v>0</v>
      </c>
      <c r="EQ93" s="82">
        <f t="shared" si="580"/>
        <v>0</v>
      </c>
      <c r="ER93" s="82"/>
      <c r="ES93" s="82"/>
      <c r="ET93" s="82">
        <f t="shared" si="581"/>
        <v>0</v>
      </c>
      <c r="EU93" s="82">
        <f t="shared" si="582"/>
        <v>0</v>
      </c>
      <c r="EV93" s="82"/>
      <c r="EW93" s="82"/>
      <c r="EX93" s="82"/>
      <c r="EY93" s="82"/>
      <c r="EZ93" s="82">
        <f t="shared" si="583"/>
        <v>0</v>
      </c>
      <c r="FA93" s="82">
        <f t="shared" si="584"/>
        <v>0</v>
      </c>
      <c r="FB93" s="82">
        <f t="shared" si="585"/>
        <v>0</v>
      </c>
      <c r="FC93" s="82">
        <f t="shared" si="586"/>
        <v>0</v>
      </c>
      <c r="FD93" s="82"/>
      <c r="FE93" s="82"/>
      <c r="FF93" s="82">
        <f t="shared" si="587"/>
        <v>0</v>
      </c>
      <c r="FG93" s="82">
        <f t="shared" si="588"/>
        <v>0</v>
      </c>
      <c r="FH93" s="82"/>
      <c r="FI93" s="82"/>
      <c r="FJ93" s="82"/>
      <c r="FK93" s="82"/>
      <c r="FL93" s="82">
        <f t="shared" si="589"/>
        <v>0</v>
      </c>
      <c r="FM93" s="82">
        <f t="shared" si="590"/>
        <v>0</v>
      </c>
      <c r="FN93" s="82">
        <f t="shared" si="591"/>
        <v>0</v>
      </c>
      <c r="FO93" s="82">
        <f t="shared" si="592"/>
        <v>0</v>
      </c>
      <c r="FP93" s="82"/>
      <c r="FQ93" s="82"/>
      <c r="FR93" s="82">
        <f t="shared" si="593"/>
        <v>0</v>
      </c>
      <c r="FS93" s="82">
        <f t="shared" si="594"/>
        <v>0</v>
      </c>
      <c r="FT93" s="82"/>
      <c r="FU93" s="82"/>
      <c r="FV93" s="82"/>
      <c r="FW93" s="82"/>
      <c r="FX93" s="82">
        <f t="shared" si="595"/>
        <v>0</v>
      </c>
      <c r="FY93" s="82">
        <f t="shared" si="596"/>
        <v>0</v>
      </c>
      <c r="FZ93" s="82">
        <f t="shared" si="597"/>
        <v>0</v>
      </c>
      <c r="GA93" s="82">
        <f t="shared" si="598"/>
        <v>0</v>
      </c>
      <c r="GB93" s="82">
        <f t="shared" si="599"/>
        <v>0</v>
      </c>
      <c r="GC93" s="82">
        <f t="shared" si="600"/>
        <v>0</v>
      </c>
      <c r="GD93" s="82">
        <f t="shared" si="601"/>
        <v>0</v>
      </c>
      <c r="GE93" s="82">
        <f t="shared" si="602"/>
        <v>0</v>
      </c>
      <c r="GF93" s="85"/>
    </row>
    <row r="94" ht="29.25" customHeight="1">
      <c r="A94" s="96">
        <v>51.0</v>
      </c>
      <c r="B94" s="96"/>
      <c r="C94" s="88" t="s">
        <v>171</v>
      </c>
      <c r="D94" s="78" t="s">
        <v>96</v>
      </c>
      <c r="E94" s="79">
        <v>61050.0</v>
      </c>
      <c r="F94" s="80" t="s">
        <v>168</v>
      </c>
      <c r="G94" s="81">
        <v>2.0</v>
      </c>
      <c r="H94" s="82">
        <v>122100.0</v>
      </c>
      <c r="I94" s="82"/>
      <c r="J94" s="82"/>
      <c r="K94" s="82">
        <f t="shared" si="528"/>
        <v>0</v>
      </c>
      <c r="L94" s="82">
        <f t="shared" si="529"/>
        <v>0</v>
      </c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>
        <f t="shared" si="530"/>
        <v>0</v>
      </c>
      <c r="AC94" s="82">
        <f t="shared" si="531"/>
        <v>0</v>
      </c>
      <c r="AD94" s="82">
        <f t="shared" si="452"/>
        <v>2</v>
      </c>
      <c r="AE94" s="82">
        <f t="shared" si="532"/>
        <v>122100</v>
      </c>
      <c r="AF94" s="82"/>
      <c r="AG94" s="82"/>
      <c r="AH94" s="82">
        <f t="shared" si="533"/>
        <v>0</v>
      </c>
      <c r="AI94" s="82">
        <f t="shared" si="534"/>
        <v>0</v>
      </c>
      <c r="AJ94" s="82"/>
      <c r="AK94" s="82"/>
      <c r="AL94" s="82"/>
      <c r="AM94" s="82"/>
      <c r="AN94" s="82">
        <f t="shared" si="535"/>
        <v>0</v>
      </c>
      <c r="AO94" s="82">
        <f t="shared" si="536"/>
        <v>0</v>
      </c>
      <c r="AP94" s="82">
        <f t="shared" si="458"/>
        <v>2</v>
      </c>
      <c r="AQ94" s="82">
        <f t="shared" si="537"/>
        <v>122100</v>
      </c>
      <c r="AR94" s="82"/>
      <c r="AS94" s="82"/>
      <c r="AT94" s="82"/>
      <c r="AU94" s="82">
        <f t="shared" si="538"/>
        <v>0</v>
      </c>
      <c r="AV94" s="82">
        <f t="shared" si="539"/>
        <v>0</v>
      </c>
      <c r="AW94" s="82"/>
      <c r="AX94" s="82"/>
      <c r="AY94" s="82"/>
      <c r="AZ94" s="82"/>
      <c r="BA94" s="82">
        <f t="shared" si="540"/>
        <v>0</v>
      </c>
      <c r="BB94" s="82">
        <f t="shared" si="541"/>
        <v>0</v>
      </c>
      <c r="BC94" s="82">
        <f t="shared" si="464"/>
        <v>2</v>
      </c>
      <c r="BD94" s="82">
        <f t="shared" si="542"/>
        <v>122100</v>
      </c>
      <c r="BE94" s="82">
        <f t="shared" si="543"/>
        <v>0</v>
      </c>
      <c r="BF94" s="82">
        <f t="shared" si="544"/>
        <v>0</v>
      </c>
      <c r="BG94" s="82">
        <f t="shared" si="468"/>
        <v>2</v>
      </c>
      <c r="BH94" s="82">
        <f t="shared" si="545"/>
        <v>122100</v>
      </c>
      <c r="BI94" s="82"/>
      <c r="BJ94" s="83"/>
      <c r="BK94" s="82">
        <f t="shared" si="546"/>
        <v>0</v>
      </c>
      <c r="BL94" s="82">
        <f t="shared" si="547"/>
        <v>0</v>
      </c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>
        <f t="shared" si="548"/>
        <v>0</v>
      </c>
      <c r="BX94" s="82">
        <f t="shared" si="549"/>
        <v>0</v>
      </c>
      <c r="BY94" s="82">
        <f t="shared" si="474"/>
        <v>2</v>
      </c>
      <c r="BZ94" s="82">
        <f t="shared" si="550"/>
        <v>122100</v>
      </c>
      <c r="CA94" s="82"/>
      <c r="CB94" s="82"/>
      <c r="CC94" s="82">
        <f t="shared" si="551"/>
        <v>0</v>
      </c>
      <c r="CD94" s="82">
        <f t="shared" si="552"/>
        <v>0</v>
      </c>
      <c r="CE94" s="82"/>
      <c r="CF94" s="82"/>
      <c r="CG94" s="82"/>
      <c r="CH94" s="82"/>
      <c r="CI94" s="82">
        <f t="shared" si="553"/>
        <v>0</v>
      </c>
      <c r="CJ94" s="82">
        <f t="shared" si="554"/>
        <v>0</v>
      </c>
      <c r="CK94" s="82">
        <f t="shared" si="480"/>
        <v>2</v>
      </c>
      <c r="CL94" s="82">
        <f t="shared" si="555"/>
        <v>122100</v>
      </c>
      <c r="CM94" s="82"/>
      <c r="CN94" s="82"/>
      <c r="CO94" s="82">
        <f t="shared" si="35"/>
        <v>0</v>
      </c>
      <c r="CP94" s="82">
        <f t="shared" si="36"/>
        <v>0</v>
      </c>
      <c r="CQ94" s="82"/>
      <c r="CR94" s="82"/>
      <c r="CS94" s="82"/>
      <c r="CT94" s="82"/>
      <c r="CU94" s="82">
        <f t="shared" si="556"/>
        <v>0</v>
      </c>
      <c r="CV94" s="82">
        <f t="shared" si="557"/>
        <v>0</v>
      </c>
      <c r="CW94" s="82">
        <f t="shared" si="39"/>
        <v>2</v>
      </c>
      <c r="CX94" s="82">
        <f t="shared" si="558"/>
        <v>122100</v>
      </c>
      <c r="CY94" s="82">
        <f t="shared" si="41"/>
        <v>0</v>
      </c>
      <c r="CZ94" s="82">
        <f t="shared" si="345"/>
        <v>0</v>
      </c>
      <c r="DA94" s="82">
        <f t="shared" si="43"/>
        <v>2</v>
      </c>
      <c r="DB94" s="82">
        <f t="shared" si="44"/>
        <v>122100</v>
      </c>
      <c r="DC94" s="84">
        <v>2.0</v>
      </c>
      <c r="DD94" s="82"/>
      <c r="DE94" s="82"/>
      <c r="DF94" s="82">
        <f t="shared" si="559"/>
        <v>0</v>
      </c>
      <c r="DG94" s="82">
        <f t="shared" si="560"/>
        <v>0</v>
      </c>
      <c r="DH94" s="82"/>
      <c r="DI94" s="82"/>
      <c r="DJ94" s="82"/>
      <c r="DK94" s="82"/>
      <c r="DL94" s="82">
        <f t="shared" si="561"/>
        <v>0</v>
      </c>
      <c r="DM94" s="82">
        <f t="shared" si="562"/>
        <v>0</v>
      </c>
      <c r="DN94" s="82">
        <f t="shared" si="563"/>
        <v>2</v>
      </c>
      <c r="DO94" s="82">
        <f t="shared" si="564"/>
        <v>122100</v>
      </c>
      <c r="DP94" s="82"/>
      <c r="DQ94" s="82"/>
      <c r="DR94" s="82">
        <f t="shared" si="565"/>
        <v>0</v>
      </c>
      <c r="DS94" s="82">
        <f t="shared" si="566"/>
        <v>0</v>
      </c>
      <c r="DT94" s="82"/>
      <c r="DU94" s="82"/>
      <c r="DV94" s="82"/>
      <c r="DW94" s="82"/>
      <c r="DX94" s="82">
        <f t="shared" si="567"/>
        <v>0</v>
      </c>
      <c r="DY94" s="82">
        <f t="shared" si="568"/>
        <v>0</v>
      </c>
      <c r="DZ94" s="82">
        <f t="shared" si="569"/>
        <v>2</v>
      </c>
      <c r="EA94" s="82">
        <f t="shared" si="570"/>
        <v>122100</v>
      </c>
      <c r="EB94" s="82"/>
      <c r="EC94" s="82"/>
      <c r="ED94" s="82">
        <f t="shared" si="571"/>
        <v>0</v>
      </c>
      <c r="EE94" s="82">
        <f t="shared" si="572"/>
        <v>0</v>
      </c>
      <c r="EF94" s="82"/>
      <c r="EG94" s="82"/>
      <c r="EH94" s="82"/>
      <c r="EI94" s="82"/>
      <c r="EJ94" s="82">
        <f t="shared" si="573"/>
        <v>0</v>
      </c>
      <c r="EK94" s="82">
        <f t="shared" si="574"/>
        <v>0</v>
      </c>
      <c r="EL94" s="82">
        <f t="shared" si="575"/>
        <v>2</v>
      </c>
      <c r="EM94" s="82">
        <f t="shared" si="576"/>
        <v>122100</v>
      </c>
      <c r="EN94" s="82">
        <f t="shared" si="577"/>
        <v>0</v>
      </c>
      <c r="EO94" s="82">
        <f t="shared" si="578"/>
        <v>0</v>
      </c>
      <c r="EP94" s="82">
        <f t="shared" si="579"/>
        <v>2</v>
      </c>
      <c r="EQ94" s="82">
        <f t="shared" si="580"/>
        <v>122100</v>
      </c>
      <c r="ER94" s="82"/>
      <c r="ES94" s="82"/>
      <c r="ET94" s="82">
        <f t="shared" si="581"/>
        <v>0</v>
      </c>
      <c r="EU94" s="82">
        <f t="shared" si="582"/>
        <v>0</v>
      </c>
      <c r="EV94" s="82"/>
      <c r="EW94" s="82"/>
      <c r="EX94" s="82"/>
      <c r="EY94" s="82"/>
      <c r="EZ94" s="82">
        <f t="shared" si="583"/>
        <v>0</v>
      </c>
      <c r="FA94" s="82">
        <f t="shared" si="584"/>
        <v>0</v>
      </c>
      <c r="FB94" s="82">
        <f t="shared" si="585"/>
        <v>2</v>
      </c>
      <c r="FC94" s="82">
        <f t="shared" si="586"/>
        <v>122100</v>
      </c>
      <c r="FD94" s="82"/>
      <c r="FE94" s="82"/>
      <c r="FF94" s="82">
        <f t="shared" si="587"/>
        <v>0</v>
      </c>
      <c r="FG94" s="82">
        <f t="shared" si="588"/>
        <v>0</v>
      </c>
      <c r="FH94" s="82"/>
      <c r="FI94" s="82"/>
      <c r="FJ94" s="82"/>
      <c r="FK94" s="82"/>
      <c r="FL94" s="82">
        <f t="shared" si="589"/>
        <v>0</v>
      </c>
      <c r="FM94" s="82">
        <f t="shared" si="590"/>
        <v>0</v>
      </c>
      <c r="FN94" s="82">
        <f t="shared" si="591"/>
        <v>2</v>
      </c>
      <c r="FO94" s="82">
        <f t="shared" si="592"/>
        <v>122100</v>
      </c>
      <c r="FP94" s="82"/>
      <c r="FQ94" s="82"/>
      <c r="FR94" s="82">
        <f t="shared" si="593"/>
        <v>0</v>
      </c>
      <c r="FS94" s="82">
        <f t="shared" si="594"/>
        <v>0</v>
      </c>
      <c r="FT94" s="82"/>
      <c r="FU94" s="82"/>
      <c r="FV94" s="82"/>
      <c r="FW94" s="82"/>
      <c r="FX94" s="82">
        <f t="shared" si="595"/>
        <v>0</v>
      </c>
      <c r="FY94" s="82">
        <f t="shared" si="596"/>
        <v>0</v>
      </c>
      <c r="FZ94" s="82">
        <f t="shared" si="597"/>
        <v>2</v>
      </c>
      <c r="GA94" s="82">
        <f t="shared" si="598"/>
        <v>122100</v>
      </c>
      <c r="GB94" s="82">
        <f t="shared" si="599"/>
        <v>0</v>
      </c>
      <c r="GC94" s="82">
        <f t="shared" si="600"/>
        <v>0</v>
      </c>
      <c r="GD94" s="82">
        <f t="shared" si="601"/>
        <v>2</v>
      </c>
      <c r="GE94" s="82">
        <f t="shared" si="602"/>
        <v>122100</v>
      </c>
      <c r="GF94" s="85"/>
    </row>
    <row r="95" ht="29.25" customHeight="1">
      <c r="A95" s="96">
        <v>52.0</v>
      </c>
      <c r="B95" s="97"/>
      <c r="C95" s="58" t="s">
        <v>172</v>
      </c>
      <c r="D95" s="78" t="s">
        <v>96</v>
      </c>
      <c r="E95" s="79"/>
      <c r="F95" s="61"/>
      <c r="G95" s="81">
        <v>0.0</v>
      </c>
      <c r="H95" s="82">
        <v>0.0</v>
      </c>
      <c r="I95" s="82"/>
      <c r="J95" s="82"/>
      <c r="K95" s="82">
        <f t="shared" si="528"/>
        <v>0</v>
      </c>
      <c r="L95" s="82">
        <f t="shared" si="529"/>
        <v>0</v>
      </c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>
        <f t="shared" si="530"/>
        <v>0</v>
      </c>
      <c r="AC95" s="82">
        <f t="shared" si="531"/>
        <v>0</v>
      </c>
      <c r="AD95" s="82">
        <f t="shared" si="452"/>
        <v>0</v>
      </c>
      <c r="AE95" s="82">
        <f t="shared" si="532"/>
        <v>0</v>
      </c>
      <c r="AF95" s="82"/>
      <c r="AG95" s="82"/>
      <c r="AH95" s="82">
        <f t="shared" si="533"/>
        <v>0</v>
      </c>
      <c r="AI95" s="82">
        <f t="shared" si="534"/>
        <v>0</v>
      </c>
      <c r="AJ95" s="82"/>
      <c r="AK95" s="82"/>
      <c r="AL95" s="82"/>
      <c r="AM95" s="82"/>
      <c r="AN95" s="82">
        <f t="shared" si="535"/>
        <v>0</v>
      </c>
      <c r="AO95" s="82">
        <f t="shared" si="536"/>
        <v>0</v>
      </c>
      <c r="AP95" s="82">
        <f t="shared" si="458"/>
        <v>0</v>
      </c>
      <c r="AQ95" s="82">
        <f t="shared" si="537"/>
        <v>0</v>
      </c>
      <c r="AR95" s="82"/>
      <c r="AS95" s="82"/>
      <c r="AT95" s="82"/>
      <c r="AU95" s="82">
        <f t="shared" si="538"/>
        <v>0</v>
      </c>
      <c r="AV95" s="82">
        <f t="shared" si="539"/>
        <v>0</v>
      </c>
      <c r="AW95" s="82"/>
      <c r="AX95" s="82"/>
      <c r="AY95" s="82"/>
      <c r="AZ95" s="82"/>
      <c r="BA95" s="82">
        <f t="shared" si="540"/>
        <v>0</v>
      </c>
      <c r="BB95" s="82">
        <f t="shared" si="541"/>
        <v>0</v>
      </c>
      <c r="BC95" s="82">
        <f t="shared" si="464"/>
        <v>0</v>
      </c>
      <c r="BD95" s="82">
        <f t="shared" si="542"/>
        <v>0</v>
      </c>
      <c r="BE95" s="82">
        <f t="shared" si="543"/>
        <v>0</v>
      </c>
      <c r="BF95" s="82">
        <f t="shared" si="544"/>
        <v>0</v>
      </c>
      <c r="BG95" s="82">
        <f t="shared" si="468"/>
        <v>0</v>
      </c>
      <c r="BH95" s="82">
        <f t="shared" si="545"/>
        <v>0</v>
      </c>
      <c r="BI95" s="82"/>
      <c r="BJ95" s="83"/>
      <c r="BK95" s="82">
        <f t="shared" si="546"/>
        <v>0</v>
      </c>
      <c r="BL95" s="82">
        <f t="shared" si="547"/>
        <v>0</v>
      </c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>
        <f t="shared" si="548"/>
        <v>0</v>
      </c>
      <c r="BX95" s="82">
        <f t="shared" si="549"/>
        <v>0</v>
      </c>
      <c r="BY95" s="82">
        <f t="shared" si="474"/>
        <v>0</v>
      </c>
      <c r="BZ95" s="82">
        <f t="shared" si="550"/>
        <v>0</v>
      </c>
      <c r="CA95" s="82"/>
      <c r="CB95" s="82"/>
      <c r="CC95" s="82">
        <f t="shared" si="551"/>
        <v>0</v>
      </c>
      <c r="CD95" s="82">
        <f t="shared" si="552"/>
        <v>0</v>
      </c>
      <c r="CE95" s="82"/>
      <c r="CF95" s="82"/>
      <c r="CG95" s="82"/>
      <c r="CH95" s="82"/>
      <c r="CI95" s="82">
        <f t="shared" si="553"/>
        <v>0</v>
      </c>
      <c r="CJ95" s="82">
        <f t="shared" si="554"/>
        <v>0</v>
      </c>
      <c r="CK95" s="82">
        <f t="shared" si="480"/>
        <v>0</v>
      </c>
      <c r="CL95" s="82">
        <f t="shared" si="555"/>
        <v>0</v>
      </c>
      <c r="CM95" s="82"/>
      <c r="CN95" s="82"/>
      <c r="CO95" s="82">
        <f t="shared" si="35"/>
        <v>0</v>
      </c>
      <c r="CP95" s="82">
        <f t="shared" si="36"/>
        <v>0</v>
      </c>
      <c r="CQ95" s="82"/>
      <c r="CR95" s="82"/>
      <c r="CS95" s="82"/>
      <c r="CT95" s="82"/>
      <c r="CU95" s="82">
        <f t="shared" si="556"/>
        <v>0</v>
      </c>
      <c r="CV95" s="82">
        <f t="shared" si="557"/>
        <v>0</v>
      </c>
      <c r="CW95" s="82">
        <f t="shared" si="39"/>
        <v>0</v>
      </c>
      <c r="CX95" s="82">
        <f t="shared" si="558"/>
        <v>0</v>
      </c>
      <c r="CY95" s="82">
        <f t="shared" si="41"/>
        <v>0</v>
      </c>
      <c r="CZ95" s="82">
        <f t="shared" si="345"/>
        <v>0</v>
      </c>
      <c r="DA95" s="82">
        <f t="shared" si="43"/>
        <v>0</v>
      </c>
      <c r="DB95" s="82">
        <f t="shared" si="44"/>
        <v>0</v>
      </c>
      <c r="DC95" s="91"/>
      <c r="DD95" s="82"/>
      <c r="DE95" s="82"/>
      <c r="DF95" s="82">
        <f t="shared" si="559"/>
        <v>0</v>
      </c>
      <c r="DG95" s="82">
        <f t="shared" si="560"/>
        <v>0</v>
      </c>
      <c r="DH95" s="82"/>
      <c r="DI95" s="82"/>
      <c r="DJ95" s="82"/>
      <c r="DK95" s="82"/>
      <c r="DL95" s="82">
        <f t="shared" si="561"/>
        <v>0</v>
      </c>
      <c r="DM95" s="82">
        <f t="shared" si="562"/>
        <v>0</v>
      </c>
      <c r="DN95" s="82">
        <f t="shared" si="563"/>
        <v>0</v>
      </c>
      <c r="DO95" s="82">
        <f t="shared" si="564"/>
        <v>0</v>
      </c>
      <c r="DP95" s="82"/>
      <c r="DQ95" s="82"/>
      <c r="DR95" s="82">
        <f t="shared" si="565"/>
        <v>0</v>
      </c>
      <c r="DS95" s="82">
        <f t="shared" si="566"/>
        <v>0</v>
      </c>
      <c r="DT95" s="82"/>
      <c r="DU95" s="82"/>
      <c r="DV95" s="82"/>
      <c r="DW95" s="82"/>
      <c r="DX95" s="82">
        <f t="shared" si="567"/>
        <v>0</v>
      </c>
      <c r="DY95" s="82">
        <f t="shared" si="568"/>
        <v>0</v>
      </c>
      <c r="DZ95" s="82">
        <f t="shared" si="569"/>
        <v>0</v>
      </c>
      <c r="EA95" s="82">
        <f t="shared" si="570"/>
        <v>0</v>
      </c>
      <c r="EB95" s="82"/>
      <c r="EC95" s="82"/>
      <c r="ED95" s="82">
        <f t="shared" si="571"/>
        <v>0</v>
      </c>
      <c r="EE95" s="82">
        <f t="shared" si="572"/>
        <v>0</v>
      </c>
      <c r="EF95" s="82"/>
      <c r="EG95" s="82"/>
      <c r="EH95" s="82"/>
      <c r="EI95" s="82"/>
      <c r="EJ95" s="82">
        <f t="shared" si="573"/>
        <v>0</v>
      </c>
      <c r="EK95" s="82">
        <f t="shared" si="574"/>
        <v>0</v>
      </c>
      <c r="EL95" s="82">
        <f t="shared" si="575"/>
        <v>0</v>
      </c>
      <c r="EM95" s="82">
        <f t="shared" si="576"/>
        <v>0</v>
      </c>
      <c r="EN95" s="82">
        <f t="shared" si="577"/>
        <v>0</v>
      </c>
      <c r="EO95" s="82">
        <f t="shared" si="578"/>
        <v>0</v>
      </c>
      <c r="EP95" s="82">
        <f t="shared" si="579"/>
        <v>0</v>
      </c>
      <c r="EQ95" s="82">
        <f t="shared" si="580"/>
        <v>0</v>
      </c>
      <c r="ER95" s="82"/>
      <c r="ES95" s="82"/>
      <c r="ET95" s="82">
        <f t="shared" si="581"/>
        <v>0</v>
      </c>
      <c r="EU95" s="82">
        <f t="shared" si="582"/>
        <v>0</v>
      </c>
      <c r="EV95" s="82"/>
      <c r="EW95" s="82"/>
      <c r="EX95" s="82"/>
      <c r="EY95" s="82"/>
      <c r="EZ95" s="82">
        <f t="shared" si="583"/>
        <v>0</v>
      </c>
      <c r="FA95" s="82">
        <f t="shared" si="584"/>
        <v>0</v>
      </c>
      <c r="FB95" s="82">
        <f t="shared" si="585"/>
        <v>0</v>
      </c>
      <c r="FC95" s="82">
        <f t="shared" si="586"/>
        <v>0</v>
      </c>
      <c r="FD95" s="82"/>
      <c r="FE95" s="82"/>
      <c r="FF95" s="82">
        <f t="shared" si="587"/>
        <v>0</v>
      </c>
      <c r="FG95" s="82">
        <f t="shared" si="588"/>
        <v>0</v>
      </c>
      <c r="FH95" s="82"/>
      <c r="FI95" s="82"/>
      <c r="FJ95" s="82"/>
      <c r="FK95" s="82"/>
      <c r="FL95" s="82">
        <f t="shared" si="589"/>
        <v>0</v>
      </c>
      <c r="FM95" s="82">
        <f t="shared" si="590"/>
        <v>0</v>
      </c>
      <c r="FN95" s="82">
        <f t="shared" si="591"/>
        <v>0</v>
      </c>
      <c r="FO95" s="82">
        <f t="shared" si="592"/>
        <v>0</v>
      </c>
      <c r="FP95" s="82"/>
      <c r="FQ95" s="82"/>
      <c r="FR95" s="82">
        <f t="shared" si="593"/>
        <v>0</v>
      </c>
      <c r="FS95" s="82">
        <f t="shared" si="594"/>
        <v>0</v>
      </c>
      <c r="FT95" s="82"/>
      <c r="FU95" s="82"/>
      <c r="FV95" s="82"/>
      <c r="FW95" s="82"/>
      <c r="FX95" s="82">
        <f t="shared" si="595"/>
        <v>0</v>
      </c>
      <c r="FY95" s="82">
        <f t="shared" si="596"/>
        <v>0</v>
      </c>
      <c r="FZ95" s="82">
        <f t="shared" si="597"/>
        <v>0</v>
      </c>
      <c r="GA95" s="82">
        <f t="shared" si="598"/>
        <v>0</v>
      </c>
      <c r="GB95" s="82">
        <f t="shared" si="599"/>
        <v>0</v>
      </c>
      <c r="GC95" s="82">
        <f t="shared" si="600"/>
        <v>0</v>
      </c>
      <c r="GD95" s="82">
        <f t="shared" si="601"/>
        <v>0</v>
      </c>
      <c r="GE95" s="82">
        <f t="shared" si="602"/>
        <v>0</v>
      </c>
      <c r="GF95" s="85"/>
    </row>
    <row r="96" ht="29.25" customHeight="1">
      <c r="A96" s="96">
        <v>54.0</v>
      </c>
      <c r="B96" s="97"/>
      <c r="C96" s="58" t="s">
        <v>173</v>
      </c>
      <c r="D96" s="78" t="s">
        <v>121</v>
      </c>
      <c r="E96" s="79">
        <v>11000.0</v>
      </c>
      <c r="F96" s="61"/>
      <c r="G96" s="81">
        <v>3.0</v>
      </c>
      <c r="H96" s="82">
        <v>33000.0</v>
      </c>
      <c r="I96" s="82"/>
      <c r="J96" s="82"/>
      <c r="K96" s="82">
        <f t="shared" si="528"/>
        <v>0</v>
      </c>
      <c r="L96" s="82">
        <f t="shared" si="529"/>
        <v>0</v>
      </c>
      <c r="M96" s="82"/>
      <c r="N96" s="82"/>
      <c r="O96" s="82"/>
      <c r="P96" s="82"/>
      <c r="Q96" s="82"/>
      <c r="R96" s="82"/>
      <c r="S96" s="82"/>
      <c r="T96" s="82"/>
      <c r="U96" s="83">
        <v>1.0</v>
      </c>
      <c r="V96" s="82"/>
      <c r="W96" s="82"/>
      <c r="X96" s="82"/>
      <c r="Y96" s="82"/>
      <c r="Z96" s="82"/>
      <c r="AA96" s="82"/>
      <c r="AB96" s="82">
        <f t="shared" si="530"/>
        <v>1</v>
      </c>
      <c r="AC96" s="82">
        <f t="shared" si="531"/>
        <v>11000</v>
      </c>
      <c r="AD96" s="82">
        <f t="shared" si="452"/>
        <v>2</v>
      </c>
      <c r="AE96" s="82">
        <f t="shared" si="532"/>
        <v>22000</v>
      </c>
      <c r="AF96" s="82"/>
      <c r="AG96" s="82"/>
      <c r="AH96" s="82">
        <f t="shared" si="533"/>
        <v>0</v>
      </c>
      <c r="AI96" s="82">
        <f t="shared" si="534"/>
        <v>0</v>
      </c>
      <c r="AJ96" s="82"/>
      <c r="AK96" s="82"/>
      <c r="AL96" s="82"/>
      <c r="AM96" s="82"/>
      <c r="AN96" s="82">
        <f t="shared" si="535"/>
        <v>0</v>
      </c>
      <c r="AO96" s="82">
        <f t="shared" si="536"/>
        <v>0</v>
      </c>
      <c r="AP96" s="82">
        <f t="shared" si="458"/>
        <v>2</v>
      </c>
      <c r="AQ96" s="82">
        <f t="shared" si="537"/>
        <v>22000</v>
      </c>
      <c r="AR96" s="82"/>
      <c r="AS96" s="82"/>
      <c r="AT96" s="82"/>
      <c r="AU96" s="82">
        <f t="shared" si="538"/>
        <v>0</v>
      </c>
      <c r="AV96" s="82">
        <f t="shared" si="539"/>
        <v>0</v>
      </c>
      <c r="AW96" s="82"/>
      <c r="AX96" s="82"/>
      <c r="AY96" s="82"/>
      <c r="AZ96" s="82"/>
      <c r="BA96" s="82">
        <f t="shared" si="540"/>
        <v>0</v>
      </c>
      <c r="BB96" s="82">
        <f t="shared" si="541"/>
        <v>0</v>
      </c>
      <c r="BC96" s="82">
        <f t="shared" si="464"/>
        <v>2</v>
      </c>
      <c r="BD96" s="82">
        <f t="shared" si="542"/>
        <v>22000</v>
      </c>
      <c r="BE96" s="82">
        <f t="shared" si="543"/>
        <v>0</v>
      </c>
      <c r="BF96" s="82">
        <f t="shared" si="544"/>
        <v>1</v>
      </c>
      <c r="BG96" s="82">
        <f t="shared" si="468"/>
        <v>2</v>
      </c>
      <c r="BH96" s="82">
        <f t="shared" si="545"/>
        <v>22000</v>
      </c>
      <c r="BI96" s="82"/>
      <c r="BJ96" s="83"/>
      <c r="BK96" s="82">
        <f t="shared" si="546"/>
        <v>0</v>
      </c>
      <c r="BL96" s="82">
        <f t="shared" si="547"/>
        <v>0</v>
      </c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>
        <f t="shared" si="548"/>
        <v>0</v>
      </c>
      <c r="BX96" s="82">
        <f t="shared" si="549"/>
        <v>0</v>
      </c>
      <c r="BY96" s="82">
        <f t="shared" si="474"/>
        <v>2</v>
      </c>
      <c r="BZ96" s="82">
        <f t="shared" si="550"/>
        <v>22000</v>
      </c>
      <c r="CA96" s="82"/>
      <c r="CB96" s="82"/>
      <c r="CC96" s="82">
        <f t="shared" si="551"/>
        <v>0</v>
      </c>
      <c r="CD96" s="82">
        <f t="shared" si="552"/>
        <v>0</v>
      </c>
      <c r="CE96" s="82"/>
      <c r="CF96" s="82"/>
      <c r="CG96" s="82"/>
      <c r="CH96" s="82"/>
      <c r="CI96" s="82">
        <f t="shared" si="553"/>
        <v>0</v>
      </c>
      <c r="CJ96" s="82">
        <f t="shared" si="554"/>
        <v>0</v>
      </c>
      <c r="CK96" s="82">
        <f t="shared" si="480"/>
        <v>2</v>
      </c>
      <c r="CL96" s="82">
        <f t="shared" si="555"/>
        <v>22000</v>
      </c>
      <c r="CM96" s="82"/>
      <c r="CN96" s="82"/>
      <c r="CO96" s="82">
        <f t="shared" si="35"/>
        <v>0</v>
      </c>
      <c r="CP96" s="82">
        <f t="shared" si="36"/>
        <v>0</v>
      </c>
      <c r="CQ96" s="82"/>
      <c r="CR96" s="82"/>
      <c r="CS96" s="82"/>
      <c r="CT96" s="82"/>
      <c r="CU96" s="82">
        <f t="shared" si="556"/>
        <v>0</v>
      </c>
      <c r="CV96" s="82">
        <f t="shared" si="557"/>
        <v>0</v>
      </c>
      <c r="CW96" s="82">
        <f t="shared" si="39"/>
        <v>2</v>
      </c>
      <c r="CX96" s="82">
        <f t="shared" si="558"/>
        <v>22000</v>
      </c>
      <c r="CY96" s="82">
        <f t="shared" si="41"/>
        <v>0</v>
      </c>
      <c r="CZ96" s="82">
        <f t="shared" si="345"/>
        <v>0</v>
      </c>
      <c r="DA96" s="82">
        <f t="shared" si="43"/>
        <v>2</v>
      </c>
      <c r="DB96" s="82">
        <f t="shared" si="44"/>
        <v>22000</v>
      </c>
      <c r="DC96" s="91"/>
      <c r="DD96" s="82"/>
      <c r="DE96" s="82"/>
      <c r="DF96" s="82">
        <f t="shared" si="559"/>
        <v>0</v>
      </c>
      <c r="DG96" s="82">
        <f t="shared" si="560"/>
        <v>0</v>
      </c>
      <c r="DH96" s="82"/>
      <c r="DI96" s="82"/>
      <c r="DJ96" s="82"/>
      <c r="DK96" s="82"/>
      <c r="DL96" s="82">
        <f t="shared" si="561"/>
        <v>0</v>
      </c>
      <c r="DM96" s="82">
        <f t="shared" si="562"/>
        <v>0</v>
      </c>
      <c r="DN96" s="82">
        <f t="shared" si="563"/>
        <v>2</v>
      </c>
      <c r="DO96" s="82">
        <f t="shared" si="564"/>
        <v>22000</v>
      </c>
      <c r="DP96" s="82"/>
      <c r="DQ96" s="82"/>
      <c r="DR96" s="82">
        <f t="shared" si="565"/>
        <v>0</v>
      </c>
      <c r="DS96" s="82">
        <f t="shared" si="566"/>
        <v>0</v>
      </c>
      <c r="DT96" s="82"/>
      <c r="DU96" s="82"/>
      <c r="DV96" s="82"/>
      <c r="DW96" s="82"/>
      <c r="DX96" s="82">
        <f t="shared" si="567"/>
        <v>0</v>
      </c>
      <c r="DY96" s="82">
        <f t="shared" si="568"/>
        <v>0</v>
      </c>
      <c r="DZ96" s="82">
        <f t="shared" si="569"/>
        <v>2</v>
      </c>
      <c r="EA96" s="82">
        <f t="shared" si="570"/>
        <v>22000</v>
      </c>
      <c r="EB96" s="82"/>
      <c r="EC96" s="82"/>
      <c r="ED96" s="82">
        <f t="shared" si="571"/>
        <v>0</v>
      </c>
      <c r="EE96" s="82">
        <f t="shared" si="572"/>
        <v>0</v>
      </c>
      <c r="EF96" s="82"/>
      <c r="EG96" s="82"/>
      <c r="EH96" s="82"/>
      <c r="EI96" s="82"/>
      <c r="EJ96" s="82">
        <f t="shared" si="573"/>
        <v>0</v>
      </c>
      <c r="EK96" s="82">
        <f t="shared" si="574"/>
        <v>0</v>
      </c>
      <c r="EL96" s="82">
        <f t="shared" si="575"/>
        <v>2</v>
      </c>
      <c r="EM96" s="82">
        <f t="shared" si="576"/>
        <v>22000</v>
      </c>
      <c r="EN96" s="82">
        <f t="shared" si="577"/>
        <v>0</v>
      </c>
      <c r="EO96" s="82">
        <f t="shared" si="578"/>
        <v>0</v>
      </c>
      <c r="EP96" s="82">
        <f t="shared" si="579"/>
        <v>2</v>
      </c>
      <c r="EQ96" s="82">
        <f t="shared" si="580"/>
        <v>22000</v>
      </c>
      <c r="ER96" s="82"/>
      <c r="ES96" s="82"/>
      <c r="ET96" s="82">
        <f t="shared" si="581"/>
        <v>0</v>
      </c>
      <c r="EU96" s="82">
        <f t="shared" si="582"/>
        <v>0</v>
      </c>
      <c r="EV96" s="82"/>
      <c r="EW96" s="82"/>
      <c r="EX96" s="82"/>
      <c r="EY96" s="82"/>
      <c r="EZ96" s="82">
        <f t="shared" si="583"/>
        <v>0</v>
      </c>
      <c r="FA96" s="82">
        <f t="shared" si="584"/>
        <v>0</v>
      </c>
      <c r="FB96" s="82">
        <f t="shared" si="585"/>
        <v>2</v>
      </c>
      <c r="FC96" s="82">
        <f t="shared" si="586"/>
        <v>22000</v>
      </c>
      <c r="FD96" s="82"/>
      <c r="FE96" s="82"/>
      <c r="FF96" s="82">
        <f t="shared" si="587"/>
        <v>0</v>
      </c>
      <c r="FG96" s="82">
        <f t="shared" si="588"/>
        <v>0</v>
      </c>
      <c r="FH96" s="82"/>
      <c r="FI96" s="82"/>
      <c r="FJ96" s="82"/>
      <c r="FK96" s="82"/>
      <c r="FL96" s="82">
        <f t="shared" si="589"/>
        <v>0</v>
      </c>
      <c r="FM96" s="82">
        <f t="shared" si="590"/>
        <v>0</v>
      </c>
      <c r="FN96" s="82">
        <f t="shared" si="591"/>
        <v>2</v>
      </c>
      <c r="FO96" s="82">
        <f t="shared" si="592"/>
        <v>22000</v>
      </c>
      <c r="FP96" s="82"/>
      <c r="FQ96" s="82"/>
      <c r="FR96" s="82">
        <f t="shared" si="593"/>
        <v>0</v>
      </c>
      <c r="FS96" s="82">
        <f t="shared" si="594"/>
        <v>0</v>
      </c>
      <c r="FT96" s="82"/>
      <c r="FU96" s="82"/>
      <c r="FV96" s="82"/>
      <c r="FW96" s="82"/>
      <c r="FX96" s="82">
        <f t="shared" si="595"/>
        <v>0</v>
      </c>
      <c r="FY96" s="82">
        <f t="shared" si="596"/>
        <v>0</v>
      </c>
      <c r="FZ96" s="82">
        <f t="shared" si="597"/>
        <v>2</v>
      </c>
      <c r="GA96" s="82">
        <f t="shared" si="598"/>
        <v>22000</v>
      </c>
      <c r="GB96" s="82">
        <f t="shared" si="599"/>
        <v>0</v>
      </c>
      <c r="GC96" s="82">
        <f t="shared" si="600"/>
        <v>0</v>
      </c>
      <c r="GD96" s="82">
        <f t="shared" si="601"/>
        <v>2</v>
      </c>
      <c r="GE96" s="82">
        <f t="shared" si="602"/>
        <v>22000</v>
      </c>
      <c r="GF96" s="85"/>
    </row>
    <row r="97" ht="29.25" customHeight="1">
      <c r="A97" s="96">
        <v>55.0</v>
      </c>
      <c r="B97" s="97"/>
      <c r="C97" s="58" t="s">
        <v>174</v>
      </c>
      <c r="D97" s="78" t="s">
        <v>91</v>
      </c>
      <c r="E97" s="79"/>
      <c r="F97" s="61"/>
      <c r="G97" s="81">
        <v>0.0</v>
      </c>
      <c r="H97" s="82">
        <v>0.0</v>
      </c>
      <c r="I97" s="82"/>
      <c r="J97" s="82"/>
      <c r="K97" s="82">
        <f t="shared" si="528"/>
        <v>0</v>
      </c>
      <c r="L97" s="82">
        <f t="shared" si="529"/>
        <v>0</v>
      </c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>
        <f t="shared" si="530"/>
        <v>0</v>
      </c>
      <c r="AC97" s="82">
        <f t="shared" si="531"/>
        <v>0</v>
      </c>
      <c r="AD97" s="82">
        <f t="shared" si="452"/>
        <v>0</v>
      </c>
      <c r="AE97" s="82">
        <f t="shared" si="532"/>
        <v>0</v>
      </c>
      <c r="AF97" s="82"/>
      <c r="AG97" s="82"/>
      <c r="AH97" s="82">
        <f t="shared" si="533"/>
        <v>0</v>
      </c>
      <c r="AI97" s="82">
        <f t="shared" si="534"/>
        <v>0</v>
      </c>
      <c r="AJ97" s="82"/>
      <c r="AK97" s="82"/>
      <c r="AL97" s="82"/>
      <c r="AM97" s="82"/>
      <c r="AN97" s="82">
        <f t="shared" si="535"/>
        <v>0</v>
      </c>
      <c r="AO97" s="82">
        <f t="shared" si="536"/>
        <v>0</v>
      </c>
      <c r="AP97" s="82">
        <f t="shared" si="458"/>
        <v>0</v>
      </c>
      <c r="AQ97" s="82">
        <f t="shared" si="537"/>
        <v>0</v>
      </c>
      <c r="AR97" s="82"/>
      <c r="AS97" s="82"/>
      <c r="AT97" s="82"/>
      <c r="AU97" s="82">
        <f t="shared" si="538"/>
        <v>0</v>
      </c>
      <c r="AV97" s="82">
        <f t="shared" si="539"/>
        <v>0</v>
      </c>
      <c r="AW97" s="82"/>
      <c r="AX97" s="82"/>
      <c r="AY97" s="82"/>
      <c r="AZ97" s="82"/>
      <c r="BA97" s="82">
        <f t="shared" si="540"/>
        <v>0</v>
      </c>
      <c r="BB97" s="82">
        <f t="shared" si="541"/>
        <v>0</v>
      </c>
      <c r="BC97" s="82">
        <f t="shared" si="464"/>
        <v>0</v>
      </c>
      <c r="BD97" s="82">
        <f t="shared" si="542"/>
        <v>0</v>
      </c>
      <c r="BE97" s="82">
        <f t="shared" si="543"/>
        <v>0</v>
      </c>
      <c r="BF97" s="82">
        <f t="shared" si="544"/>
        <v>0</v>
      </c>
      <c r="BG97" s="82">
        <f t="shared" si="468"/>
        <v>0</v>
      </c>
      <c r="BH97" s="82">
        <f t="shared" si="545"/>
        <v>0</v>
      </c>
      <c r="BI97" s="82"/>
      <c r="BJ97" s="83"/>
      <c r="BK97" s="82">
        <f t="shared" si="546"/>
        <v>0</v>
      </c>
      <c r="BL97" s="82">
        <f t="shared" si="547"/>
        <v>0</v>
      </c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>
        <f t="shared" si="548"/>
        <v>0</v>
      </c>
      <c r="BX97" s="82">
        <f t="shared" si="549"/>
        <v>0</v>
      </c>
      <c r="BY97" s="82">
        <f t="shared" si="474"/>
        <v>0</v>
      </c>
      <c r="BZ97" s="82">
        <f t="shared" si="550"/>
        <v>0</v>
      </c>
      <c r="CA97" s="82"/>
      <c r="CB97" s="82"/>
      <c r="CC97" s="82">
        <f t="shared" si="551"/>
        <v>0</v>
      </c>
      <c r="CD97" s="82">
        <f t="shared" si="552"/>
        <v>0</v>
      </c>
      <c r="CE97" s="82"/>
      <c r="CF97" s="82"/>
      <c r="CG97" s="82"/>
      <c r="CH97" s="82"/>
      <c r="CI97" s="82">
        <f t="shared" si="553"/>
        <v>0</v>
      </c>
      <c r="CJ97" s="82">
        <f t="shared" si="554"/>
        <v>0</v>
      </c>
      <c r="CK97" s="82">
        <f t="shared" si="480"/>
        <v>0</v>
      </c>
      <c r="CL97" s="82">
        <f t="shared" si="555"/>
        <v>0</v>
      </c>
      <c r="CM97" s="82"/>
      <c r="CN97" s="82"/>
      <c r="CO97" s="82">
        <f t="shared" si="35"/>
        <v>0</v>
      </c>
      <c r="CP97" s="82">
        <f t="shared" si="36"/>
        <v>0</v>
      </c>
      <c r="CQ97" s="82"/>
      <c r="CR97" s="82"/>
      <c r="CS97" s="82"/>
      <c r="CT97" s="82"/>
      <c r="CU97" s="82">
        <f t="shared" si="556"/>
        <v>0</v>
      </c>
      <c r="CV97" s="82">
        <f t="shared" si="557"/>
        <v>0</v>
      </c>
      <c r="CW97" s="82">
        <f t="shared" si="39"/>
        <v>0</v>
      </c>
      <c r="CX97" s="82">
        <f t="shared" si="558"/>
        <v>0</v>
      </c>
      <c r="CY97" s="82">
        <f t="shared" si="41"/>
        <v>0</v>
      </c>
      <c r="CZ97" s="82">
        <f t="shared" si="345"/>
        <v>0</v>
      </c>
      <c r="DA97" s="82">
        <f t="shared" si="43"/>
        <v>0</v>
      </c>
      <c r="DB97" s="82">
        <f t="shared" si="44"/>
        <v>0</v>
      </c>
      <c r="DC97" s="84">
        <v>1.0</v>
      </c>
      <c r="DD97" s="82"/>
      <c r="DE97" s="82"/>
      <c r="DF97" s="82">
        <f t="shared" si="559"/>
        <v>0</v>
      </c>
      <c r="DG97" s="82">
        <f t="shared" si="560"/>
        <v>0</v>
      </c>
      <c r="DH97" s="82"/>
      <c r="DI97" s="82"/>
      <c r="DJ97" s="82"/>
      <c r="DK97" s="82"/>
      <c r="DL97" s="82">
        <f t="shared" si="561"/>
        <v>0</v>
      </c>
      <c r="DM97" s="82">
        <f t="shared" si="562"/>
        <v>0</v>
      </c>
      <c r="DN97" s="82">
        <f t="shared" si="563"/>
        <v>0</v>
      </c>
      <c r="DO97" s="82">
        <f t="shared" si="564"/>
        <v>0</v>
      </c>
      <c r="DP97" s="82"/>
      <c r="DQ97" s="82"/>
      <c r="DR97" s="82">
        <f t="shared" si="565"/>
        <v>0</v>
      </c>
      <c r="DS97" s="82">
        <f t="shared" si="566"/>
        <v>0</v>
      </c>
      <c r="DT97" s="82"/>
      <c r="DU97" s="82"/>
      <c r="DV97" s="82"/>
      <c r="DW97" s="82"/>
      <c r="DX97" s="82">
        <f t="shared" si="567"/>
        <v>0</v>
      </c>
      <c r="DY97" s="82">
        <f t="shared" si="568"/>
        <v>0</v>
      </c>
      <c r="DZ97" s="82">
        <f t="shared" si="569"/>
        <v>0</v>
      </c>
      <c r="EA97" s="82">
        <f t="shared" si="570"/>
        <v>0</v>
      </c>
      <c r="EB97" s="82"/>
      <c r="EC97" s="82"/>
      <c r="ED97" s="82">
        <f t="shared" si="571"/>
        <v>0</v>
      </c>
      <c r="EE97" s="82">
        <f t="shared" si="572"/>
        <v>0</v>
      </c>
      <c r="EF97" s="82"/>
      <c r="EG97" s="82"/>
      <c r="EH97" s="82"/>
      <c r="EI97" s="82"/>
      <c r="EJ97" s="82">
        <f t="shared" si="573"/>
        <v>0</v>
      </c>
      <c r="EK97" s="82">
        <f t="shared" si="574"/>
        <v>0</v>
      </c>
      <c r="EL97" s="82">
        <f t="shared" si="575"/>
        <v>0</v>
      </c>
      <c r="EM97" s="82">
        <f t="shared" si="576"/>
        <v>0</v>
      </c>
      <c r="EN97" s="82">
        <f t="shared" si="577"/>
        <v>0</v>
      </c>
      <c r="EO97" s="82">
        <f t="shared" si="578"/>
        <v>0</v>
      </c>
      <c r="EP97" s="82">
        <f t="shared" si="579"/>
        <v>0</v>
      </c>
      <c r="EQ97" s="82">
        <f t="shared" si="580"/>
        <v>0</v>
      </c>
      <c r="ER97" s="82"/>
      <c r="ES97" s="82"/>
      <c r="ET97" s="82">
        <f t="shared" si="581"/>
        <v>0</v>
      </c>
      <c r="EU97" s="82">
        <f t="shared" si="582"/>
        <v>0</v>
      </c>
      <c r="EV97" s="82"/>
      <c r="EW97" s="82"/>
      <c r="EX97" s="82"/>
      <c r="EY97" s="82"/>
      <c r="EZ97" s="82">
        <f t="shared" si="583"/>
        <v>0</v>
      </c>
      <c r="FA97" s="82">
        <f t="shared" si="584"/>
        <v>0</v>
      </c>
      <c r="FB97" s="82">
        <f t="shared" si="585"/>
        <v>0</v>
      </c>
      <c r="FC97" s="82">
        <f t="shared" si="586"/>
        <v>0</v>
      </c>
      <c r="FD97" s="82"/>
      <c r="FE97" s="82"/>
      <c r="FF97" s="82">
        <f t="shared" si="587"/>
        <v>0</v>
      </c>
      <c r="FG97" s="82">
        <f t="shared" si="588"/>
        <v>0</v>
      </c>
      <c r="FH97" s="82"/>
      <c r="FI97" s="82"/>
      <c r="FJ97" s="82"/>
      <c r="FK97" s="82"/>
      <c r="FL97" s="82">
        <f t="shared" si="589"/>
        <v>0</v>
      </c>
      <c r="FM97" s="82">
        <f t="shared" si="590"/>
        <v>0</v>
      </c>
      <c r="FN97" s="82">
        <f t="shared" si="591"/>
        <v>0</v>
      </c>
      <c r="FO97" s="82">
        <f t="shared" si="592"/>
        <v>0</v>
      </c>
      <c r="FP97" s="82"/>
      <c r="FQ97" s="82"/>
      <c r="FR97" s="82">
        <f t="shared" si="593"/>
        <v>0</v>
      </c>
      <c r="FS97" s="82">
        <f t="shared" si="594"/>
        <v>0</v>
      </c>
      <c r="FT97" s="82"/>
      <c r="FU97" s="82"/>
      <c r="FV97" s="82"/>
      <c r="FW97" s="82"/>
      <c r="FX97" s="82">
        <f t="shared" si="595"/>
        <v>0</v>
      </c>
      <c r="FY97" s="82">
        <f t="shared" si="596"/>
        <v>0</v>
      </c>
      <c r="FZ97" s="82">
        <f t="shared" si="597"/>
        <v>0</v>
      </c>
      <c r="GA97" s="82">
        <f t="shared" si="598"/>
        <v>0</v>
      </c>
      <c r="GB97" s="82">
        <f t="shared" si="599"/>
        <v>0</v>
      </c>
      <c r="GC97" s="82">
        <f t="shared" si="600"/>
        <v>0</v>
      </c>
      <c r="GD97" s="82">
        <f t="shared" si="601"/>
        <v>0</v>
      </c>
      <c r="GE97" s="82">
        <f t="shared" si="602"/>
        <v>0</v>
      </c>
      <c r="GF97" s="85"/>
    </row>
    <row r="98" ht="29.25" customHeight="1">
      <c r="A98" s="96">
        <v>56.0</v>
      </c>
      <c r="B98" s="97"/>
      <c r="C98" s="58" t="s">
        <v>175</v>
      </c>
      <c r="D98" s="78" t="s">
        <v>105</v>
      </c>
      <c r="E98" s="79"/>
      <c r="F98" s="61"/>
      <c r="G98" s="81">
        <v>0.0</v>
      </c>
      <c r="H98" s="82">
        <v>0.0</v>
      </c>
      <c r="I98" s="82"/>
      <c r="J98" s="82"/>
      <c r="K98" s="82">
        <f t="shared" si="528"/>
        <v>0</v>
      </c>
      <c r="L98" s="82">
        <f t="shared" si="529"/>
        <v>0</v>
      </c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>
        <f t="shared" si="530"/>
        <v>0</v>
      </c>
      <c r="AC98" s="82">
        <f t="shared" si="531"/>
        <v>0</v>
      </c>
      <c r="AD98" s="82">
        <f t="shared" si="452"/>
        <v>0</v>
      </c>
      <c r="AE98" s="82">
        <f t="shared" si="532"/>
        <v>0</v>
      </c>
      <c r="AF98" s="82"/>
      <c r="AG98" s="82"/>
      <c r="AH98" s="82">
        <f t="shared" si="533"/>
        <v>0</v>
      </c>
      <c r="AI98" s="82">
        <f t="shared" si="534"/>
        <v>0</v>
      </c>
      <c r="AJ98" s="82"/>
      <c r="AK98" s="82"/>
      <c r="AL98" s="82"/>
      <c r="AM98" s="82"/>
      <c r="AN98" s="82">
        <f t="shared" si="535"/>
        <v>0</v>
      </c>
      <c r="AO98" s="82">
        <f t="shared" si="536"/>
        <v>0</v>
      </c>
      <c r="AP98" s="82">
        <f t="shared" si="458"/>
        <v>0</v>
      </c>
      <c r="AQ98" s="82">
        <f t="shared" si="537"/>
        <v>0</v>
      </c>
      <c r="AR98" s="82"/>
      <c r="AS98" s="82"/>
      <c r="AT98" s="82"/>
      <c r="AU98" s="82">
        <f t="shared" si="538"/>
        <v>0</v>
      </c>
      <c r="AV98" s="82">
        <f t="shared" si="539"/>
        <v>0</v>
      </c>
      <c r="AW98" s="82"/>
      <c r="AX98" s="82"/>
      <c r="AY98" s="82"/>
      <c r="AZ98" s="82"/>
      <c r="BA98" s="82">
        <f t="shared" si="540"/>
        <v>0</v>
      </c>
      <c r="BB98" s="82">
        <f t="shared" si="541"/>
        <v>0</v>
      </c>
      <c r="BC98" s="82">
        <f t="shared" si="464"/>
        <v>0</v>
      </c>
      <c r="BD98" s="82">
        <f t="shared" si="542"/>
        <v>0</v>
      </c>
      <c r="BE98" s="82">
        <f t="shared" si="543"/>
        <v>0</v>
      </c>
      <c r="BF98" s="82">
        <f t="shared" si="544"/>
        <v>0</v>
      </c>
      <c r="BG98" s="82">
        <f t="shared" si="468"/>
        <v>0</v>
      </c>
      <c r="BH98" s="82">
        <f t="shared" si="545"/>
        <v>0</v>
      </c>
      <c r="BI98" s="82"/>
      <c r="BJ98" s="83"/>
      <c r="BK98" s="82">
        <f t="shared" si="546"/>
        <v>0</v>
      </c>
      <c r="BL98" s="82">
        <f t="shared" si="547"/>
        <v>0</v>
      </c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>
        <f t="shared" si="548"/>
        <v>0</v>
      </c>
      <c r="BX98" s="82">
        <f t="shared" si="549"/>
        <v>0</v>
      </c>
      <c r="BY98" s="82">
        <f t="shared" si="474"/>
        <v>0</v>
      </c>
      <c r="BZ98" s="82">
        <f t="shared" si="550"/>
        <v>0</v>
      </c>
      <c r="CA98" s="82"/>
      <c r="CB98" s="82"/>
      <c r="CC98" s="82">
        <f t="shared" si="551"/>
        <v>0</v>
      </c>
      <c r="CD98" s="82">
        <f t="shared" si="552"/>
        <v>0</v>
      </c>
      <c r="CE98" s="82"/>
      <c r="CF98" s="82"/>
      <c r="CG98" s="82"/>
      <c r="CH98" s="82"/>
      <c r="CI98" s="82">
        <f t="shared" si="553"/>
        <v>0</v>
      </c>
      <c r="CJ98" s="82">
        <f t="shared" si="554"/>
        <v>0</v>
      </c>
      <c r="CK98" s="82">
        <f t="shared" si="480"/>
        <v>0</v>
      </c>
      <c r="CL98" s="82">
        <f t="shared" si="555"/>
        <v>0</v>
      </c>
      <c r="CM98" s="82"/>
      <c r="CN98" s="82"/>
      <c r="CO98" s="82">
        <f t="shared" si="35"/>
        <v>0</v>
      </c>
      <c r="CP98" s="82">
        <f t="shared" si="36"/>
        <v>0</v>
      </c>
      <c r="CQ98" s="82"/>
      <c r="CR98" s="82"/>
      <c r="CS98" s="82"/>
      <c r="CT98" s="82"/>
      <c r="CU98" s="82">
        <f t="shared" si="556"/>
        <v>0</v>
      </c>
      <c r="CV98" s="82">
        <f t="shared" si="557"/>
        <v>0</v>
      </c>
      <c r="CW98" s="82">
        <f t="shared" si="39"/>
        <v>0</v>
      </c>
      <c r="CX98" s="82">
        <f t="shared" si="558"/>
        <v>0</v>
      </c>
      <c r="CY98" s="82">
        <f t="shared" si="41"/>
        <v>0</v>
      </c>
      <c r="CZ98" s="82">
        <f t="shared" si="345"/>
        <v>0</v>
      </c>
      <c r="DA98" s="82">
        <f t="shared" si="43"/>
        <v>0</v>
      </c>
      <c r="DB98" s="82">
        <f t="shared" si="44"/>
        <v>0</v>
      </c>
      <c r="DC98" s="91"/>
      <c r="DD98" s="82"/>
      <c r="DE98" s="82"/>
      <c r="DF98" s="82">
        <f t="shared" si="559"/>
        <v>0</v>
      </c>
      <c r="DG98" s="82">
        <f t="shared" si="560"/>
        <v>0</v>
      </c>
      <c r="DH98" s="82"/>
      <c r="DI98" s="82"/>
      <c r="DJ98" s="82"/>
      <c r="DK98" s="82"/>
      <c r="DL98" s="82">
        <f t="shared" si="561"/>
        <v>0</v>
      </c>
      <c r="DM98" s="82">
        <f t="shared" si="562"/>
        <v>0</v>
      </c>
      <c r="DN98" s="82">
        <f t="shared" si="563"/>
        <v>0</v>
      </c>
      <c r="DO98" s="82">
        <f t="shared" si="564"/>
        <v>0</v>
      </c>
      <c r="DP98" s="82"/>
      <c r="DQ98" s="82"/>
      <c r="DR98" s="82">
        <f t="shared" si="565"/>
        <v>0</v>
      </c>
      <c r="DS98" s="82">
        <f t="shared" si="566"/>
        <v>0</v>
      </c>
      <c r="DT98" s="82"/>
      <c r="DU98" s="82"/>
      <c r="DV98" s="82"/>
      <c r="DW98" s="82"/>
      <c r="DX98" s="82">
        <f t="shared" si="567"/>
        <v>0</v>
      </c>
      <c r="DY98" s="82">
        <f t="shared" si="568"/>
        <v>0</v>
      </c>
      <c r="DZ98" s="82">
        <f t="shared" si="569"/>
        <v>0</v>
      </c>
      <c r="EA98" s="82">
        <f t="shared" si="570"/>
        <v>0</v>
      </c>
      <c r="EB98" s="82"/>
      <c r="EC98" s="82"/>
      <c r="ED98" s="82">
        <f t="shared" si="571"/>
        <v>0</v>
      </c>
      <c r="EE98" s="82">
        <f t="shared" si="572"/>
        <v>0</v>
      </c>
      <c r="EF98" s="82"/>
      <c r="EG98" s="82"/>
      <c r="EH98" s="82"/>
      <c r="EI98" s="82"/>
      <c r="EJ98" s="82">
        <f t="shared" si="573"/>
        <v>0</v>
      </c>
      <c r="EK98" s="82">
        <f t="shared" si="574"/>
        <v>0</v>
      </c>
      <c r="EL98" s="82">
        <f t="shared" si="575"/>
        <v>0</v>
      </c>
      <c r="EM98" s="82">
        <f t="shared" si="576"/>
        <v>0</v>
      </c>
      <c r="EN98" s="82">
        <f t="shared" si="577"/>
        <v>0</v>
      </c>
      <c r="EO98" s="82">
        <f t="shared" si="578"/>
        <v>0</v>
      </c>
      <c r="EP98" s="82">
        <f t="shared" si="579"/>
        <v>0</v>
      </c>
      <c r="EQ98" s="82">
        <f t="shared" si="580"/>
        <v>0</v>
      </c>
      <c r="ER98" s="82"/>
      <c r="ES98" s="82"/>
      <c r="ET98" s="82">
        <f t="shared" si="581"/>
        <v>0</v>
      </c>
      <c r="EU98" s="82">
        <f t="shared" si="582"/>
        <v>0</v>
      </c>
      <c r="EV98" s="82"/>
      <c r="EW98" s="82"/>
      <c r="EX98" s="82"/>
      <c r="EY98" s="82"/>
      <c r="EZ98" s="82">
        <f t="shared" si="583"/>
        <v>0</v>
      </c>
      <c r="FA98" s="82">
        <f t="shared" si="584"/>
        <v>0</v>
      </c>
      <c r="FB98" s="82">
        <f t="shared" si="585"/>
        <v>0</v>
      </c>
      <c r="FC98" s="82">
        <f t="shared" si="586"/>
        <v>0</v>
      </c>
      <c r="FD98" s="82"/>
      <c r="FE98" s="82"/>
      <c r="FF98" s="82">
        <f t="shared" si="587"/>
        <v>0</v>
      </c>
      <c r="FG98" s="82">
        <f t="shared" si="588"/>
        <v>0</v>
      </c>
      <c r="FH98" s="82"/>
      <c r="FI98" s="82"/>
      <c r="FJ98" s="82"/>
      <c r="FK98" s="82"/>
      <c r="FL98" s="82">
        <f t="shared" si="589"/>
        <v>0</v>
      </c>
      <c r="FM98" s="82">
        <f t="shared" si="590"/>
        <v>0</v>
      </c>
      <c r="FN98" s="82">
        <f t="shared" si="591"/>
        <v>0</v>
      </c>
      <c r="FO98" s="82">
        <f t="shared" si="592"/>
        <v>0</v>
      </c>
      <c r="FP98" s="82"/>
      <c r="FQ98" s="82"/>
      <c r="FR98" s="82">
        <f t="shared" si="593"/>
        <v>0</v>
      </c>
      <c r="FS98" s="82">
        <f t="shared" si="594"/>
        <v>0</v>
      </c>
      <c r="FT98" s="82"/>
      <c r="FU98" s="82"/>
      <c r="FV98" s="82"/>
      <c r="FW98" s="82"/>
      <c r="FX98" s="82">
        <f t="shared" si="595"/>
        <v>0</v>
      </c>
      <c r="FY98" s="82">
        <f t="shared" si="596"/>
        <v>0</v>
      </c>
      <c r="FZ98" s="82">
        <f t="shared" si="597"/>
        <v>0</v>
      </c>
      <c r="GA98" s="82">
        <f t="shared" si="598"/>
        <v>0</v>
      </c>
      <c r="GB98" s="82">
        <f t="shared" si="599"/>
        <v>0</v>
      </c>
      <c r="GC98" s="82">
        <f t="shared" si="600"/>
        <v>0</v>
      </c>
      <c r="GD98" s="82">
        <f t="shared" si="601"/>
        <v>0</v>
      </c>
      <c r="GE98" s="82">
        <f t="shared" si="602"/>
        <v>0</v>
      </c>
      <c r="GF98" s="85"/>
    </row>
    <row r="99" ht="29.25" customHeight="1">
      <c r="A99" s="76">
        <v>57.0</v>
      </c>
      <c r="B99" s="87"/>
      <c r="C99" s="77" t="s">
        <v>176</v>
      </c>
      <c r="D99" s="92" t="s">
        <v>96</v>
      </c>
      <c r="E99" s="79">
        <v>178599.99899999998</v>
      </c>
      <c r="F99" s="61" t="s">
        <v>177</v>
      </c>
      <c r="G99" s="81">
        <v>10.0</v>
      </c>
      <c r="H99" s="82">
        <v>1785999.9899999998</v>
      </c>
      <c r="I99" s="82"/>
      <c r="J99" s="82"/>
      <c r="K99" s="82">
        <f t="shared" si="528"/>
        <v>0</v>
      </c>
      <c r="L99" s="82">
        <f t="shared" si="529"/>
        <v>0</v>
      </c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>
        <f t="shared" si="530"/>
        <v>0</v>
      </c>
      <c r="AC99" s="82">
        <f t="shared" si="531"/>
        <v>0</v>
      </c>
      <c r="AD99" s="82">
        <f t="shared" si="452"/>
        <v>10</v>
      </c>
      <c r="AE99" s="82">
        <f t="shared" si="532"/>
        <v>1785999.99</v>
      </c>
      <c r="AF99" s="82"/>
      <c r="AG99" s="82"/>
      <c r="AH99" s="82">
        <f t="shared" si="533"/>
        <v>0</v>
      </c>
      <c r="AI99" s="82">
        <f t="shared" si="534"/>
        <v>0</v>
      </c>
      <c r="AJ99" s="82"/>
      <c r="AK99" s="82"/>
      <c r="AL99" s="82"/>
      <c r="AM99" s="82"/>
      <c r="AN99" s="82">
        <f t="shared" si="535"/>
        <v>0</v>
      </c>
      <c r="AO99" s="82">
        <f t="shared" si="536"/>
        <v>0</v>
      </c>
      <c r="AP99" s="82">
        <f t="shared" si="458"/>
        <v>10</v>
      </c>
      <c r="AQ99" s="82">
        <f t="shared" si="537"/>
        <v>1785999.99</v>
      </c>
      <c r="AR99" s="82"/>
      <c r="AS99" s="82"/>
      <c r="AT99" s="82"/>
      <c r="AU99" s="82">
        <f t="shared" si="538"/>
        <v>0</v>
      </c>
      <c r="AV99" s="82">
        <f t="shared" si="539"/>
        <v>0</v>
      </c>
      <c r="AW99" s="82"/>
      <c r="AX99" s="82"/>
      <c r="AY99" s="82"/>
      <c r="AZ99" s="82"/>
      <c r="BA99" s="82">
        <f t="shared" si="540"/>
        <v>0</v>
      </c>
      <c r="BB99" s="82">
        <f t="shared" si="541"/>
        <v>0</v>
      </c>
      <c r="BC99" s="82">
        <f t="shared" si="464"/>
        <v>10</v>
      </c>
      <c r="BD99" s="82">
        <f t="shared" si="542"/>
        <v>1785999.99</v>
      </c>
      <c r="BE99" s="82">
        <f t="shared" si="543"/>
        <v>0</v>
      </c>
      <c r="BF99" s="82">
        <f t="shared" si="544"/>
        <v>0</v>
      </c>
      <c r="BG99" s="82">
        <f t="shared" si="468"/>
        <v>10</v>
      </c>
      <c r="BH99" s="82">
        <f t="shared" si="545"/>
        <v>1785999.99</v>
      </c>
      <c r="BI99" s="82"/>
      <c r="BJ99" s="83"/>
      <c r="BK99" s="82">
        <f t="shared" si="546"/>
        <v>0</v>
      </c>
      <c r="BL99" s="82">
        <f t="shared" si="547"/>
        <v>0</v>
      </c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>
        <f t="shared" si="548"/>
        <v>0</v>
      </c>
      <c r="BX99" s="82">
        <f t="shared" si="549"/>
        <v>0</v>
      </c>
      <c r="BY99" s="82">
        <f t="shared" si="474"/>
        <v>10</v>
      </c>
      <c r="BZ99" s="82">
        <f t="shared" si="550"/>
        <v>1785999.99</v>
      </c>
      <c r="CA99" s="82"/>
      <c r="CB99" s="82"/>
      <c r="CC99" s="82">
        <f t="shared" si="551"/>
        <v>0</v>
      </c>
      <c r="CD99" s="82">
        <f t="shared" si="552"/>
        <v>0</v>
      </c>
      <c r="CE99" s="82"/>
      <c r="CF99" s="82"/>
      <c r="CG99" s="82"/>
      <c r="CH99" s="82"/>
      <c r="CI99" s="82">
        <f t="shared" si="553"/>
        <v>0</v>
      </c>
      <c r="CJ99" s="82">
        <f t="shared" si="554"/>
        <v>0</v>
      </c>
      <c r="CK99" s="82">
        <f t="shared" si="480"/>
        <v>10</v>
      </c>
      <c r="CL99" s="82">
        <f t="shared" si="555"/>
        <v>1785999.99</v>
      </c>
      <c r="CM99" s="82"/>
      <c r="CN99" s="82"/>
      <c r="CO99" s="82">
        <f t="shared" si="35"/>
        <v>0</v>
      </c>
      <c r="CP99" s="82">
        <f t="shared" si="36"/>
        <v>0</v>
      </c>
      <c r="CQ99" s="82"/>
      <c r="CR99" s="82"/>
      <c r="CS99" s="82"/>
      <c r="CT99" s="82"/>
      <c r="CU99" s="82">
        <f t="shared" si="556"/>
        <v>0</v>
      </c>
      <c r="CV99" s="82">
        <f t="shared" si="557"/>
        <v>0</v>
      </c>
      <c r="CW99" s="82">
        <f t="shared" si="39"/>
        <v>10</v>
      </c>
      <c r="CX99" s="82">
        <f t="shared" si="558"/>
        <v>1785999.99</v>
      </c>
      <c r="CY99" s="82">
        <f t="shared" si="41"/>
        <v>0</v>
      </c>
      <c r="CZ99" s="82">
        <f t="shared" si="345"/>
        <v>0</v>
      </c>
      <c r="DA99" s="82">
        <f t="shared" si="43"/>
        <v>10</v>
      </c>
      <c r="DB99" s="82">
        <f t="shared" si="44"/>
        <v>1785999.99</v>
      </c>
      <c r="DC99" s="84">
        <v>22.0</v>
      </c>
      <c r="DD99" s="82"/>
      <c r="DE99" s="82"/>
      <c r="DF99" s="82">
        <f t="shared" si="559"/>
        <v>0</v>
      </c>
      <c r="DG99" s="82">
        <f t="shared" si="560"/>
        <v>0</v>
      </c>
      <c r="DH99" s="82"/>
      <c r="DI99" s="82"/>
      <c r="DJ99" s="82"/>
      <c r="DK99" s="82"/>
      <c r="DL99" s="82">
        <f t="shared" si="561"/>
        <v>0</v>
      </c>
      <c r="DM99" s="82">
        <f t="shared" si="562"/>
        <v>0</v>
      </c>
      <c r="DN99" s="82">
        <f t="shared" si="563"/>
        <v>10</v>
      </c>
      <c r="DO99" s="82">
        <f t="shared" si="564"/>
        <v>1785999.99</v>
      </c>
      <c r="DP99" s="82"/>
      <c r="DQ99" s="82"/>
      <c r="DR99" s="82">
        <f t="shared" si="565"/>
        <v>0</v>
      </c>
      <c r="DS99" s="82">
        <f t="shared" si="566"/>
        <v>0</v>
      </c>
      <c r="DT99" s="82"/>
      <c r="DU99" s="82"/>
      <c r="DV99" s="82"/>
      <c r="DW99" s="82"/>
      <c r="DX99" s="82">
        <f t="shared" si="567"/>
        <v>0</v>
      </c>
      <c r="DY99" s="82">
        <f t="shared" si="568"/>
        <v>0</v>
      </c>
      <c r="DZ99" s="82">
        <f t="shared" si="569"/>
        <v>10</v>
      </c>
      <c r="EA99" s="82">
        <f t="shared" si="570"/>
        <v>1785999.99</v>
      </c>
      <c r="EB99" s="82"/>
      <c r="EC99" s="82"/>
      <c r="ED99" s="82">
        <f t="shared" si="571"/>
        <v>0</v>
      </c>
      <c r="EE99" s="82">
        <f t="shared" si="572"/>
        <v>0</v>
      </c>
      <c r="EF99" s="82"/>
      <c r="EG99" s="82"/>
      <c r="EH99" s="82"/>
      <c r="EI99" s="82"/>
      <c r="EJ99" s="82">
        <f t="shared" si="573"/>
        <v>0</v>
      </c>
      <c r="EK99" s="82">
        <f t="shared" si="574"/>
        <v>0</v>
      </c>
      <c r="EL99" s="82">
        <f t="shared" si="575"/>
        <v>10</v>
      </c>
      <c r="EM99" s="82">
        <f t="shared" si="576"/>
        <v>1785999.99</v>
      </c>
      <c r="EN99" s="82">
        <f t="shared" si="577"/>
        <v>0</v>
      </c>
      <c r="EO99" s="82">
        <f t="shared" si="578"/>
        <v>0</v>
      </c>
      <c r="EP99" s="82">
        <f t="shared" si="579"/>
        <v>10</v>
      </c>
      <c r="EQ99" s="82">
        <f t="shared" si="580"/>
        <v>1785999.99</v>
      </c>
      <c r="ER99" s="82"/>
      <c r="ES99" s="82"/>
      <c r="ET99" s="82">
        <f t="shared" si="581"/>
        <v>0</v>
      </c>
      <c r="EU99" s="82">
        <f t="shared" si="582"/>
        <v>0</v>
      </c>
      <c r="EV99" s="82"/>
      <c r="EW99" s="82"/>
      <c r="EX99" s="82"/>
      <c r="EY99" s="82"/>
      <c r="EZ99" s="82">
        <f t="shared" si="583"/>
        <v>0</v>
      </c>
      <c r="FA99" s="82">
        <f t="shared" si="584"/>
        <v>0</v>
      </c>
      <c r="FB99" s="82">
        <f t="shared" si="585"/>
        <v>10</v>
      </c>
      <c r="FC99" s="82">
        <f t="shared" si="586"/>
        <v>1785999.99</v>
      </c>
      <c r="FD99" s="82"/>
      <c r="FE99" s="82"/>
      <c r="FF99" s="82">
        <f t="shared" si="587"/>
        <v>0</v>
      </c>
      <c r="FG99" s="82">
        <f t="shared" si="588"/>
        <v>0</v>
      </c>
      <c r="FH99" s="82"/>
      <c r="FI99" s="82"/>
      <c r="FJ99" s="82"/>
      <c r="FK99" s="82"/>
      <c r="FL99" s="82">
        <f t="shared" si="589"/>
        <v>0</v>
      </c>
      <c r="FM99" s="82">
        <f t="shared" si="590"/>
        <v>0</v>
      </c>
      <c r="FN99" s="82">
        <f t="shared" si="591"/>
        <v>10</v>
      </c>
      <c r="FO99" s="82">
        <f t="shared" si="592"/>
        <v>1785999.99</v>
      </c>
      <c r="FP99" s="82"/>
      <c r="FQ99" s="82"/>
      <c r="FR99" s="82">
        <f t="shared" si="593"/>
        <v>0</v>
      </c>
      <c r="FS99" s="82">
        <f t="shared" si="594"/>
        <v>0</v>
      </c>
      <c r="FT99" s="82"/>
      <c r="FU99" s="82"/>
      <c r="FV99" s="82"/>
      <c r="FW99" s="82"/>
      <c r="FX99" s="82">
        <f t="shared" si="595"/>
        <v>0</v>
      </c>
      <c r="FY99" s="82">
        <f t="shared" si="596"/>
        <v>0</v>
      </c>
      <c r="FZ99" s="82">
        <f t="shared" si="597"/>
        <v>10</v>
      </c>
      <c r="GA99" s="82">
        <f t="shared" si="598"/>
        <v>1785999.99</v>
      </c>
      <c r="GB99" s="82">
        <f t="shared" si="599"/>
        <v>0</v>
      </c>
      <c r="GC99" s="82">
        <f t="shared" si="600"/>
        <v>0</v>
      </c>
      <c r="GD99" s="82">
        <f t="shared" si="601"/>
        <v>10</v>
      </c>
      <c r="GE99" s="82">
        <f t="shared" si="602"/>
        <v>1785999.99</v>
      </c>
      <c r="GF99" s="85"/>
    </row>
    <row r="100" ht="29.25" customHeight="1">
      <c r="A100" s="50"/>
      <c r="B100" s="50"/>
      <c r="C100" s="50"/>
      <c r="D100" s="92" t="s">
        <v>96</v>
      </c>
      <c r="E100" s="79">
        <v>178599.99899999998</v>
      </c>
      <c r="F100" s="80" t="s">
        <v>85</v>
      </c>
      <c r="G100" s="81">
        <v>14.0</v>
      </c>
      <c r="H100" s="82">
        <v>2500399.9859999996</v>
      </c>
      <c r="I100" s="82"/>
      <c r="J100" s="82"/>
      <c r="K100" s="82">
        <f t="shared" si="528"/>
        <v>0</v>
      </c>
      <c r="L100" s="82">
        <f t="shared" si="529"/>
        <v>0</v>
      </c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>
        <f t="shared" si="530"/>
        <v>0</v>
      </c>
      <c r="AC100" s="82">
        <f t="shared" si="531"/>
        <v>0</v>
      </c>
      <c r="AD100" s="82">
        <f t="shared" si="452"/>
        <v>14</v>
      </c>
      <c r="AE100" s="82">
        <f t="shared" si="532"/>
        <v>2500399.986</v>
      </c>
      <c r="AF100" s="82"/>
      <c r="AG100" s="82"/>
      <c r="AH100" s="82">
        <f t="shared" si="533"/>
        <v>0</v>
      </c>
      <c r="AI100" s="82">
        <f t="shared" si="534"/>
        <v>0</v>
      </c>
      <c r="AJ100" s="82"/>
      <c r="AK100" s="82"/>
      <c r="AL100" s="82"/>
      <c r="AM100" s="82"/>
      <c r="AN100" s="82">
        <f t="shared" si="535"/>
        <v>0</v>
      </c>
      <c r="AO100" s="82">
        <f t="shared" si="536"/>
        <v>0</v>
      </c>
      <c r="AP100" s="82">
        <f t="shared" si="458"/>
        <v>14</v>
      </c>
      <c r="AQ100" s="82">
        <f t="shared" si="537"/>
        <v>2500399.986</v>
      </c>
      <c r="AR100" s="82"/>
      <c r="AS100" s="82"/>
      <c r="AT100" s="82"/>
      <c r="AU100" s="82">
        <f t="shared" si="538"/>
        <v>0</v>
      </c>
      <c r="AV100" s="82">
        <f t="shared" si="539"/>
        <v>0</v>
      </c>
      <c r="AW100" s="82"/>
      <c r="AX100" s="82"/>
      <c r="AY100" s="82"/>
      <c r="AZ100" s="82"/>
      <c r="BA100" s="82">
        <f t="shared" si="540"/>
        <v>0</v>
      </c>
      <c r="BB100" s="82">
        <f t="shared" si="541"/>
        <v>0</v>
      </c>
      <c r="BC100" s="82">
        <f t="shared" si="464"/>
        <v>14</v>
      </c>
      <c r="BD100" s="82">
        <f t="shared" si="542"/>
        <v>2500399.986</v>
      </c>
      <c r="BE100" s="82">
        <f t="shared" si="543"/>
        <v>0</v>
      </c>
      <c r="BF100" s="82">
        <f t="shared" si="544"/>
        <v>0</v>
      </c>
      <c r="BG100" s="82">
        <f t="shared" si="468"/>
        <v>14</v>
      </c>
      <c r="BH100" s="82">
        <f t="shared" si="545"/>
        <v>2500399.986</v>
      </c>
      <c r="BI100" s="82"/>
      <c r="BJ100" s="83"/>
      <c r="BK100" s="82">
        <f t="shared" si="546"/>
        <v>0</v>
      </c>
      <c r="BL100" s="82">
        <f t="shared" si="547"/>
        <v>0</v>
      </c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>
        <f t="shared" si="548"/>
        <v>0</v>
      </c>
      <c r="BX100" s="82">
        <f t="shared" si="549"/>
        <v>0</v>
      </c>
      <c r="BY100" s="82">
        <f t="shared" si="474"/>
        <v>14</v>
      </c>
      <c r="BZ100" s="82">
        <f t="shared" si="550"/>
        <v>2500399.986</v>
      </c>
      <c r="CA100" s="82"/>
      <c r="CB100" s="82"/>
      <c r="CC100" s="82">
        <f t="shared" si="551"/>
        <v>0</v>
      </c>
      <c r="CD100" s="82">
        <f t="shared" si="552"/>
        <v>0</v>
      </c>
      <c r="CE100" s="82"/>
      <c r="CF100" s="82"/>
      <c r="CG100" s="82"/>
      <c r="CH100" s="82"/>
      <c r="CI100" s="82">
        <f t="shared" si="553"/>
        <v>0</v>
      </c>
      <c r="CJ100" s="82">
        <f t="shared" si="554"/>
        <v>0</v>
      </c>
      <c r="CK100" s="82">
        <f t="shared" si="480"/>
        <v>14</v>
      </c>
      <c r="CL100" s="82">
        <f t="shared" si="555"/>
        <v>2500399.986</v>
      </c>
      <c r="CM100" s="82"/>
      <c r="CN100" s="82"/>
      <c r="CO100" s="82">
        <f t="shared" si="35"/>
        <v>0</v>
      </c>
      <c r="CP100" s="82">
        <f t="shared" si="36"/>
        <v>0</v>
      </c>
      <c r="CQ100" s="82"/>
      <c r="CR100" s="82"/>
      <c r="CS100" s="82"/>
      <c r="CT100" s="82"/>
      <c r="CU100" s="82">
        <f t="shared" si="556"/>
        <v>0</v>
      </c>
      <c r="CV100" s="82">
        <f t="shared" si="557"/>
        <v>0</v>
      </c>
      <c r="CW100" s="82">
        <f t="shared" si="39"/>
        <v>14</v>
      </c>
      <c r="CX100" s="82">
        <f t="shared" si="558"/>
        <v>2500399.986</v>
      </c>
      <c r="CY100" s="82">
        <f t="shared" si="41"/>
        <v>0</v>
      </c>
      <c r="CZ100" s="82">
        <f t="shared" si="345"/>
        <v>0</v>
      </c>
      <c r="DA100" s="82">
        <f t="shared" si="43"/>
        <v>14</v>
      </c>
      <c r="DB100" s="82">
        <f t="shared" si="44"/>
        <v>2500399.986</v>
      </c>
      <c r="DC100" s="91"/>
      <c r="DD100" s="82"/>
      <c r="DE100" s="82"/>
      <c r="DF100" s="82">
        <f t="shared" si="559"/>
        <v>0</v>
      </c>
      <c r="DG100" s="82">
        <f t="shared" si="560"/>
        <v>0</v>
      </c>
      <c r="DH100" s="82"/>
      <c r="DI100" s="82"/>
      <c r="DJ100" s="82"/>
      <c r="DK100" s="82"/>
      <c r="DL100" s="82">
        <f t="shared" si="561"/>
        <v>0</v>
      </c>
      <c r="DM100" s="82">
        <f t="shared" si="562"/>
        <v>0</v>
      </c>
      <c r="DN100" s="82">
        <f t="shared" si="563"/>
        <v>14</v>
      </c>
      <c r="DO100" s="82">
        <f t="shared" si="564"/>
        <v>2500399.986</v>
      </c>
      <c r="DP100" s="82"/>
      <c r="DQ100" s="82"/>
      <c r="DR100" s="82">
        <f t="shared" si="565"/>
        <v>0</v>
      </c>
      <c r="DS100" s="82">
        <f t="shared" si="566"/>
        <v>0</v>
      </c>
      <c r="DT100" s="82"/>
      <c r="DU100" s="82"/>
      <c r="DV100" s="82"/>
      <c r="DW100" s="82"/>
      <c r="DX100" s="82">
        <f t="shared" si="567"/>
        <v>0</v>
      </c>
      <c r="DY100" s="82">
        <f t="shared" si="568"/>
        <v>0</v>
      </c>
      <c r="DZ100" s="82">
        <f t="shared" si="569"/>
        <v>14</v>
      </c>
      <c r="EA100" s="82">
        <f t="shared" si="570"/>
        <v>2500399.986</v>
      </c>
      <c r="EB100" s="82"/>
      <c r="EC100" s="82"/>
      <c r="ED100" s="82">
        <f t="shared" si="571"/>
        <v>0</v>
      </c>
      <c r="EE100" s="82">
        <f t="shared" si="572"/>
        <v>0</v>
      </c>
      <c r="EF100" s="82"/>
      <c r="EG100" s="82"/>
      <c r="EH100" s="82"/>
      <c r="EI100" s="82"/>
      <c r="EJ100" s="82">
        <f t="shared" si="573"/>
        <v>0</v>
      </c>
      <c r="EK100" s="82">
        <f t="shared" si="574"/>
        <v>0</v>
      </c>
      <c r="EL100" s="82">
        <f t="shared" si="575"/>
        <v>14</v>
      </c>
      <c r="EM100" s="82">
        <f t="shared" si="576"/>
        <v>2500399.986</v>
      </c>
      <c r="EN100" s="82">
        <f t="shared" si="577"/>
        <v>0</v>
      </c>
      <c r="EO100" s="82">
        <f t="shared" si="578"/>
        <v>0</v>
      </c>
      <c r="EP100" s="82">
        <f t="shared" si="579"/>
        <v>14</v>
      </c>
      <c r="EQ100" s="82">
        <f t="shared" si="580"/>
        <v>2500399.986</v>
      </c>
      <c r="ER100" s="82"/>
      <c r="ES100" s="82"/>
      <c r="ET100" s="82">
        <f t="shared" si="581"/>
        <v>0</v>
      </c>
      <c r="EU100" s="82">
        <f t="shared" si="582"/>
        <v>0</v>
      </c>
      <c r="EV100" s="82"/>
      <c r="EW100" s="82"/>
      <c r="EX100" s="82"/>
      <c r="EY100" s="82"/>
      <c r="EZ100" s="82">
        <f t="shared" si="583"/>
        <v>0</v>
      </c>
      <c r="FA100" s="82">
        <f t="shared" si="584"/>
        <v>0</v>
      </c>
      <c r="FB100" s="82">
        <f t="shared" si="585"/>
        <v>14</v>
      </c>
      <c r="FC100" s="82">
        <f t="shared" si="586"/>
        <v>2500399.986</v>
      </c>
      <c r="FD100" s="82"/>
      <c r="FE100" s="82"/>
      <c r="FF100" s="82">
        <f t="shared" si="587"/>
        <v>0</v>
      </c>
      <c r="FG100" s="82">
        <f t="shared" si="588"/>
        <v>0</v>
      </c>
      <c r="FH100" s="82"/>
      <c r="FI100" s="82"/>
      <c r="FJ100" s="82"/>
      <c r="FK100" s="82"/>
      <c r="FL100" s="82">
        <f t="shared" si="589"/>
        <v>0</v>
      </c>
      <c r="FM100" s="82">
        <f t="shared" si="590"/>
        <v>0</v>
      </c>
      <c r="FN100" s="82">
        <f t="shared" si="591"/>
        <v>14</v>
      </c>
      <c r="FO100" s="82">
        <f t="shared" si="592"/>
        <v>2500399.986</v>
      </c>
      <c r="FP100" s="82"/>
      <c r="FQ100" s="82"/>
      <c r="FR100" s="82">
        <f t="shared" si="593"/>
        <v>0</v>
      </c>
      <c r="FS100" s="82">
        <f t="shared" si="594"/>
        <v>0</v>
      </c>
      <c r="FT100" s="82"/>
      <c r="FU100" s="82"/>
      <c r="FV100" s="82"/>
      <c r="FW100" s="82"/>
      <c r="FX100" s="82">
        <f t="shared" si="595"/>
        <v>0</v>
      </c>
      <c r="FY100" s="82">
        <f t="shared" si="596"/>
        <v>0</v>
      </c>
      <c r="FZ100" s="82">
        <f t="shared" si="597"/>
        <v>14</v>
      </c>
      <c r="GA100" s="82">
        <f t="shared" si="598"/>
        <v>2500399.986</v>
      </c>
      <c r="GB100" s="82">
        <f t="shared" si="599"/>
        <v>0</v>
      </c>
      <c r="GC100" s="82">
        <f t="shared" si="600"/>
        <v>0</v>
      </c>
      <c r="GD100" s="82">
        <f t="shared" si="601"/>
        <v>14</v>
      </c>
      <c r="GE100" s="82">
        <f t="shared" si="602"/>
        <v>2500399.986</v>
      </c>
      <c r="GF100" s="85"/>
    </row>
    <row r="101" ht="29.25" customHeight="1">
      <c r="A101" s="96">
        <v>58.0</v>
      </c>
      <c r="B101" s="97"/>
      <c r="C101" s="58" t="s">
        <v>178</v>
      </c>
      <c r="D101" s="89" t="s">
        <v>126</v>
      </c>
      <c r="E101" s="86">
        <v>24324.0</v>
      </c>
      <c r="F101" s="80" t="s">
        <v>86</v>
      </c>
      <c r="G101" s="81">
        <v>5.0</v>
      </c>
      <c r="H101" s="82">
        <v>121620.0</v>
      </c>
      <c r="I101" s="82"/>
      <c r="J101" s="82"/>
      <c r="K101" s="82">
        <f t="shared" si="528"/>
        <v>0</v>
      </c>
      <c r="L101" s="82">
        <f t="shared" si="529"/>
        <v>0</v>
      </c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>
        <f t="shared" si="530"/>
        <v>0</v>
      </c>
      <c r="AC101" s="82">
        <f t="shared" si="531"/>
        <v>0</v>
      </c>
      <c r="AD101" s="82">
        <f t="shared" si="452"/>
        <v>5</v>
      </c>
      <c r="AE101" s="82">
        <f t="shared" si="532"/>
        <v>121620</v>
      </c>
      <c r="AF101" s="82"/>
      <c r="AG101" s="82"/>
      <c r="AH101" s="82">
        <f t="shared" si="533"/>
        <v>0</v>
      </c>
      <c r="AI101" s="82">
        <f t="shared" si="534"/>
        <v>0</v>
      </c>
      <c r="AJ101" s="82"/>
      <c r="AK101" s="82"/>
      <c r="AL101" s="82"/>
      <c r="AM101" s="82"/>
      <c r="AN101" s="82">
        <f t="shared" si="535"/>
        <v>0</v>
      </c>
      <c r="AO101" s="82">
        <f t="shared" si="536"/>
        <v>0</v>
      </c>
      <c r="AP101" s="82">
        <f t="shared" si="458"/>
        <v>5</v>
      </c>
      <c r="AQ101" s="82">
        <f t="shared" si="537"/>
        <v>121620</v>
      </c>
      <c r="AR101" s="82"/>
      <c r="AS101" s="82"/>
      <c r="AT101" s="82"/>
      <c r="AU101" s="82">
        <f t="shared" si="538"/>
        <v>0</v>
      </c>
      <c r="AV101" s="82">
        <f t="shared" si="539"/>
        <v>0</v>
      </c>
      <c r="AW101" s="82"/>
      <c r="AX101" s="82"/>
      <c r="AY101" s="82"/>
      <c r="AZ101" s="82"/>
      <c r="BA101" s="82">
        <f t="shared" si="540"/>
        <v>0</v>
      </c>
      <c r="BB101" s="82">
        <f t="shared" si="541"/>
        <v>0</v>
      </c>
      <c r="BC101" s="82">
        <f t="shared" si="464"/>
        <v>5</v>
      </c>
      <c r="BD101" s="82">
        <f t="shared" si="542"/>
        <v>121620</v>
      </c>
      <c r="BE101" s="82">
        <f t="shared" si="543"/>
        <v>0</v>
      </c>
      <c r="BF101" s="82">
        <f t="shared" si="544"/>
        <v>0</v>
      </c>
      <c r="BG101" s="82">
        <f t="shared" si="468"/>
        <v>5</v>
      </c>
      <c r="BH101" s="82">
        <f t="shared" si="545"/>
        <v>121620</v>
      </c>
      <c r="BI101" s="82"/>
      <c r="BJ101" s="83"/>
      <c r="BK101" s="82">
        <f t="shared" si="546"/>
        <v>0</v>
      </c>
      <c r="BL101" s="82">
        <f t="shared" si="547"/>
        <v>0</v>
      </c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>
        <f t="shared" si="548"/>
        <v>0</v>
      </c>
      <c r="BX101" s="82">
        <f t="shared" si="549"/>
        <v>0</v>
      </c>
      <c r="BY101" s="82">
        <f t="shared" si="474"/>
        <v>5</v>
      </c>
      <c r="BZ101" s="82">
        <f t="shared" si="550"/>
        <v>121620</v>
      </c>
      <c r="CA101" s="82"/>
      <c r="CB101" s="82"/>
      <c r="CC101" s="82">
        <f t="shared" si="551"/>
        <v>0</v>
      </c>
      <c r="CD101" s="82">
        <f t="shared" si="552"/>
        <v>0</v>
      </c>
      <c r="CE101" s="82"/>
      <c r="CF101" s="83">
        <v>5.0</v>
      </c>
      <c r="CG101" s="82"/>
      <c r="CH101" s="82"/>
      <c r="CI101" s="82">
        <f t="shared" si="553"/>
        <v>5</v>
      </c>
      <c r="CJ101" s="82">
        <f t="shared" si="554"/>
        <v>121620</v>
      </c>
      <c r="CK101" s="82">
        <f t="shared" si="480"/>
        <v>0</v>
      </c>
      <c r="CL101" s="82">
        <f t="shared" si="555"/>
        <v>0</v>
      </c>
      <c r="CM101" s="82"/>
      <c r="CN101" s="82"/>
      <c r="CO101" s="82">
        <f t="shared" si="35"/>
        <v>0</v>
      </c>
      <c r="CP101" s="82">
        <f t="shared" si="36"/>
        <v>0</v>
      </c>
      <c r="CQ101" s="82"/>
      <c r="CR101" s="82"/>
      <c r="CS101" s="82"/>
      <c r="CT101" s="82"/>
      <c r="CU101" s="82">
        <f t="shared" si="556"/>
        <v>0</v>
      </c>
      <c r="CV101" s="82">
        <f t="shared" si="557"/>
        <v>0</v>
      </c>
      <c r="CW101" s="82">
        <f t="shared" si="39"/>
        <v>0</v>
      </c>
      <c r="CX101" s="82">
        <f t="shared" si="558"/>
        <v>0</v>
      </c>
      <c r="CY101" s="82">
        <f t="shared" si="41"/>
        <v>0</v>
      </c>
      <c r="CZ101" s="82">
        <f t="shared" si="345"/>
        <v>5</v>
      </c>
      <c r="DA101" s="82">
        <f t="shared" si="43"/>
        <v>0</v>
      </c>
      <c r="DB101" s="82">
        <f t="shared" si="44"/>
        <v>0</v>
      </c>
      <c r="DC101" s="91"/>
      <c r="DD101" s="82"/>
      <c r="DE101" s="82"/>
      <c r="DF101" s="82">
        <f t="shared" si="559"/>
        <v>0</v>
      </c>
      <c r="DG101" s="82">
        <f t="shared" si="560"/>
        <v>0</v>
      </c>
      <c r="DH101" s="82"/>
      <c r="DI101" s="82"/>
      <c r="DJ101" s="82"/>
      <c r="DK101" s="82"/>
      <c r="DL101" s="82">
        <f t="shared" si="561"/>
        <v>0</v>
      </c>
      <c r="DM101" s="82">
        <f t="shared" si="562"/>
        <v>0</v>
      </c>
      <c r="DN101" s="82">
        <f t="shared" si="563"/>
        <v>0</v>
      </c>
      <c r="DO101" s="82">
        <f t="shared" si="564"/>
        <v>0</v>
      </c>
      <c r="DP101" s="82"/>
      <c r="DQ101" s="82"/>
      <c r="DR101" s="82">
        <f t="shared" si="565"/>
        <v>0</v>
      </c>
      <c r="DS101" s="82">
        <f t="shared" si="566"/>
        <v>0</v>
      </c>
      <c r="DT101" s="82"/>
      <c r="DU101" s="82"/>
      <c r="DV101" s="82"/>
      <c r="DW101" s="82"/>
      <c r="DX101" s="82">
        <f t="shared" si="567"/>
        <v>0</v>
      </c>
      <c r="DY101" s="82">
        <f t="shared" si="568"/>
        <v>0</v>
      </c>
      <c r="DZ101" s="82">
        <f t="shared" si="569"/>
        <v>0</v>
      </c>
      <c r="EA101" s="82">
        <f t="shared" si="570"/>
        <v>0</v>
      </c>
      <c r="EB101" s="82"/>
      <c r="EC101" s="82"/>
      <c r="ED101" s="82">
        <f t="shared" si="571"/>
        <v>0</v>
      </c>
      <c r="EE101" s="82">
        <f t="shared" si="572"/>
        <v>0</v>
      </c>
      <c r="EF101" s="82"/>
      <c r="EG101" s="82"/>
      <c r="EH101" s="82"/>
      <c r="EI101" s="82"/>
      <c r="EJ101" s="82">
        <f t="shared" si="573"/>
        <v>0</v>
      </c>
      <c r="EK101" s="82">
        <f t="shared" si="574"/>
        <v>0</v>
      </c>
      <c r="EL101" s="82">
        <f t="shared" si="575"/>
        <v>0</v>
      </c>
      <c r="EM101" s="82">
        <f t="shared" si="576"/>
        <v>0</v>
      </c>
      <c r="EN101" s="82">
        <f t="shared" si="577"/>
        <v>0</v>
      </c>
      <c r="EO101" s="82">
        <f t="shared" si="578"/>
        <v>0</v>
      </c>
      <c r="EP101" s="82">
        <f t="shared" si="579"/>
        <v>0</v>
      </c>
      <c r="EQ101" s="82">
        <f t="shared" si="580"/>
        <v>0</v>
      </c>
      <c r="ER101" s="82"/>
      <c r="ES101" s="82"/>
      <c r="ET101" s="82">
        <f t="shared" si="581"/>
        <v>0</v>
      </c>
      <c r="EU101" s="82">
        <f t="shared" si="582"/>
        <v>0</v>
      </c>
      <c r="EV101" s="82"/>
      <c r="EW101" s="82"/>
      <c r="EX101" s="82"/>
      <c r="EY101" s="82"/>
      <c r="EZ101" s="82">
        <f t="shared" si="583"/>
        <v>0</v>
      </c>
      <c r="FA101" s="82">
        <f t="shared" si="584"/>
        <v>0</v>
      </c>
      <c r="FB101" s="82">
        <f t="shared" si="585"/>
        <v>0</v>
      </c>
      <c r="FC101" s="82">
        <f t="shared" si="586"/>
        <v>0</v>
      </c>
      <c r="FD101" s="82"/>
      <c r="FE101" s="82"/>
      <c r="FF101" s="82">
        <f t="shared" si="587"/>
        <v>0</v>
      </c>
      <c r="FG101" s="82">
        <f t="shared" si="588"/>
        <v>0</v>
      </c>
      <c r="FH101" s="82"/>
      <c r="FI101" s="82"/>
      <c r="FJ101" s="82"/>
      <c r="FK101" s="82"/>
      <c r="FL101" s="82">
        <f t="shared" si="589"/>
        <v>0</v>
      </c>
      <c r="FM101" s="82">
        <f t="shared" si="590"/>
        <v>0</v>
      </c>
      <c r="FN101" s="82">
        <f t="shared" si="591"/>
        <v>0</v>
      </c>
      <c r="FO101" s="82">
        <f t="shared" si="592"/>
        <v>0</v>
      </c>
      <c r="FP101" s="82"/>
      <c r="FQ101" s="82"/>
      <c r="FR101" s="82">
        <f t="shared" si="593"/>
        <v>0</v>
      </c>
      <c r="FS101" s="82">
        <f t="shared" si="594"/>
        <v>0</v>
      </c>
      <c r="FT101" s="82"/>
      <c r="FU101" s="82"/>
      <c r="FV101" s="82"/>
      <c r="FW101" s="82"/>
      <c r="FX101" s="82">
        <f t="shared" si="595"/>
        <v>0</v>
      </c>
      <c r="FY101" s="82">
        <f t="shared" si="596"/>
        <v>0</v>
      </c>
      <c r="FZ101" s="82">
        <f t="shared" si="597"/>
        <v>0</v>
      </c>
      <c r="GA101" s="82">
        <f t="shared" si="598"/>
        <v>0</v>
      </c>
      <c r="GB101" s="82">
        <f t="shared" si="599"/>
        <v>0</v>
      </c>
      <c r="GC101" s="82">
        <f t="shared" si="600"/>
        <v>0</v>
      </c>
      <c r="GD101" s="82">
        <f t="shared" si="601"/>
        <v>0</v>
      </c>
      <c r="GE101" s="82">
        <f t="shared" si="602"/>
        <v>0</v>
      </c>
      <c r="GF101" s="85"/>
    </row>
    <row r="102" ht="29.25" customHeight="1">
      <c r="A102" s="76"/>
      <c r="B102" s="76"/>
      <c r="C102" s="88"/>
      <c r="D102" s="89" t="s">
        <v>179</v>
      </c>
      <c r="E102" s="86">
        <v>31080.0</v>
      </c>
      <c r="F102" s="80" t="s">
        <v>180</v>
      </c>
      <c r="G102" s="90">
        <v>5.0</v>
      </c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3"/>
      <c r="W102" s="82"/>
      <c r="X102" s="82"/>
      <c r="Y102" s="82"/>
      <c r="Z102" s="82"/>
      <c r="AA102" s="82"/>
      <c r="AB102" s="82"/>
      <c r="AC102" s="82"/>
      <c r="AD102" s="82">
        <f t="shared" si="452"/>
        <v>5</v>
      </c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>
        <f t="shared" si="458"/>
        <v>5</v>
      </c>
      <c r="AQ102" s="82">
        <f>AP102*E101</f>
        <v>121620</v>
      </c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>
        <f t="shared" si="464"/>
        <v>5</v>
      </c>
      <c r="BD102" s="82">
        <f>BC102*E101</f>
        <v>121620</v>
      </c>
      <c r="BE102" s="82"/>
      <c r="BF102" s="82"/>
      <c r="BG102" s="82">
        <f t="shared" si="468"/>
        <v>5</v>
      </c>
      <c r="BH102" s="83">
        <v>0.0</v>
      </c>
      <c r="BI102" s="82"/>
      <c r="BJ102" s="83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>
        <f t="shared" si="474"/>
        <v>5</v>
      </c>
      <c r="BZ102" s="82">
        <f>BY102*E101</f>
        <v>121620</v>
      </c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>
        <f t="shared" si="480"/>
        <v>5</v>
      </c>
      <c r="CL102" s="82">
        <f>CK102*E101</f>
        <v>121620</v>
      </c>
      <c r="CM102" s="83">
        <v>300.0</v>
      </c>
      <c r="CN102" s="82"/>
      <c r="CO102" s="82">
        <f t="shared" si="35"/>
        <v>300</v>
      </c>
      <c r="CP102" s="82">
        <f t="shared" si="36"/>
        <v>9324000</v>
      </c>
      <c r="CQ102" s="82"/>
      <c r="CR102" s="82"/>
      <c r="CS102" s="82"/>
      <c r="CT102" s="82"/>
      <c r="CU102" s="82"/>
      <c r="CV102" s="82"/>
      <c r="CW102" s="82">
        <f t="shared" si="39"/>
        <v>305</v>
      </c>
      <c r="CX102" s="82">
        <f>(CO102*E102)+(CK102*E101)</f>
        <v>9445620</v>
      </c>
      <c r="CY102" s="82">
        <f t="shared" si="41"/>
        <v>300</v>
      </c>
      <c r="CZ102" s="82">
        <f t="shared" si="345"/>
        <v>0</v>
      </c>
      <c r="DA102" s="82">
        <f t="shared" si="43"/>
        <v>305</v>
      </c>
      <c r="DB102" s="82">
        <f t="shared" si="44"/>
        <v>9479400</v>
      </c>
      <c r="DC102" s="91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82"/>
      <c r="DV102" s="82"/>
      <c r="DW102" s="82"/>
      <c r="DX102" s="82"/>
      <c r="DY102" s="82"/>
      <c r="DZ102" s="82"/>
      <c r="EA102" s="82"/>
      <c r="EB102" s="82"/>
      <c r="EC102" s="82"/>
      <c r="ED102" s="82"/>
      <c r="EE102" s="82"/>
      <c r="EF102" s="82"/>
      <c r="EG102" s="82"/>
      <c r="EH102" s="82"/>
      <c r="EI102" s="82"/>
      <c r="EJ102" s="82"/>
      <c r="EK102" s="82"/>
      <c r="EL102" s="82"/>
      <c r="EM102" s="82"/>
      <c r="EN102" s="82"/>
      <c r="EO102" s="82"/>
      <c r="EP102" s="82"/>
      <c r="EQ102" s="82"/>
      <c r="ER102" s="82"/>
      <c r="ES102" s="82"/>
      <c r="ET102" s="82"/>
      <c r="EU102" s="82"/>
      <c r="EV102" s="82"/>
      <c r="EW102" s="82"/>
      <c r="EX102" s="82"/>
      <c r="EY102" s="82"/>
      <c r="EZ102" s="82"/>
      <c r="FA102" s="82"/>
      <c r="FB102" s="82"/>
      <c r="FC102" s="82"/>
      <c r="FD102" s="82"/>
      <c r="FE102" s="82"/>
      <c r="FF102" s="82"/>
      <c r="FG102" s="82"/>
      <c r="FH102" s="82"/>
      <c r="FI102" s="82"/>
      <c r="FJ102" s="82"/>
      <c r="FK102" s="82"/>
      <c r="FL102" s="82"/>
      <c r="FM102" s="82"/>
      <c r="FN102" s="82"/>
      <c r="FO102" s="82"/>
      <c r="FP102" s="82"/>
      <c r="FQ102" s="82"/>
      <c r="FR102" s="82"/>
      <c r="FS102" s="82"/>
      <c r="FT102" s="82"/>
      <c r="FU102" s="82"/>
      <c r="FV102" s="82"/>
      <c r="FW102" s="82"/>
      <c r="FX102" s="82"/>
      <c r="FY102" s="82"/>
      <c r="FZ102" s="82"/>
      <c r="GA102" s="82"/>
      <c r="GB102" s="82"/>
      <c r="GC102" s="82"/>
      <c r="GD102" s="82"/>
      <c r="GE102" s="82"/>
      <c r="GF102" s="85"/>
    </row>
    <row r="103" ht="29.25" customHeight="1">
      <c r="A103" s="76">
        <v>59.0</v>
      </c>
      <c r="B103" s="76"/>
      <c r="C103" s="88" t="s">
        <v>181</v>
      </c>
      <c r="D103" s="78" t="s">
        <v>96</v>
      </c>
      <c r="E103" s="79">
        <v>1332.0</v>
      </c>
      <c r="F103" s="61" t="s">
        <v>97</v>
      </c>
      <c r="G103" s="81">
        <v>30.0</v>
      </c>
      <c r="H103" s="82">
        <v>39960.0</v>
      </c>
      <c r="I103" s="82"/>
      <c r="J103" s="82"/>
      <c r="K103" s="82">
        <f t="shared" ref="K103:K107" si="603">SUM(I103:J103)</f>
        <v>0</v>
      </c>
      <c r="L103" s="82">
        <f t="shared" ref="L103:L107" si="604">K103*E103</f>
        <v>0</v>
      </c>
      <c r="M103" s="82"/>
      <c r="N103" s="82"/>
      <c r="O103" s="82"/>
      <c r="P103" s="82"/>
      <c r="Q103" s="82"/>
      <c r="R103" s="82"/>
      <c r="S103" s="82"/>
      <c r="T103" s="82"/>
      <c r="U103" s="82"/>
      <c r="V103" s="83">
        <v>8.0</v>
      </c>
      <c r="W103" s="82"/>
      <c r="X103" s="82"/>
      <c r="Y103" s="82"/>
      <c r="Z103" s="82"/>
      <c r="AA103" s="82"/>
      <c r="AB103" s="82">
        <f t="shared" ref="AB103:AB107" si="605">SUM(M103:AA103)</f>
        <v>8</v>
      </c>
      <c r="AC103" s="82">
        <f t="shared" ref="AC103:AC107" si="606">AB103*E103</f>
        <v>10656</v>
      </c>
      <c r="AD103" s="82">
        <f t="shared" si="452"/>
        <v>22</v>
      </c>
      <c r="AE103" s="82">
        <f t="shared" ref="AE103:AE107" si="607">AD103*E103</f>
        <v>29304</v>
      </c>
      <c r="AF103" s="82"/>
      <c r="AG103" s="82"/>
      <c r="AH103" s="82">
        <f t="shared" ref="AH103:AH107" si="608">SUM(AF103:AG103)</f>
        <v>0</v>
      </c>
      <c r="AI103" s="82">
        <f t="shared" ref="AI103:AI107" si="609">AH103*E103</f>
        <v>0</v>
      </c>
      <c r="AJ103" s="82"/>
      <c r="AK103" s="82"/>
      <c r="AL103" s="82"/>
      <c r="AM103" s="82"/>
      <c r="AN103" s="82">
        <f t="shared" ref="AN103:AN107" si="610">SUM(AJ103:AM103)</f>
        <v>0</v>
      </c>
      <c r="AO103" s="82">
        <f t="shared" ref="AO103:AO107" si="611">AN103*E103</f>
        <v>0</v>
      </c>
      <c r="AP103" s="82">
        <f t="shared" si="458"/>
        <v>22</v>
      </c>
      <c r="AQ103" s="82">
        <f t="shared" ref="AQ103:AQ107" si="612">AP103*E103</f>
        <v>29304</v>
      </c>
      <c r="AR103" s="82"/>
      <c r="AS103" s="82"/>
      <c r="AT103" s="82"/>
      <c r="AU103" s="82">
        <f t="shared" ref="AU103:AU107" si="613">SUM(AS103:AT103)</f>
        <v>0</v>
      </c>
      <c r="AV103" s="82">
        <f t="shared" ref="AV103:AV107" si="614">AU103*AB103</f>
        <v>0</v>
      </c>
      <c r="AW103" s="82"/>
      <c r="AX103" s="82"/>
      <c r="AY103" s="82"/>
      <c r="AZ103" s="82"/>
      <c r="BA103" s="82">
        <f t="shared" ref="BA103:BA107" si="615">SUM(AW103:AZ103)</f>
        <v>0</v>
      </c>
      <c r="BB103" s="82">
        <f t="shared" ref="BB103:BB107" si="616">BA103*AB103</f>
        <v>0</v>
      </c>
      <c r="BC103" s="82">
        <f t="shared" si="464"/>
        <v>22</v>
      </c>
      <c r="BD103" s="82">
        <f t="shared" ref="BD103:BD107" si="617">BC103*E103</f>
        <v>29304</v>
      </c>
      <c r="BE103" s="82">
        <f t="shared" ref="BE103:BE107" si="618">K103+AH103+AU103</f>
        <v>0</v>
      </c>
      <c r="BF103" s="82">
        <f t="shared" ref="BF103:BF107" si="619">AB103+AN103+BA103</f>
        <v>8</v>
      </c>
      <c r="BG103" s="82">
        <f t="shared" si="468"/>
        <v>22</v>
      </c>
      <c r="BH103" s="82">
        <f t="shared" ref="BH103:BH107" si="620">BG103*E103</f>
        <v>29304</v>
      </c>
      <c r="BI103" s="82"/>
      <c r="BJ103" s="83"/>
      <c r="BK103" s="82">
        <f t="shared" ref="BK103:BK107" si="621">SUM(BI103:BJ103)</f>
        <v>0</v>
      </c>
      <c r="BL103" s="82">
        <f t="shared" ref="BL103:BL107" si="622">BK103*E103</f>
        <v>0</v>
      </c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>
        <f t="shared" ref="BW103:BW107" si="623">SUM(BM103:BV103)</f>
        <v>0</v>
      </c>
      <c r="BX103" s="82">
        <f t="shared" ref="BX103:BX107" si="624">BW103*E103</f>
        <v>0</v>
      </c>
      <c r="BY103" s="82">
        <f t="shared" si="474"/>
        <v>22</v>
      </c>
      <c r="BZ103" s="82">
        <f t="shared" ref="BZ103:BZ107" si="625">BY103*E103</f>
        <v>29304</v>
      </c>
      <c r="CA103" s="82"/>
      <c r="CB103" s="82"/>
      <c r="CC103" s="82">
        <f t="shared" ref="CC103:CC107" si="626">sum(CA103:CB103)</f>
        <v>0</v>
      </c>
      <c r="CD103" s="82">
        <f t="shared" ref="CD103:CD107" si="627">CC103*E103</f>
        <v>0</v>
      </c>
      <c r="CE103" s="82"/>
      <c r="CF103" s="82"/>
      <c r="CG103" s="82"/>
      <c r="CH103" s="82"/>
      <c r="CI103" s="82">
        <f t="shared" ref="CI103:CI107" si="628">sum(CE103:CH103)</f>
        <v>0</v>
      </c>
      <c r="CJ103" s="82">
        <f t="shared" ref="CJ103:CJ107" si="629">CI103*E103</f>
        <v>0</v>
      </c>
      <c r="CK103" s="82">
        <f t="shared" si="480"/>
        <v>22</v>
      </c>
      <c r="CL103" s="82">
        <f t="shared" ref="CL103:CL107" si="630">CK103*E103</f>
        <v>29304</v>
      </c>
      <c r="CM103" s="82"/>
      <c r="CN103" s="82"/>
      <c r="CO103" s="82">
        <f t="shared" si="35"/>
        <v>0</v>
      </c>
      <c r="CP103" s="82">
        <f t="shared" si="36"/>
        <v>0</v>
      </c>
      <c r="CQ103" s="82"/>
      <c r="CR103" s="82"/>
      <c r="CS103" s="82"/>
      <c r="CT103" s="82"/>
      <c r="CU103" s="82">
        <f t="shared" ref="CU103:CU107" si="631">sum(CQ103:CT103)</f>
        <v>0</v>
      </c>
      <c r="CV103" s="82">
        <f t="shared" ref="CV103:CV107" si="632">CU103*E103</f>
        <v>0</v>
      </c>
      <c r="CW103" s="82">
        <f t="shared" si="39"/>
        <v>22</v>
      </c>
      <c r="CX103" s="82">
        <f t="shared" ref="CX103:CX107" si="633">CW103*E103</f>
        <v>29304</v>
      </c>
      <c r="CY103" s="82">
        <f t="shared" si="41"/>
        <v>0</v>
      </c>
      <c r="CZ103" s="82">
        <f t="shared" si="345"/>
        <v>0</v>
      </c>
      <c r="DA103" s="82">
        <f t="shared" si="43"/>
        <v>22</v>
      </c>
      <c r="DB103" s="82">
        <f t="shared" si="44"/>
        <v>29304</v>
      </c>
      <c r="DC103" s="84">
        <v>47.0</v>
      </c>
      <c r="DD103" s="82"/>
      <c r="DE103" s="82"/>
      <c r="DF103" s="82">
        <f t="shared" ref="DF103:DF107" si="634">sum(DD103:DE103)</f>
        <v>0</v>
      </c>
      <c r="DG103" s="82">
        <f t="shared" ref="DG103:DG107" si="635">DF103*E103</f>
        <v>0</v>
      </c>
      <c r="DH103" s="82"/>
      <c r="DI103" s="82"/>
      <c r="DJ103" s="82"/>
      <c r="DK103" s="82"/>
      <c r="DL103" s="82">
        <f t="shared" ref="DL103:DL107" si="636">sum(DH103:DK103)</f>
        <v>0</v>
      </c>
      <c r="DM103" s="82">
        <f t="shared" ref="DM103:DM107" si="637">DL103*E103</f>
        <v>0</v>
      </c>
      <c r="DN103" s="82">
        <f t="shared" ref="DN103:DN107" si="638">DA103+DF103-DL103</f>
        <v>22</v>
      </c>
      <c r="DO103" s="82">
        <f t="shared" ref="DO103:DO107" si="639">DN103*E103</f>
        <v>29304</v>
      </c>
      <c r="DP103" s="82"/>
      <c r="DQ103" s="82"/>
      <c r="DR103" s="82">
        <f t="shared" ref="DR103:DR107" si="640">sum(DP103:DQ103)</f>
        <v>0</v>
      </c>
      <c r="DS103" s="82">
        <f t="shared" ref="DS103:DS107" si="641">DR103*AB103</f>
        <v>0</v>
      </c>
      <c r="DT103" s="82"/>
      <c r="DU103" s="82"/>
      <c r="DV103" s="82"/>
      <c r="DW103" s="82"/>
      <c r="DX103" s="82">
        <f t="shared" ref="DX103:DX107" si="642">sum(DT103:DW103)</f>
        <v>0</v>
      </c>
      <c r="DY103" s="82">
        <f t="shared" ref="DY103:DY107" si="643">DX103*AB103</f>
        <v>0</v>
      </c>
      <c r="DZ103" s="82">
        <f t="shared" ref="DZ103:DZ107" si="644">DN103+DR103-DX103</f>
        <v>22</v>
      </c>
      <c r="EA103" s="82">
        <f t="shared" ref="EA103:EA107" si="645">DZ103*E103</f>
        <v>29304</v>
      </c>
      <c r="EB103" s="82"/>
      <c r="EC103" s="82"/>
      <c r="ED103" s="82">
        <f t="shared" ref="ED103:ED107" si="646">sum(EB103:EC103)</f>
        <v>0</v>
      </c>
      <c r="EE103" s="82">
        <f t="shared" ref="EE103:EE107" si="647">ED103*AN103</f>
        <v>0</v>
      </c>
      <c r="EF103" s="82"/>
      <c r="EG103" s="82"/>
      <c r="EH103" s="82"/>
      <c r="EI103" s="82"/>
      <c r="EJ103" s="82">
        <f t="shared" ref="EJ103:EJ107" si="648">sum(EF103:EI103)</f>
        <v>0</v>
      </c>
      <c r="EK103" s="82">
        <f t="shared" ref="EK103:EK107" si="649">EJ103*AN103</f>
        <v>0</v>
      </c>
      <c r="EL103" s="82">
        <f t="shared" ref="EL103:EL107" si="650">DZ103+ED103-EJ103</f>
        <v>22</v>
      </c>
      <c r="EM103" s="82">
        <f t="shared" ref="EM103:EM107" si="651">EL103*E103</f>
        <v>29304</v>
      </c>
      <c r="EN103" s="82">
        <f t="shared" ref="EN103:EN107" si="652">DF103+DR103+ED103</f>
        <v>0</v>
      </c>
      <c r="EO103" s="82">
        <f t="shared" ref="EO103:EO107" si="653">DL103+DX103+EJ103</f>
        <v>0</v>
      </c>
      <c r="EP103" s="82">
        <f t="shared" ref="EP103:EP107" si="654">DA103+EN103-EO103</f>
        <v>22</v>
      </c>
      <c r="EQ103" s="82">
        <f t="shared" ref="EQ103:EQ107" si="655">EP103*E103</f>
        <v>29304</v>
      </c>
      <c r="ER103" s="82"/>
      <c r="ES103" s="82"/>
      <c r="ET103" s="82">
        <f t="shared" ref="ET103:ET107" si="656">sum(ER103:ES103)</f>
        <v>0</v>
      </c>
      <c r="EU103" s="82">
        <f t="shared" ref="EU103:EU107" si="657">ET103*BE103</f>
        <v>0</v>
      </c>
      <c r="EV103" s="82"/>
      <c r="EW103" s="82"/>
      <c r="EX103" s="82"/>
      <c r="EY103" s="82"/>
      <c r="EZ103" s="82">
        <f t="shared" ref="EZ103:EZ107" si="658">sum(EV103:EY103)</f>
        <v>0</v>
      </c>
      <c r="FA103" s="82">
        <f t="shared" ref="FA103:FA107" si="659">EZ103*BE103</f>
        <v>0</v>
      </c>
      <c r="FB103" s="82">
        <f t="shared" ref="FB103:FB107" si="660">EP103+ET103-EZ103</f>
        <v>22</v>
      </c>
      <c r="FC103" s="82">
        <f t="shared" ref="FC103:FC107" si="661">FB103*E103</f>
        <v>29304</v>
      </c>
      <c r="FD103" s="82"/>
      <c r="FE103" s="82"/>
      <c r="FF103" s="82">
        <f t="shared" ref="FF103:FF107" si="662">sum(FD103:FE103)</f>
        <v>0</v>
      </c>
      <c r="FG103" s="82">
        <f t="shared" ref="FG103:FG107" si="663">FF103*BW103</f>
        <v>0</v>
      </c>
      <c r="FH103" s="82"/>
      <c r="FI103" s="82"/>
      <c r="FJ103" s="82"/>
      <c r="FK103" s="82"/>
      <c r="FL103" s="82">
        <f t="shared" ref="FL103:FL107" si="664">sum(FH103:FK103)</f>
        <v>0</v>
      </c>
      <c r="FM103" s="82">
        <f t="shared" ref="FM103:FM107" si="665">FL103*BW103</f>
        <v>0</v>
      </c>
      <c r="FN103" s="82">
        <f t="shared" ref="FN103:FN107" si="666">FB103+FF103-FL103</f>
        <v>22</v>
      </c>
      <c r="FO103" s="82">
        <f t="shared" ref="FO103:FO107" si="667">FN103*E103</f>
        <v>29304</v>
      </c>
      <c r="FP103" s="82"/>
      <c r="FQ103" s="82"/>
      <c r="FR103" s="82">
        <f t="shared" ref="FR103:FR107" si="668">sum(FP103:FQ103)</f>
        <v>0</v>
      </c>
      <c r="FS103" s="82">
        <f t="shared" ref="FS103:FS107" si="669">FR103*CI103</f>
        <v>0</v>
      </c>
      <c r="FT103" s="82"/>
      <c r="FU103" s="82"/>
      <c r="FV103" s="82"/>
      <c r="FW103" s="82"/>
      <c r="FX103" s="82">
        <f t="shared" ref="FX103:FX107" si="670">sum(FT103:FW103)</f>
        <v>0</v>
      </c>
      <c r="FY103" s="82">
        <f t="shared" ref="FY103:FY107" si="671">FX103*CI103</f>
        <v>0</v>
      </c>
      <c r="FZ103" s="82">
        <f t="shared" ref="FZ103:FZ107" si="672">FN103+FR103-FX103</f>
        <v>22</v>
      </c>
      <c r="GA103" s="82">
        <f t="shared" ref="GA103:GA107" si="673">FZ103*E103</f>
        <v>29304</v>
      </c>
      <c r="GB103" s="82">
        <f t="shared" ref="GB103:GB107" si="674">ET103+FF103+FR103</f>
        <v>0</v>
      </c>
      <c r="GC103" s="82">
        <f t="shared" ref="GC103:GC107" si="675">EZ103+FL103+FX103</f>
        <v>0</v>
      </c>
      <c r="GD103" s="82">
        <f t="shared" ref="GD103:GD107" si="676">EP103+GB103-GC103</f>
        <v>22</v>
      </c>
      <c r="GE103" s="82">
        <f t="shared" ref="GE103:GE107" si="677">GD103*E103</f>
        <v>29304</v>
      </c>
      <c r="GF103" s="85"/>
    </row>
    <row r="104" ht="29.25" customHeight="1">
      <c r="A104" s="16"/>
      <c r="B104" s="16"/>
      <c r="C104" s="16"/>
      <c r="D104" s="78" t="s">
        <v>96</v>
      </c>
      <c r="E104" s="86">
        <v>1802.0</v>
      </c>
      <c r="F104" s="80" t="s">
        <v>144</v>
      </c>
      <c r="G104" s="81">
        <v>30.0</v>
      </c>
      <c r="H104" s="82">
        <v>54060.0</v>
      </c>
      <c r="I104" s="82"/>
      <c r="J104" s="82"/>
      <c r="K104" s="82">
        <f t="shared" si="603"/>
        <v>0</v>
      </c>
      <c r="L104" s="82">
        <f t="shared" si="604"/>
        <v>0</v>
      </c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>
        <f t="shared" si="605"/>
        <v>0</v>
      </c>
      <c r="AC104" s="82">
        <f t="shared" si="606"/>
        <v>0</v>
      </c>
      <c r="AD104" s="82">
        <f t="shared" si="452"/>
        <v>30</v>
      </c>
      <c r="AE104" s="82">
        <f t="shared" si="607"/>
        <v>54060</v>
      </c>
      <c r="AF104" s="82"/>
      <c r="AG104" s="82"/>
      <c r="AH104" s="82">
        <f t="shared" si="608"/>
        <v>0</v>
      </c>
      <c r="AI104" s="82">
        <f t="shared" si="609"/>
        <v>0</v>
      </c>
      <c r="AJ104" s="82"/>
      <c r="AK104" s="82"/>
      <c r="AL104" s="82"/>
      <c r="AM104" s="82"/>
      <c r="AN104" s="82">
        <f t="shared" si="610"/>
        <v>0</v>
      </c>
      <c r="AO104" s="82">
        <f t="shared" si="611"/>
        <v>0</v>
      </c>
      <c r="AP104" s="82">
        <f t="shared" si="458"/>
        <v>30</v>
      </c>
      <c r="AQ104" s="82">
        <f t="shared" si="612"/>
        <v>54060</v>
      </c>
      <c r="AR104" s="82"/>
      <c r="AS104" s="82"/>
      <c r="AT104" s="82"/>
      <c r="AU104" s="82">
        <f t="shared" si="613"/>
        <v>0</v>
      </c>
      <c r="AV104" s="82">
        <f t="shared" si="614"/>
        <v>0</v>
      </c>
      <c r="AW104" s="82"/>
      <c r="AX104" s="82"/>
      <c r="AY104" s="82"/>
      <c r="AZ104" s="82"/>
      <c r="BA104" s="82">
        <f t="shared" si="615"/>
        <v>0</v>
      </c>
      <c r="BB104" s="82">
        <f t="shared" si="616"/>
        <v>0</v>
      </c>
      <c r="BC104" s="82">
        <f t="shared" si="464"/>
        <v>30</v>
      </c>
      <c r="BD104" s="82">
        <f t="shared" si="617"/>
        <v>54060</v>
      </c>
      <c r="BE104" s="82">
        <f t="shared" si="618"/>
        <v>0</v>
      </c>
      <c r="BF104" s="82">
        <f t="shared" si="619"/>
        <v>0</v>
      </c>
      <c r="BG104" s="82">
        <f t="shared" si="468"/>
        <v>30</v>
      </c>
      <c r="BH104" s="82">
        <f t="shared" si="620"/>
        <v>54060</v>
      </c>
      <c r="BI104" s="82"/>
      <c r="BJ104" s="83"/>
      <c r="BK104" s="82">
        <f t="shared" si="621"/>
        <v>0</v>
      </c>
      <c r="BL104" s="82">
        <f t="shared" si="622"/>
        <v>0</v>
      </c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>
        <f t="shared" si="623"/>
        <v>0</v>
      </c>
      <c r="BX104" s="82">
        <f t="shared" si="624"/>
        <v>0</v>
      </c>
      <c r="BY104" s="82">
        <f t="shared" si="474"/>
        <v>30</v>
      </c>
      <c r="BZ104" s="82">
        <f t="shared" si="625"/>
        <v>54060</v>
      </c>
      <c r="CA104" s="82"/>
      <c r="CB104" s="82"/>
      <c r="CC104" s="82">
        <f t="shared" si="626"/>
        <v>0</v>
      </c>
      <c r="CD104" s="82">
        <f t="shared" si="627"/>
        <v>0</v>
      </c>
      <c r="CE104" s="82"/>
      <c r="CF104" s="82"/>
      <c r="CG104" s="82"/>
      <c r="CH104" s="82"/>
      <c r="CI104" s="82">
        <f t="shared" si="628"/>
        <v>0</v>
      </c>
      <c r="CJ104" s="82">
        <f t="shared" si="629"/>
        <v>0</v>
      </c>
      <c r="CK104" s="82">
        <f t="shared" si="480"/>
        <v>30</v>
      </c>
      <c r="CL104" s="82">
        <f t="shared" si="630"/>
        <v>54060</v>
      </c>
      <c r="CM104" s="82"/>
      <c r="CN104" s="82"/>
      <c r="CO104" s="82">
        <f t="shared" si="35"/>
        <v>0</v>
      </c>
      <c r="CP104" s="82">
        <f t="shared" si="36"/>
        <v>0</v>
      </c>
      <c r="CQ104" s="82"/>
      <c r="CR104" s="82"/>
      <c r="CS104" s="82"/>
      <c r="CT104" s="82"/>
      <c r="CU104" s="82">
        <f t="shared" si="631"/>
        <v>0</v>
      </c>
      <c r="CV104" s="82">
        <f t="shared" si="632"/>
        <v>0</v>
      </c>
      <c r="CW104" s="82">
        <f t="shared" si="39"/>
        <v>30</v>
      </c>
      <c r="CX104" s="82">
        <f t="shared" si="633"/>
        <v>54060</v>
      </c>
      <c r="CY104" s="82">
        <f t="shared" si="41"/>
        <v>0</v>
      </c>
      <c r="CZ104" s="82">
        <f t="shared" si="345"/>
        <v>0</v>
      </c>
      <c r="DA104" s="82">
        <f t="shared" si="43"/>
        <v>30</v>
      </c>
      <c r="DB104" s="82">
        <f t="shared" si="44"/>
        <v>54060</v>
      </c>
      <c r="DC104" s="91"/>
      <c r="DD104" s="82"/>
      <c r="DE104" s="82"/>
      <c r="DF104" s="82">
        <f t="shared" si="634"/>
        <v>0</v>
      </c>
      <c r="DG104" s="82">
        <f t="shared" si="635"/>
        <v>0</v>
      </c>
      <c r="DH104" s="82"/>
      <c r="DI104" s="82"/>
      <c r="DJ104" s="82"/>
      <c r="DK104" s="82"/>
      <c r="DL104" s="82">
        <f t="shared" si="636"/>
        <v>0</v>
      </c>
      <c r="DM104" s="82">
        <f t="shared" si="637"/>
        <v>0</v>
      </c>
      <c r="DN104" s="82">
        <f t="shared" si="638"/>
        <v>30</v>
      </c>
      <c r="DO104" s="82">
        <f t="shared" si="639"/>
        <v>54060</v>
      </c>
      <c r="DP104" s="82"/>
      <c r="DQ104" s="82"/>
      <c r="DR104" s="82">
        <f t="shared" si="640"/>
        <v>0</v>
      </c>
      <c r="DS104" s="82">
        <f t="shared" si="641"/>
        <v>0</v>
      </c>
      <c r="DT104" s="82"/>
      <c r="DU104" s="82"/>
      <c r="DV104" s="82"/>
      <c r="DW104" s="82"/>
      <c r="DX104" s="82">
        <f t="shared" si="642"/>
        <v>0</v>
      </c>
      <c r="DY104" s="82">
        <f t="shared" si="643"/>
        <v>0</v>
      </c>
      <c r="DZ104" s="82">
        <f t="shared" si="644"/>
        <v>30</v>
      </c>
      <c r="EA104" s="82">
        <f t="shared" si="645"/>
        <v>54060</v>
      </c>
      <c r="EB104" s="82"/>
      <c r="EC104" s="82"/>
      <c r="ED104" s="82">
        <f t="shared" si="646"/>
        <v>0</v>
      </c>
      <c r="EE104" s="82">
        <f t="shared" si="647"/>
        <v>0</v>
      </c>
      <c r="EF104" s="82"/>
      <c r="EG104" s="82"/>
      <c r="EH104" s="82"/>
      <c r="EI104" s="82"/>
      <c r="EJ104" s="82">
        <f t="shared" si="648"/>
        <v>0</v>
      </c>
      <c r="EK104" s="82">
        <f t="shared" si="649"/>
        <v>0</v>
      </c>
      <c r="EL104" s="82">
        <f t="shared" si="650"/>
        <v>30</v>
      </c>
      <c r="EM104" s="82">
        <f t="shared" si="651"/>
        <v>54060</v>
      </c>
      <c r="EN104" s="82">
        <f t="shared" si="652"/>
        <v>0</v>
      </c>
      <c r="EO104" s="82">
        <f t="shared" si="653"/>
        <v>0</v>
      </c>
      <c r="EP104" s="82">
        <f t="shared" si="654"/>
        <v>30</v>
      </c>
      <c r="EQ104" s="82">
        <f t="shared" si="655"/>
        <v>54060</v>
      </c>
      <c r="ER104" s="82"/>
      <c r="ES104" s="82"/>
      <c r="ET104" s="82">
        <f t="shared" si="656"/>
        <v>0</v>
      </c>
      <c r="EU104" s="82">
        <f t="shared" si="657"/>
        <v>0</v>
      </c>
      <c r="EV104" s="82"/>
      <c r="EW104" s="82"/>
      <c r="EX104" s="82"/>
      <c r="EY104" s="82"/>
      <c r="EZ104" s="82">
        <f t="shared" si="658"/>
        <v>0</v>
      </c>
      <c r="FA104" s="82">
        <f t="shared" si="659"/>
        <v>0</v>
      </c>
      <c r="FB104" s="82">
        <f t="shared" si="660"/>
        <v>30</v>
      </c>
      <c r="FC104" s="82">
        <f t="shared" si="661"/>
        <v>54060</v>
      </c>
      <c r="FD104" s="82"/>
      <c r="FE104" s="82"/>
      <c r="FF104" s="82">
        <f t="shared" si="662"/>
        <v>0</v>
      </c>
      <c r="FG104" s="82">
        <f t="shared" si="663"/>
        <v>0</v>
      </c>
      <c r="FH104" s="82"/>
      <c r="FI104" s="82"/>
      <c r="FJ104" s="82"/>
      <c r="FK104" s="82"/>
      <c r="FL104" s="82">
        <f t="shared" si="664"/>
        <v>0</v>
      </c>
      <c r="FM104" s="82">
        <f t="shared" si="665"/>
        <v>0</v>
      </c>
      <c r="FN104" s="82">
        <f t="shared" si="666"/>
        <v>30</v>
      </c>
      <c r="FO104" s="82">
        <f t="shared" si="667"/>
        <v>54060</v>
      </c>
      <c r="FP104" s="82"/>
      <c r="FQ104" s="82"/>
      <c r="FR104" s="82">
        <f t="shared" si="668"/>
        <v>0</v>
      </c>
      <c r="FS104" s="82">
        <f t="shared" si="669"/>
        <v>0</v>
      </c>
      <c r="FT104" s="82"/>
      <c r="FU104" s="82"/>
      <c r="FV104" s="82"/>
      <c r="FW104" s="82"/>
      <c r="FX104" s="82">
        <f t="shared" si="670"/>
        <v>0</v>
      </c>
      <c r="FY104" s="82">
        <f t="shared" si="671"/>
        <v>0</v>
      </c>
      <c r="FZ104" s="82">
        <f t="shared" si="672"/>
        <v>30</v>
      </c>
      <c r="GA104" s="82">
        <f t="shared" si="673"/>
        <v>54060</v>
      </c>
      <c r="GB104" s="82">
        <f t="shared" si="674"/>
        <v>0</v>
      </c>
      <c r="GC104" s="82">
        <f t="shared" si="675"/>
        <v>0</v>
      </c>
      <c r="GD104" s="82">
        <f t="shared" si="676"/>
        <v>30</v>
      </c>
      <c r="GE104" s="82">
        <f t="shared" si="677"/>
        <v>54060</v>
      </c>
      <c r="GF104" s="85"/>
    </row>
    <row r="105" ht="29.25" customHeight="1">
      <c r="A105" s="76">
        <v>60.0</v>
      </c>
      <c r="B105" s="76"/>
      <c r="C105" s="88" t="s">
        <v>182</v>
      </c>
      <c r="D105" s="78" t="s">
        <v>96</v>
      </c>
      <c r="E105" s="79">
        <v>8658.0</v>
      </c>
      <c r="F105" s="61" t="s">
        <v>177</v>
      </c>
      <c r="G105" s="81">
        <v>17.0</v>
      </c>
      <c r="H105" s="82">
        <v>147186.0</v>
      </c>
      <c r="I105" s="82"/>
      <c r="J105" s="82"/>
      <c r="K105" s="82">
        <f t="shared" si="603"/>
        <v>0</v>
      </c>
      <c r="L105" s="82">
        <f t="shared" si="604"/>
        <v>0</v>
      </c>
      <c r="M105" s="82"/>
      <c r="N105" s="82"/>
      <c r="O105" s="82"/>
      <c r="P105" s="82"/>
      <c r="Q105" s="82"/>
      <c r="R105" s="82"/>
      <c r="S105" s="82"/>
      <c r="T105" s="82"/>
      <c r="U105" s="83">
        <v>2.0</v>
      </c>
      <c r="V105" s="83">
        <v>5.0</v>
      </c>
      <c r="W105" s="82"/>
      <c r="X105" s="82"/>
      <c r="Y105" s="82"/>
      <c r="Z105" s="83">
        <v>3.0</v>
      </c>
      <c r="AA105" s="82"/>
      <c r="AB105" s="82">
        <f t="shared" si="605"/>
        <v>10</v>
      </c>
      <c r="AC105" s="82">
        <f t="shared" si="606"/>
        <v>86580</v>
      </c>
      <c r="AD105" s="82">
        <f t="shared" si="452"/>
        <v>7</v>
      </c>
      <c r="AE105" s="82">
        <f t="shared" si="607"/>
        <v>60606</v>
      </c>
      <c r="AF105" s="82"/>
      <c r="AG105" s="82"/>
      <c r="AH105" s="82">
        <f t="shared" si="608"/>
        <v>0</v>
      </c>
      <c r="AI105" s="82">
        <f t="shared" si="609"/>
        <v>0</v>
      </c>
      <c r="AJ105" s="82"/>
      <c r="AK105" s="82"/>
      <c r="AL105" s="82"/>
      <c r="AM105" s="82"/>
      <c r="AN105" s="82">
        <f t="shared" si="610"/>
        <v>0</v>
      </c>
      <c r="AO105" s="82">
        <f t="shared" si="611"/>
        <v>0</v>
      </c>
      <c r="AP105" s="82">
        <f t="shared" si="458"/>
        <v>7</v>
      </c>
      <c r="AQ105" s="82">
        <f t="shared" si="612"/>
        <v>60606</v>
      </c>
      <c r="AR105" s="82"/>
      <c r="AS105" s="82"/>
      <c r="AT105" s="82"/>
      <c r="AU105" s="82">
        <f t="shared" si="613"/>
        <v>0</v>
      </c>
      <c r="AV105" s="82">
        <f t="shared" si="614"/>
        <v>0</v>
      </c>
      <c r="AW105" s="82"/>
      <c r="AX105" s="82"/>
      <c r="AY105" s="82"/>
      <c r="AZ105" s="82"/>
      <c r="BA105" s="82">
        <f t="shared" si="615"/>
        <v>0</v>
      </c>
      <c r="BB105" s="82">
        <f t="shared" si="616"/>
        <v>0</v>
      </c>
      <c r="BC105" s="82">
        <f t="shared" si="464"/>
        <v>7</v>
      </c>
      <c r="BD105" s="82">
        <f t="shared" si="617"/>
        <v>60606</v>
      </c>
      <c r="BE105" s="82">
        <f t="shared" si="618"/>
        <v>0</v>
      </c>
      <c r="BF105" s="82">
        <f t="shared" si="619"/>
        <v>10</v>
      </c>
      <c r="BG105" s="82">
        <f t="shared" si="468"/>
        <v>7</v>
      </c>
      <c r="BH105" s="82">
        <f t="shared" si="620"/>
        <v>60606</v>
      </c>
      <c r="BI105" s="82"/>
      <c r="BJ105" s="83"/>
      <c r="BK105" s="82">
        <f t="shared" si="621"/>
        <v>0</v>
      </c>
      <c r="BL105" s="82">
        <f t="shared" si="622"/>
        <v>0</v>
      </c>
      <c r="BM105" s="82"/>
      <c r="BN105" s="82"/>
      <c r="BO105" s="82"/>
      <c r="BP105" s="83">
        <v>3.0</v>
      </c>
      <c r="BQ105" s="82"/>
      <c r="BR105" s="82"/>
      <c r="BS105" s="82"/>
      <c r="BT105" s="82"/>
      <c r="BU105" s="82"/>
      <c r="BV105" s="83">
        <v>3.0</v>
      </c>
      <c r="BW105" s="82">
        <f t="shared" si="623"/>
        <v>6</v>
      </c>
      <c r="BX105" s="82">
        <f t="shared" si="624"/>
        <v>51948</v>
      </c>
      <c r="BY105" s="82">
        <f t="shared" si="474"/>
        <v>1</v>
      </c>
      <c r="BZ105" s="82">
        <f t="shared" si="625"/>
        <v>8658</v>
      </c>
      <c r="CA105" s="82"/>
      <c r="CB105" s="82"/>
      <c r="CC105" s="82">
        <f t="shared" si="626"/>
        <v>0</v>
      </c>
      <c r="CD105" s="82">
        <f t="shared" si="627"/>
        <v>0</v>
      </c>
      <c r="CE105" s="82"/>
      <c r="CF105" s="82"/>
      <c r="CG105" s="82"/>
      <c r="CH105" s="82"/>
      <c r="CI105" s="82">
        <f t="shared" si="628"/>
        <v>0</v>
      </c>
      <c r="CJ105" s="82">
        <f t="shared" si="629"/>
        <v>0</v>
      </c>
      <c r="CK105" s="82">
        <f t="shared" si="480"/>
        <v>1</v>
      </c>
      <c r="CL105" s="82">
        <f t="shared" si="630"/>
        <v>8658</v>
      </c>
      <c r="CM105" s="82"/>
      <c r="CN105" s="82"/>
      <c r="CO105" s="82">
        <f t="shared" si="35"/>
        <v>0</v>
      </c>
      <c r="CP105" s="82">
        <f t="shared" si="36"/>
        <v>0</v>
      </c>
      <c r="CQ105" s="82"/>
      <c r="CR105" s="82"/>
      <c r="CS105" s="82"/>
      <c r="CT105" s="82"/>
      <c r="CU105" s="82">
        <f t="shared" si="631"/>
        <v>0</v>
      </c>
      <c r="CV105" s="82">
        <f t="shared" si="632"/>
        <v>0</v>
      </c>
      <c r="CW105" s="82">
        <f t="shared" si="39"/>
        <v>1</v>
      </c>
      <c r="CX105" s="82">
        <f t="shared" si="633"/>
        <v>8658</v>
      </c>
      <c r="CY105" s="82">
        <f t="shared" si="41"/>
        <v>0</v>
      </c>
      <c r="CZ105" s="82">
        <f t="shared" si="345"/>
        <v>6</v>
      </c>
      <c r="DA105" s="82">
        <f t="shared" si="43"/>
        <v>1</v>
      </c>
      <c r="DB105" s="82">
        <f t="shared" si="44"/>
        <v>8658</v>
      </c>
      <c r="DC105" s="84">
        <v>65.0</v>
      </c>
      <c r="DD105" s="82"/>
      <c r="DE105" s="82"/>
      <c r="DF105" s="82">
        <f t="shared" si="634"/>
        <v>0</v>
      </c>
      <c r="DG105" s="82">
        <f t="shared" si="635"/>
        <v>0</v>
      </c>
      <c r="DH105" s="82"/>
      <c r="DI105" s="82"/>
      <c r="DJ105" s="82"/>
      <c r="DK105" s="82"/>
      <c r="DL105" s="82">
        <f t="shared" si="636"/>
        <v>0</v>
      </c>
      <c r="DM105" s="82">
        <f t="shared" si="637"/>
        <v>0</v>
      </c>
      <c r="DN105" s="82">
        <f t="shared" si="638"/>
        <v>1</v>
      </c>
      <c r="DO105" s="82">
        <f t="shared" si="639"/>
        <v>8658</v>
      </c>
      <c r="DP105" s="82"/>
      <c r="DQ105" s="82"/>
      <c r="DR105" s="82">
        <f t="shared" si="640"/>
        <v>0</v>
      </c>
      <c r="DS105" s="82">
        <f t="shared" si="641"/>
        <v>0</v>
      </c>
      <c r="DT105" s="82"/>
      <c r="DU105" s="82"/>
      <c r="DV105" s="82"/>
      <c r="DW105" s="82"/>
      <c r="DX105" s="82">
        <f t="shared" si="642"/>
        <v>0</v>
      </c>
      <c r="DY105" s="82">
        <f t="shared" si="643"/>
        <v>0</v>
      </c>
      <c r="DZ105" s="82">
        <f t="shared" si="644"/>
        <v>1</v>
      </c>
      <c r="EA105" s="82">
        <f t="shared" si="645"/>
        <v>8658</v>
      </c>
      <c r="EB105" s="82"/>
      <c r="EC105" s="82"/>
      <c r="ED105" s="82">
        <f t="shared" si="646"/>
        <v>0</v>
      </c>
      <c r="EE105" s="82">
        <f t="shared" si="647"/>
        <v>0</v>
      </c>
      <c r="EF105" s="82"/>
      <c r="EG105" s="82"/>
      <c r="EH105" s="82"/>
      <c r="EI105" s="82"/>
      <c r="EJ105" s="82">
        <f t="shared" si="648"/>
        <v>0</v>
      </c>
      <c r="EK105" s="82">
        <f t="shared" si="649"/>
        <v>0</v>
      </c>
      <c r="EL105" s="82">
        <f t="shared" si="650"/>
        <v>1</v>
      </c>
      <c r="EM105" s="82">
        <f t="shared" si="651"/>
        <v>8658</v>
      </c>
      <c r="EN105" s="82">
        <f t="shared" si="652"/>
        <v>0</v>
      </c>
      <c r="EO105" s="82">
        <f t="shared" si="653"/>
        <v>0</v>
      </c>
      <c r="EP105" s="82">
        <f t="shared" si="654"/>
        <v>1</v>
      </c>
      <c r="EQ105" s="82">
        <f t="shared" si="655"/>
        <v>8658</v>
      </c>
      <c r="ER105" s="82"/>
      <c r="ES105" s="82"/>
      <c r="ET105" s="82">
        <f t="shared" si="656"/>
        <v>0</v>
      </c>
      <c r="EU105" s="82">
        <f t="shared" si="657"/>
        <v>0</v>
      </c>
      <c r="EV105" s="82"/>
      <c r="EW105" s="82"/>
      <c r="EX105" s="82"/>
      <c r="EY105" s="82"/>
      <c r="EZ105" s="82">
        <f t="shared" si="658"/>
        <v>0</v>
      </c>
      <c r="FA105" s="82">
        <f t="shared" si="659"/>
        <v>0</v>
      </c>
      <c r="FB105" s="82">
        <f t="shared" si="660"/>
        <v>1</v>
      </c>
      <c r="FC105" s="82">
        <f t="shared" si="661"/>
        <v>8658</v>
      </c>
      <c r="FD105" s="82"/>
      <c r="FE105" s="82"/>
      <c r="FF105" s="82">
        <f t="shared" si="662"/>
        <v>0</v>
      </c>
      <c r="FG105" s="82">
        <f t="shared" si="663"/>
        <v>0</v>
      </c>
      <c r="FH105" s="82"/>
      <c r="FI105" s="82"/>
      <c r="FJ105" s="82"/>
      <c r="FK105" s="82"/>
      <c r="FL105" s="82">
        <f t="shared" si="664"/>
        <v>0</v>
      </c>
      <c r="FM105" s="82">
        <f t="shared" si="665"/>
        <v>0</v>
      </c>
      <c r="FN105" s="82">
        <f t="shared" si="666"/>
        <v>1</v>
      </c>
      <c r="FO105" s="82">
        <f t="shared" si="667"/>
        <v>8658</v>
      </c>
      <c r="FP105" s="82"/>
      <c r="FQ105" s="82"/>
      <c r="FR105" s="82">
        <f t="shared" si="668"/>
        <v>0</v>
      </c>
      <c r="FS105" s="82">
        <f t="shared" si="669"/>
        <v>0</v>
      </c>
      <c r="FT105" s="82"/>
      <c r="FU105" s="82"/>
      <c r="FV105" s="82"/>
      <c r="FW105" s="82"/>
      <c r="FX105" s="82">
        <f t="shared" si="670"/>
        <v>0</v>
      </c>
      <c r="FY105" s="82">
        <f t="shared" si="671"/>
        <v>0</v>
      </c>
      <c r="FZ105" s="82">
        <f t="shared" si="672"/>
        <v>1</v>
      </c>
      <c r="GA105" s="82">
        <f t="shared" si="673"/>
        <v>8658</v>
      </c>
      <c r="GB105" s="82">
        <f t="shared" si="674"/>
        <v>0</v>
      </c>
      <c r="GC105" s="82">
        <f t="shared" si="675"/>
        <v>0</v>
      </c>
      <c r="GD105" s="82">
        <f t="shared" si="676"/>
        <v>1</v>
      </c>
      <c r="GE105" s="82">
        <f t="shared" si="677"/>
        <v>8658</v>
      </c>
      <c r="GF105" s="85"/>
    </row>
    <row r="106" ht="29.25" customHeight="1">
      <c r="A106" s="16"/>
      <c r="B106" s="16"/>
      <c r="C106" s="16"/>
      <c r="D106" s="78" t="s">
        <v>96</v>
      </c>
      <c r="E106" s="86">
        <v>7658.0</v>
      </c>
      <c r="F106" s="80" t="s">
        <v>86</v>
      </c>
      <c r="G106" s="81">
        <v>42.0</v>
      </c>
      <c r="H106" s="82">
        <v>321636.0</v>
      </c>
      <c r="I106" s="82"/>
      <c r="J106" s="82"/>
      <c r="K106" s="82">
        <f t="shared" si="603"/>
        <v>0</v>
      </c>
      <c r="L106" s="82">
        <f t="shared" si="604"/>
        <v>0</v>
      </c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>
        <f t="shared" si="605"/>
        <v>0</v>
      </c>
      <c r="AC106" s="82">
        <f t="shared" si="606"/>
        <v>0</v>
      </c>
      <c r="AD106" s="82">
        <f t="shared" si="452"/>
        <v>42</v>
      </c>
      <c r="AE106" s="82">
        <f t="shared" si="607"/>
        <v>321636</v>
      </c>
      <c r="AF106" s="82"/>
      <c r="AG106" s="82"/>
      <c r="AH106" s="82">
        <f t="shared" si="608"/>
        <v>0</v>
      </c>
      <c r="AI106" s="82">
        <f t="shared" si="609"/>
        <v>0</v>
      </c>
      <c r="AJ106" s="82"/>
      <c r="AK106" s="82"/>
      <c r="AL106" s="82"/>
      <c r="AM106" s="82"/>
      <c r="AN106" s="82">
        <f t="shared" si="610"/>
        <v>0</v>
      </c>
      <c r="AO106" s="82">
        <f t="shared" si="611"/>
        <v>0</v>
      </c>
      <c r="AP106" s="82">
        <f t="shared" si="458"/>
        <v>42</v>
      </c>
      <c r="AQ106" s="82">
        <f t="shared" si="612"/>
        <v>321636</v>
      </c>
      <c r="AR106" s="82"/>
      <c r="AS106" s="82"/>
      <c r="AT106" s="82"/>
      <c r="AU106" s="82">
        <f t="shared" si="613"/>
        <v>0</v>
      </c>
      <c r="AV106" s="82">
        <f t="shared" si="614"/>
        <v>0</v>
      </c>
      <c r="AW106" s="82"/>
      <c r="AX106" s="82"/>
      <c r="AY106" s="82"/>
      <c r="AZ106" s="82"/>
      <c r="BA106" s="82">
        <f t="shared" si="615"/>
        <v>0</v>
      </c>
      <c r="BB106" s="82">
        <f t="shared" si="616"/>
        <v>0</v>
      </c>
      <c r="BC106" s="82">
        <f t="shared" si="464"/>
        <v>42</v>
      </c>
      <c r="BD106" s="82">
        <f t="shared" si="617"/>
        <v>321636</v>
      </c>
      <c r="BE106" s="82">
        <f t="shared" si="618"/>
        <v>0</v>
      </c>
      <c r="BF106" s="82">
        <f t="shared" si="619"/>
        <v>0</v>
      </c>
      <c r="BG106" s="82">
        <f t="shared" si="468"/>
        <v>42</v>
      </c>
      <c r="BH106" s="82">
        <f t="shared" si="620"/>
        <v>321636</v>
      </c>
      <c r="BI106" s="82"/>
      <c r="BJ106" s="83"/>
      <c r="BK106" s="82">
        <f t="shared" si="621"/>
        <v>0</v>
      </c>
      <c r="BL106" s="82">
        <f t="shared" si="622"/>
        <v>0</v>
      </c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>
        <f t="shared" si="623"/>
        <v>0</v>
      </c>
      <c r="BX106" s="82">
        <f t="shared" si="624"/>
        <v>0</v>
      </c>
      <c r="BY106" s="82">
        <f t="shared" si="474"/>
        <v>42</v>
      </c>
      <c r="BZ106" s="82">
        <f t="shared" si="625"/>
        <v>321636</v>
      </c>
      <c r="CA106" s="82"/>
      <c r="CB106" s="82"/>
      <c r="CC106" s="82">
        <f t="shared" si="626"/>
        <v>0</v>
      </c>
      <c r="CD106" s="82">
        <f t="shared" si="627"/>
        <v>0</v>
      </c>
      <c r="CE106" s="82"/>
      <c r="CF106" s="82"/>
      <c r="CG106" s="82"/>
      <c r="CH106" s="82"/>
      <c r="CI106" s="82">
        <f t="shared" si="628"/>
        <v>0</v>
      </c>
      <c r="CJ106" s="82">
        <f t="shared" si="629"/>
        <v>0</v>
      </c>
      <c r="CK106" s="82">
        <f t="shared" si="480"/>
        <v>42</v>
      </c>
      <c r="CL106" s="82">
        <f t="shared" si="630"/>
        <v>321636</v>
      </c>
      <c r="CM106" s="82"/>
      <c r="CN106" s="82"/>
      <c r="CO106" s="82">
        <f t="shared" si="35"/>
        <v>0</v>
      </c>
      <c r="CP106" s="82">
        <f t="shared" si="36"/>
        <v>0</v>
      </c>
      <c r="CQ106" s="82"/>
      <c r="CR106" s="82"/>
      <c r="CS106" s="82"/>
      <c r="CT106" s="82"/>
      <c r="CU106" s="82">
        <f t="shared" si="631"/>
        <v>0</v>
      </c>
      <c r="CV106" s="82">
        <f t="shared" si="632"/>
        <v>0</v>
      </c>
      <c r="CW106" s="82">
        <f t="shared" si="39"/>
        <v>42</v>
      </c>
      <c r="CX106" s="82">
        <f t="shared" si="633"/>
        <v>321636</v>
      </c>
      <c r="CY106" s="82">
        <f t="shared" si="41"/>
        <v>0</v>
      </c>
      <c r="CZ106" s="82">
        <f t="shared" si="345"/>
        <v>0</v>
      </c>
      <c r="DA106" s="82">
        <f t="shared" si="43"/>
        <v>42</v>
      </c>
      <c r="DB106" s="82">
        <f t="shared" si="44"/>
        <v>321636</v>
      </c>
      <c r="DC106" s="91"/>
      <c r="DD106" s="82"/>
      <c r="DE106" s="82"/>
      <c r="DF106" s="82">
        <f t="shared" si="634"/>
        <v>0</v>
      </c>
      <c r="DG106" s="82">
        <f t="shared" si="635"/>
        <v>0</v>
      </c>
      <c r="DH106" s="82"/>
      <c r="DI106" s="82"/>
      <c r="DJ106" s="82"/>
      <c r="DK106" s="82"/>
      <c r="DL106" s="82">
        <f t="shared" si="636"/>
        <v>0</v>
      </c>
      <c r="DM106" s="82">
        <f t="shared" si="637"/>
        <v>0</v>
      </c>
      <c r="DN106" s="82">
        <f t="shared" si="638"/>
        <v>42</v>
      </c>
      <c r="DO106" s="82">
        <f t="shared" si="639"/>
        <v>321636</v>
      </c>
      <c r="DP106" s="82"/>
      <c r="DQ106" s="82"/>
      <c r="DR106" s="82">
        <f t="shared" si="640"/>
        <v>0</v>
      </c>
      <c r="DS106" s="82">
        <f t="shared" si="641"/>
        <v>0</v>
      </c>
      <c r="DT106" s="82"/>
      <c r="DU106" s="82"/>
      <c r="DV106" s="82"/>
      <c r="DW106" s="82"/>
      <c r="DX106" s="82">
        <f t="shared" si="642"/>
        <v>0</v>
      </c>
      <c r="DY106" s="82">
        <f t="shared" si="643"/>
        <v>0</v>
      </c>
      <c r="DZ106" s="82">
        <f t="shared" si="644"/>
        <v>42</v>
      </c>
      <c r="EA106" s="82">
        <f t="shared" si="645"/>
        <v>321636</v>
      </c>
      <c r="EB106" s="82"/>
      <c r="EC106" s="82"/>
      <c r="ED106" s="82">
        <f t="shared" si="646"/>
        <v>0</v>
      </c>
      <c r="EE106" s="82">
        <f t="shared" si="647"/>
        <v>0</v>
      </c>
      <c r="EF106" s="82"/>
      <c r="EG106" s="82"/>
      <c r="EH106" s="82"/>
      <c r="EI106" s="82"/>
      <c r="EJ106" s="82">
        <f t="shared" si="648"/>
        <v>0</v>
      </c>
      <c r="EK106" s="82">
        <f t="shared" si="649"/>
        <v>0</v>
      </c>
      <c r="EL106" s="82">
        <f t="shared" si="650"/>
        <v>42</v>
      </c>
      <c r="EM106" s="82">
        <f t="shared" si="651"/>
        <v>321636</v>
      </c>
      <c r="EN106" s="82">
        <f t="shared" si="652"/>
        <v>0</v>
      </c>
      <c r="EO106" s="82">
        <f t="shared" si="653"/>
        <v>0</v>
      </c>
      <c r="EP106" s="82">
        <f t="shared" si="654"/>
        <v>42</v>
      </c>
      <c r="EQ106" s="82">
        <f t="shared" si="655"/>
        <v>321636</v>
      </c>
      <c r="ER106" s="82"/>
      <c r="ES106" s="82"/>
      <c r="ET106" s="82">
        <f t="shared" si="656"/>
        <v>0</v>
      </c>
      <c r="EU106" s="82">
        <f t="shared" si="657"/>
        <v>0</v>
      </c>
      <c r="EV106" s="82"/>
      <c r="EW106" s="82"/>
      <c r="EX106" s="82"/>
      <c r="EY106" s="82"/>
      <c r="EZ106" s="82">
        <f t="shared" si="658"/>
        <v>0</v>
      </c>
      <c r="FA106" s="82">
        <f t="shared" si="659"/>
        <v>0</v>
      </c>
      <c r="FB106" s="82">
        <f t="shared" si="660"/>
        <v>42</v>
      </c>
      <c r="FC106" s="82">
        <f t="shared" si="661"/>
        <v>321636</v>
      </c>
      <c r="FD106" s="82"/>
      <c r="FE106" s="82"/>
      <c r="FF106" s="82">
        <f t="shared" si="662"/>
        <v>0</v>
      </c>
      <c r="FG106" s="82">
        <f t="shared" si="663"/>
        <v>0</v>
      </c>
      <c r="FH106" s="82"/>
      <c r="FI106" s="82"/>
      <c r="FJ106" s="82"/>
      <c r="FK106" s="82"/>
      <c r="FL106" s="82">
        <f t="shared" si="664"/>
        <v>0</v>
      </c>
      <c r="FM106" s="82">
        <f t="shared" si="665"/>
        <v>0</v>
      </c>
      <c r="FN106" s="82">
        <f t="shared" si="666"/>
        <v>42</v>
      </c>
      <c r="FO106" s="82">
        <f t="shared" si="667"/>
        <v>321636</v>
      </c>
      <c r="FP106" s="82"/>
      <c r="FQ106" s="82"/>
      <c r="FR106" s="82">
        <f t="shared" si="668"/>
        <v>0</v>
      </c>
      <c r="FS106" s="82">
        <f t="shared" si="669"/>
        <v>0</v>
      </c>
      <c r="FT106" s="82"/>
      <c r="FU106" s="82"/>
      <c r="FV106" s="82"/>
      <c r="FW106" s="82"/>
      <c r="FX106" s="82">
        <f t="shared" si="670"/>
        <v>0</v>
      </c>
      <c r="FY106" s="82">
        <f t="shared" si="671"/>
        <v>0</v>
      </c>
      <c r="FZ106" s="82">
        <f t="shared" si="672"/>
        <v>42</v>
      </c>
      <c r="GA106" s="82">
        <f t="shared" si="673"/>
        <v>321636</v>
      </c>
      <c r="GB106" s="82">
        <f t="shared" si="674"/>
        <v>0</v>
      </c>
      <c r="GC106" s="82">
        <f t="shared" si="675"/>
        <v>0</v>
      </c>
      <c r="GD106" s="82">
        <f t="shared" si="676"/>
        <v>42</v>
      </c>
      <c r="GE106" s="82">
        <f t="shared" si="677"/>
        <v>321636</v>
      </c>
      <c r="GF106" s="85"/>
    </row>
    <row r="107" ht="29.25" customHeight="1">
      <c r="A107" s="50"/>
      <c r="B107" s="50"/>
      <c r="C107" s="50"/>
      <c r="D107" s="78" t="s">
        <v>96</v>
      </c>
      <c r="E107" s="86">
        <v>7992.0</v>
      </c>
      <c r="F107" s="80" t="s">
        <v>94</v>
      </c>
      <c r="G107" s="81">
        <v>18.0</v>
      </c>
      <c r="H107" s="82">
        <v>143856.0</v>
      </c>
      <c r="I107" s="82"/>
      <c r="J107" s="82"/>
      <c r="K107" s="82">
        <f t="shared" si="603"/>
        <v>0</v>
      </c>
      <c r="L107" s="82">
        <f t="shared" si="604"/>
        <v>0</v>
      </c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>
        <f t="shared" si="605"/>
        <v>0</v>
      </c>
      <c r="AC107" s="82">
        <f t="shared" si="606"/>
        <v>0</v>
      </c>
      <c r="AD107" s="82">
        <f t="shared" si="452"/>
        <v>18</v>
      </c>
      <c r="AE107" s="82">
        <f t="shared" si="607"/>
        <v>143856</v>
      </c>
      <c r="AF107" s="82"/>
      <c r="AG107" s="82"/>
      <c r="AH107" s="82">
        <f t="shared" si="608"/>
        <v>0</v>
      </c>
      <c r="AI107" s="82">
        <f t="shared" si="609"/>
        <v>0</v>
      </c>
      <c r="AJ107" s="82"/>
      <c r="AK107" s="82"/>
      <c r="AL107" s="82"/>
      <c r="AM107" s="82"/>
      <c r="AN107" s="82">
        <f t="shared" si="610"/>
        <v>0</v>
      </c>
      <c r="AO107" s="82">
        <f t="shared" si="611"/>
        <v>0</v>
      </c>
      <c r="AP107" s="82">
        <f t="shared" si="458"/>
        <v>18</v>
      </c>
      <c r="AQ107" s="82">
        <f t="shared" si="612"/>
        <v>143856</v>
      </c>
      <c r="AR107" s="82"/>
      <c r="AS107" s="82"/>
      <c r="AT107" s="82"/>
      <c r="AU107" s="82">
        <f t="shared" si="613"/>
        <v>0</v>
      </c>
      <c r="AV107" s="82">
        <f t="shared" si="614"/>
        <v>0</v>
      </c>
      <c r="AW107" s="82"/>
      <c r="AX107" s="82"/>
      <c r="AY107" s="82"/>
      <c r="AZ107" s="82"/>
      <c r="BA107" s="82">
        <f t="shared" si="615"/>
        <v>0</v>
      </c>
      <c r="BB107" s="82">
        <f t="shared" si="616"/>
        <v>0</v>
      </c>
      <c r="BC107" s="82">
        <f t="shared" si="464"/>
        <v>18</v>
      </c>
      <c r="BD107" s="82">
        <f t="shared" si="617"/>
        <v>143856</v>
      </c>
      <c r="BE107" s="82">
        <f t="shared" si="618"/>
        <v>0</v>
      </c>
      <c r="BF107" s="82">
        <f t="shared" si="619"/>
        <v>0</v>
      </c>
      <c r="BG107" s="82">
        <f t="shared" si="468"/>
        <v>18</v>
      </c>
      <c r="BH107" s="82">
        <f t="shared" si="620"/>
        <v>143856</v>
      </c>
      <c r="BI107" s="82"/>
      <c r="BJ107" s="83"/>
      <c r="BK107" s="82">
        <f t="shared" si="621"/>
        <v>0</v>
      </c>
      <c r="BL107" s="82">
        <f t="shared" si="622"/>
        <v>0</v>
      </c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>
        <f t="shared" si="623"/>
        <v>0</v>
      </c>
      <c r="BX107" s="82">
        <f t="shared" si="624"/>
        <v>0</v>
      </c>
      <c r="BY107" s="82">
        <f t="shared" si="474"/>
        <v>18</v>
      </c>
      <c r="BZ107" s="82">
        <f t="shared" si="625"/>
        <v>143856</v>
      </c>
      <c r="CA107" s="82"/>
      <c r="CB107" s="82"/>
      <c r="CC107" s="82">
        <f t="shared" si="626"/>
        <v>0</v>
      </c>
      <c r="CD107" s="82">
        <f t="shared" si="627"/>
        <v>0</v>
      </c>
      <c r="CE107" s="82"/>
      <c r="CF107" s="82"/>
      <c r="CG107" s="82"/>
      <c r="CH107" s="82"/>
      <c r="CI107" s="82">
        <f t="shared" si="628"/>
        <v>0</v>
      </c>
      <c r="CJ107" s="82">
        <f t="shared" si="629"/>
        <v>0</v>
      </c>
      <c r="CK107" s="82">
        <f t="shared" si="480"/>
        <v>18</v>
      </c>
      <c r="CL107" s="82">
        <f t="shared" si="630"/>
        <v>143856</v>
      </c>
      <c r="CM107" s="82"/>
      <c r="CN107" s="82"/>
      <c r="CO107" s="82">
        <f t="shared" si="35"/>
        <v>0</v>
      </c>
      <c r="CP107" s="82">
        <f t="shared" si="36"/>
        <v>0</v>
      </c>
      <c r="CQ107" s="82"/>
      <c r="CR107" s="82"/>
      <c r="CS107" s="82"/>
      <c r="CT107" s="82"/>
      <c r="CU107" s="82">
        <f t="shared" si="631"/>
        <v>0</v>
      </c>
      <c r="CV107" s="82">
        <f t="shared" si="632"/>
        <v>0</v>
      </c>
      <c r="CW107" s="82">
        <f t="shared" si="39"/>
        <v>18</v>
      </c>
      <c r="CX107" s="82">
        <f t="shared" si="633"/>
        <v>143856</v>
      </c>
      <c r="CY107" s="82">
        <f t="shared" si="41"/>
        <v>0</v>
      </c>
      <c r="CZ107" s="82">
        <f t="shared" si="345"/>
        <v>0</v>
      </c>
      <c r="DA107" s="82">
        <f t="shared" si="43"/>
        <v>18</v>
      </c>
      <c r="DB107" s="82">
        <f t="shared" si="44"/>
        <v>143856</v>
      </c>
      <c r="DC107" s="91"/>
      <c r="DD107" s="82"/>
      <c r="DE107" s="82"/>
      <c r="DF107" s="82">
        <f t="shared" si="634"/>
        <v>0</v>
      </c>
      <c r="DG107" s="82">
        <f t="shared" si="635"/>
        <v>0</v>
      </c>
      <c r="DH107" s="82"/>
      <c r="DI107" s="82"/>
      <c r="DJ107" s="82"/>
      <c r="DK107" s="82"/>
      <c r="DL107" s="82">
        <f t="shared" si="636"/>
        <v>0</v>
      </c>
      <c r="DM107" s="82">
        <f t="shared" si="637"/>
        <v>0</v>
      </c>
      <c r="DN107" s="82">
        <f t="shared" si="638"/>
        <v>18</v>
      </c>
      <c r="DO107" s="82">
        <f t="shared" si="639"/>
        <v>143856</v>
      </c>
      <c r="DP107" s="82"/>
      <c r="DQ107" s="82"/>
      <c r="DR107" s="82">
        <f t="shared" si="640"/>
        <v>0</v>
      </c>
      <c r="DS107" s="82">
        <f t="shared" si="641"/>
        <v>0</v>
      </c>
      <c r="DT107" s="82"/>
      <c r="DU107" s="82"/>
      <c r="DV107" s="82"/>
      <c r="DW107" s="82"/>
      <c r="DX107" s="82">
        <f t="shared" si="642"/>
        <v>0</v>
      </c>
      <c r="DY107" s="82">
        <f t="shared" si="643"/>
        <v>0</v>
      </c>
      <c r="DZ107" s="82">
        <f t="shared" si="644"/>
        <v>18</v>
      </c>
      <c r="EA107" s="82">
        <f t="shared" si="645"/>
        <v>143856</v>
      </c>
      <c r="EB107" s="82"/>
      <c r="EC107" s="82"/>
      <c r="ED107" s="82">
        <f t="shared" si="646"/>
        <v>0</v>
      </c>
      <c r="EE107" s="82">
        <f t="shared" si="647"/>
        <v>0</v>
      </c>
      <c r="EF107" s="82"/>
      <c r="EG107" s="82"/>
      <c r="EH107" s="82"/>
      <c r="EI107" s="82"/>
      <c r="EJ107" s="82">
        <f t="shared" si="648"/>
        <v>0</v>
      </c>
      <c r="EK107" s="82">
        <f t="shared" si="649"/>
        <v>0</v>
      </c>
      <c r="EL107" s="82">
        <f t="shared" si="650"/>
        <v>18</v>
      </c>
      <c r="EM107" s="82">
        <f t="shared" si="651"/>
        <v>143856</v>
      </c>
      <c r="EN107" s="82">
        <f t="shared" si="652"/>
        <v>0</v>
      </c>
      <c r="EO107" s="82">
        <f t="shared" si="653"/>
        <v>0</v>
      </c>
      <c r="EP107" s="82">
        <f t="shared" si="654"/>
        <v>18</v>
      </c>
      <c r="EQ107" s="82">
        <f t="shared" si="655"/>
        <v>143856</v>
      </c>
      <c r="ER107" s="82"/>
      <c r="ES107" s="82"/>
      <c r="ET107" s="82">
        <f t="shared" si="656"/>
        <v>0</v>
      </c>
      <c r="EU107" s="82">
        <f t="shared" si="657"/>
        <v>0</v>
      </c>
      <c r="EV107" s="82"/>
      <c r="EW107" s="82"/>
      <c r="EX107" s="82"/>
      <c r="EY107" s="82"/>
      <c r="EZ107" s="82">
        <f t="shared" si="658"/>
        <v>0</v>
      </c>
      <c r="FA107" s="82">
        <f t="shared" si="659"/>
        <v>0</v>
      </c>
      <c r="FB107" s="82">
        <f t="shared" si="660"/>
        <v>18</v>
      </c>
      <c r="FC107" s="82">
        <f t="shared" si="661"/>
        <v>143856</v>
      </c>
      <c r="FD107" s="82"/>
      <c r="FE107" s="82"/>
      <c r="FF107" s="82">
        <f t="shared" si="662"/>
        <v>0</v>
      </c>
      <c r="FG107" s="82">
        <f t="shared" si="663"/>
        <v>0</v>
      </c>
      <c r="FH107" s="82"/>
      <c r="FI107" s="82"/>
      <c r="FJ107" s="82"/>
      <c r="FK107" s="82"/>
      <c r="FL107" s="82">
        <f t="shared" si="664"/>
        <v>0</v>
      </c>
      <c r="FM107" s="82">
        <f t="shared" si="665"/>
        <v>0</v>
      </c>
      <c r="FN107" s="82">
        <f t="shared" si="666"/>
        <v>18</v>
      </c>
      <c r="FO107" s="82">
        <f t="shared" si="667"/>
        <v>143856</v>
      </c>
      <c r="FP107" s="82"/>
      <c r="FQ107" s="82"/>
      <c r="FR107" s="82">
        <f t="shared" si="668"/>
        <v>0</v>
      </c>
      <c r="FS107" s="82">
        <f t="shared" si="669"/>
        <v>0</v>
      </c>
      <c r="FT107" s="82"/>
      <c r="FU107" s="82"/>
      <c r="FV107" s="82"/>
      <c r="FW107" s="82"/>
      <c r="FX107" s="82">
        <f t="shared" si="670"/>
        <v>0</v>
      </c>
      <c r="FY107" s="82">
        <f t="shared" si="671"/>
        <v>0</v>
      </c>
      <c r="FZ107" s="82">
        <f t="shared" si="672"/>
        <v>18</v>
      </c>
      <c r="GA107" s="82">
        <f t="shared" si="673"/>
        <v>143856</v>
      </c>
      <c r="GB107" s="82">
        <f t="shared" si="674"/>
        <v>0</v>
      </c>
      <c r="GC107" s="82">
        <f t="shared" si="675"/>
        <v>0</v>
      </c>
      <c r="GD107" s="82">
        <f t="shared" si="676"/>
        <v>18</v>
      </c>
      <c r="GE107" s="82">
        <f t="shared" si="677"/>
        <v>143856</v>
      </c>
      <c r="GF107" s="85"/>
    </row>
    <row r="108" ht="29.25" customHeight="1">
      <c r="A108" s="76"/>
      <c r="B108" s="87"/>
      <c r="C108" s="77"/>
      <c r="D108" s="78" t="s">
        <v>96</v>
      </c>
      <c r="E108" s="86">
        <v>13320.0</v>
      </c>
      <c r="F108" s="80" t="s">
        <v>180</v>
      </c>
      <c r="G108" s="81">
        <v>18.0</v>
      </c>
      <c r="H108" s="82"/>
      <c r="I108" s="82"/>
      <c r="J108" s="82"/>
      <c r="K108" s="82"/>
      <c r="L108" s="82"/>
      <c r="M108" s="82"/>
      <c r="N108" s="83"/>
      <c r="O108" s="82"/>
      <c r="P108" s="83"/>
      <c r="Q108" s="82"/>
      <c r="R108" s="82"/>
      <c r="S108" s="83"/>
      <c r="T108" s="82"/>
      <c r="U108" s="83"/>
      <c r="V108" s="83"/>
      <c r="W108" s="82"/>
      <c r="X108" s="82"/>
      <c r="Y108" s="82"/>
      <c r="Z108" s="83"/>
      <c r="AA108" s="82"/>
      <c r="AB108" s="82"/>
      <c r="AC108" s="82"/>
      <c r="AD108" s="82">
        <f t="shared" si="452"/>
        <v>18</v>
      </c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>
        <f t="shared" si="458"/>
        <v>18</v>
      </c>
      <c r="AQ108" s="82">
        <f>AP108*E107</f>
        <v>143856</v>
      </c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>
        <f t="shared" si="464"/>
        <v>18</v>
      </c>
      <c r="BD108" s="82">
        <f>BC108*E107</f>
        <v>143856</v>
      </c>
      <c r="BE108" s="82"/>
      <c r="BF108" s="82"/>
      <c r="BG108" s="82">
        <f t="shared" si="468"/>
        <v>18</v>
      </c>
      <c r="BH108" s="83">
        <v>0.0</v>
      </c>
      <c r="BI108" s="82"/>
      <c r="BJ108" s="83"/>
      <c r="BK108" s="82"/>
      <c r="BL108" s="82"/>
      <c r="BM108" s="82"/>
      <c r="BN108" s="82"/>
      <c r="BO108" s="82"/>
      <c r="BP108" s="83"/>
      <c r="BQ108" s="82"/>
      <c r="BR108" s="82"/>
      <c r="BS108" s="83"/>
      <c r="BT108" s="82"/>
      <c r="BU108" s="82"/>
      <c r="BV108" s="83"/>
      <c r="BW108" s="82"/>
      <c r="BX108" s="82"/>
      <c r="BY108" s="82">
        <f t="shared" si="474"/>
        <v>18</v>
      </c>
      <c r="BZ108" s="82">
        <f>BY108*E107</f>
        <v>143856</v>
      </c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>
        <f t="shared" si="480"/>
        <v>18</v>
      </c>
      <c r="CL108" s="82">
        <f>CK108*E107</f>
        <v>143856</v>
      </c>
      <c r="CM108" s="83">
        <v>18.0</v>
      </c>
      <c r="CN108" s="82"/>
      <c r="CO108" s="82">
        <f t="shared" si="35"/>
        <v>18</v>
      </c>
      <c r="CP108" s="82">
        <f t="shared" si="36"/>
        <v>239760</v>
      </c>
      <c r="CQ108" s="82"/>
      <c r="CR108" s="82"/>
      <c r="CS108" s="82"/>
      <c r="CT108" s="82"/>
      <c r="CU108" s="82"/>
      <c r="CV108" s="82"/>
      <c r="CW108" s="82">
        <f t="shared" si="39"/>
        <v>36</v>
      </c>
      <c r="CX108" s="82">
        <f>(CO108*E108)+(CK108*E107)</f>
        <v>383616</v>
      </c>
      <c r="CY108" s="82">
        <f t="shared" si="41"/>
        <v>18</v>
      </c>
      <c r="CZ108" s="82">
        <f t="shared" si="345"/>
        <v>0</v>
      </c>
      <c r="DA108" s="82">
        <f t="shared" si="43"/>
        <v>36</v>
      </c>
      <c r="DB108" s="82">
        <f t="shared" si="44"/>
        <v>479520</v>
      </c>
      <c r="DC108" s="91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82"/>
      <c r="DZ108" s="82"/>
      <c r="EA108" s="82"/>
      <c r="EB108" s="82"/>
      <c r="EC108" s="82"/>
      <c r="ED108" s="82"/>
      <c r="EE108" s="82"/>
      <c r="EF108" s="82"/>
      <c r="EG108" s="82"/>
      <c r="EH108" s="82"/>
      <c r="EI108" s="82"/>
      <c r="EJ108" s="82"/>
      <c r="EK108" s="82"/>
      <c r="EL108" s="82"/>
      <c r="EM108" s="82"/>
      <c r="EN108" s="82"/>
      <c r="EO108" s="82"/>
      <c r="EP108" s="82"/>
      <c r="EQ108" s="82"/>
      <c r="ER108" s="82"/>
      <c r="ES108" s="82"/>
      <c r="ET108" s="82"/>
      <c r="EU108" s="82"/>
      <c r="EV108" s="82"/>
      <c r="EW108" s="82"/>
      <c r="EX108" s="82"/>
      <c r="EY108" s="82"/>
      <c r="EZ108" s="82"/>
      <c r="FA108" s="82"/>
      <c r="FB108" s="82"/>
      <c r="FC108" s="82"/>
      <c r="FD108" s="82"/>
      <c r="FE108" s="82"/>
      <c r="FF108" s="82"/>
      <c r="FG108" s="82"/>
      <c r="FH108" s="82"/>
      <c r="FI108" s="82"/>
      <c r="FJ108" s="82"/>
      <c r="FK108" s="82"/>
      <c r="FL108" s="82"/>
      <c r="FM108" s="82"/>
      <c r="FN108" s="82"/>
      <c r="FO108" s="82"/>
      <c r="FP108" s="82"/>
      <c r="FQ108" s="82"/>
      <c r="FR108" s="82"/>
      <c r="FS108" s="82"/>
      <c r="FT108" s="82"/>
      <c r="FU108" s="82"/>
      <c r="FV108" s="82"/>
      <c r="FW108" s="82"/>
      <c r="FX108" s="82"/>
      <c r="FY108" s="82"/>
      <c r="FZ108" s="82"/>
      <c r="GA108" s="82"/>
      <c r="GB108" s="82"/>
      <c r="GC108" s="82"/>
      <c r="GD108" s="82"/>
      <c r="GE108" s="82"/>
      <c r="GF108" s="85"/>
    </row>
    <row r="109" ht="29.25" customHeight="1">
      <c r="A109" s="76">
        <v>61.0</v>
      </c>
      <c r="B109" s="87"/>
      <c r="C109" s="77" t="s">
        <v>183</v>
      </c>
      <c r="D109" s="78" t="s">
        <v>96</v>
      </c>
      <c r="E109" s="86">
        <v>10811.0</v>
      </c>
      <c r="F109" s="80" t="s">
        <v>86</v>
      </c>
      <c r="G109" s="81">
        <v>120.0</v>
      </c>
      <c r="H109" s="82">
        <v>1297320.0</v>
      </c>
      <c r="I109" s="82"/>
      <c r="J109" s="82"/>
      <c r="K109" s="82">
        <f t="shared" ref="K109:K110" si="678">SUM(I109:J109)</f>
        <v>0</v>
      </c>
      <c r="L109" s="82">
        <f t="shared" ref="L109:L110" si="679">K109*E109</f>
        <v>0</v>
      </c>
      <c r="M109" s="82"/>
      <c r="N109" s="83">
        <v>18.0</v>
      </c>
      <c r="O109" s="82"/>
      <c r="P109" s="83">
        <v>12.0</v>
      </c>
      <c r="Q109" s="82"/>
      <c r="R109" s="82"/>
      <c r="S109" s="83">
        <v>6.0</v>
      </c>
      <c r="T109" s="82"/>
      <c r="U109" s="83">
        <v>4.0</v>
      </c>
      <c r="V109" s="83">
        <v>5.0</v>
      </c>
      <c r="W109" s="82"/>
      <c r="X109" s="82"/>
      <c r="Y109" s="82"/>
      <c r="Z109" s="83">
        <v>3.0</v>
      </c>
      <c r="AA109" s="82"/>
      <c r="AB109" s="82">
        <f>SUM(M109:AA109)</f>
        <v>48</v>
      </c>
      <c r="AC109" s="82">
        <f t="shared" ref="AC109:AC110" si="680">AB109*E109</f>
        <v>518928</v>
      </c>
      <c r="AD109" s="82">
        <f t="shared" si="452"/>
        <v>72</v>
      </c>
      <c r="AE109" s="82">
        <f t="shared" ref="AE109:AE110" si="681">AD109*E109</f>
        <v>778392</v>
      </c>
      <c r="AF109" s="82"/>
      <c r="AG109" s="82"/>
      <c r="AH109" s="82">
        <f t="shared" ref="AH109:AH110" si="682">SUM(AF109:AG109)</f>
        <v>0</v>
      </c>
      <c r="AI109" s="82">
        <f t="shared" ref="AI109:AI110" si="683">AH109*E109</f>
        <v>0</v>
      </c>
      <c r="AJ109" s="82"/>
      <c r="AK109" s="82"/>
      <c r="AL109" s="82"/>
      <c r="AM109" s="82"/>
      <c r="AN109" s="82">
        <f t="shared" ref="AN109:AN110" si="684">SUM(AJ109:AM109)</f>
        <v>0</v>
      </c>
      <c r="AO109" s="82">
        <f t="shared" ref="AO109:AO110" si="685">AN109*E109</f>
        <v>0</v>
      </c>
      <c r="AP109" s="82">
        <f t="shared" si="458"/>
        <v>72</v>
      </c>
      <c r="AQ109" s="82">
        <f t="shared" ref="AQ109:AQ110" si="686">AP109*E109</f>
        <v>778392</v>
      </c>
      <c r="AR109" s="82"/>
      <c r="AS109" s="82"/>
      <c r="AT109" s="82"/>
      <c r="AU109" s="82">
        <f t="shared" ref="AU109:AU110" si="687">SUM(AS109:AT109)</f>
        <v>0</v>
      </c>
      <c r="AV109" s="82">
        <f t="shared" ref="AV109:AV110" si="688">AU109*AB109</f>
        <v>0</v>
      </c>
      <c r="AW109" s="82"/>
      <c r="AX109" s="82"/>
      <c r="AY109" s="82"/>
      <c r="AZ109" s="82"/>
      <c r="BA109" s="82">
        <f t="shared" ref="BA109:BA110" si="689">SUM(AW109:AZ109)</f>
        <v>0</v>
      </c>
      <c r="BB109" s="82">
        <f t="shared" ref="BB109:BB110" si="690">BA109*AB109</f>
        <v>0</v>
      </c>
      <c r="BC109" s="82">
        <f t="shared" si="464"/>
        <v>72</v>
      </c>
      <c r="BD109" s="82">
        <f t="shared" ref="BD109:BD110" si="691">BC109*E109</f>
        <v>778392</v>
      </c>
      <c r="BE109" s="82">
        <f t="shared" ref="BE109:BE110" si="692">K109+AH109+AU109</f>
        <v>0</v>
      </c>
      <c r="BF109" s="82">
        <f t="shared" ref="BF109:BF110" si="693">AB109+AN109+BA109</f>
        <v>48</v>
      </c>
      <c r="BG109" s="82">
        <f t="shared" si="468"/>
        <v>72</v>
      </c>
      <c r="BH109" s="82">
        <f t="shared" ref="BH109:BH110" si="694">BG109*E109</f>
        <v>778392</v>
      </c>
      <c r="BI109" s="82"/>
      <c r="BJ109" s="83"/>
      <c r="BK109" s="82">
        <f t="shared" ref="BK109:BK110" si="695">SUM(BI109:BJ109)</f>
        <v>0</v>
      </c>
      <c r="BL109" s="82">
        <f t="shared" ref="BL109:BL110" si="696">BK109*E109</f>
        <v>0</v>
      </c>
      <c r="BM109" s="82"/>
      <c r="BN109" s="82"/>
      <c r="BO109" s="82"/>
      <c r="BP109" s="83">
        <v>3.0</v>
      </c>
      <c r="BQ109" s="82"/>
      <c r="BR109" s="82"/>
      <c r="BS109" s="83">
        <v>12.0</v>
      </c>
      <c r="BT109" s="82"/>
      <c r="BU109" s="82"/>
      <c r="BV109" s="83">
        <v>3.0</v>
      </c>
      <c r="BW109" s="82">
        <f t="shared" ref="BW109:BW110" si="697">SUM(BM109:BV109)</f>
        <v>18</v>
      </c>
      <c r="BX109" s="82">
        <f t="shared" ref="BX109:BX110" si="698">BW109*E109</f>
        <v>194598</v>
      </c>
      <c r="BY109" s="82">
        <f t="shared" si="474"/>
        <v>54</v>
      </c>
      <c r="BZ109" s="82">
        <f t="shared" ref="BZ109:BZ110" si="699">BY109*E109</f>
        <v>583794</v>
      </c>
      <c r="CA109" s="82"/>
      <c r="CB109" s="82"/>
      <c r="CC109" s="82">
        <f t="shared" ref="CC109:CC110" si="700">sum(CA109:CB109)</f>
        <v>0</v>
      </c>
      <c r="CD109" s="82">
        <f t="shared" ref="CD109:CD110" si="701">CC109*E109</f>
        <v>0</v>
      </c>
      <c r="CE109" s="82"/>
      <c r="CF109" s="82"/>
      <c r="CG109" s="82"/>
      <c r="CH109" s="82"/>
      <c r="CI109" s="82">
        <f t="shared" ref="CI109:CI110" si="702">sum(CE109:CH109)</f>
        <v>0</v>
      </c>
      <c r="CJ109" s="82">
        <f t="shared" ref="CJ109:CJ110" si="703">CI109*E109</f>
        <v>0</v>
      </c>
      <c r="CK109" s="82">
        <f t="shared" si="480"/>
        <v>54</v>
      </c>
      <c r="CL109" s="82">
        <f t="shared" ref="CL109:CL110" si="704">CK109*E109</f>
        <v>583794</v>
      </c>
      <c r="CM109" s="82"/>
      <c r="CN109" s="82"/>
      <c r="CO109" s="82">
        <f t="shared" si="35"/>
        <v>0</v>
      </c>
      <c r="CP109" s="82">
        <f t="shared" si="36"/>
        <v>0</v>
      </c>
      <c r="CQ109" s="82"/>
      <c r="CR109" s="82"/>
      <c r="CS109" s="82"/>
      <c r="CT109" s="82"/>
      <c r="CU109" s="82">
        <f t="shared" ref="CU109:CU110" si="705">sum(CQ109:CT109)</f>
        <v>0</v>
      </c>
      <c r="CV109" s="82">
        <f t="shared" ref="CV109:CV110" si="706">CU109*E109</f>
        <v>0</v>
      </c>
      <c r="CW109" s="82">
        <f t="shared" si="39"/>
        <v>54</v>
      </c>
      <c r="CX109" s="82">
        <f t="shared" ref="CX109:CX110" si="707">CW109*E109</f>
        <v>583794</v>
      </c>
      <c r="CY109" s="82">
        <f t="shared" si="41"/>
        <v>0</v>
      </c>
      <c r="CZ109" s="82">
        <f t="shared" si="345"/>
        <v>18</v>
      </c>
      <c r="DA109" s="82">
        <f t="shared" si="43"/>
        <v>54</v>
      </c>
      <c r="DB109" s="82">
        <f t="shared" si="44"/>
        <v>583794</v>
      </c>
      <c r="DC109" s="84">
        <v>93.0</v>
      </c>
      <c r="DD109" s="82"/>
      <c r="DE109" s="82"/>
      <c r="DF109" s="82">
        <f t="shared" ref="DF109:DF110" si="708">sum(DD109:DE109)</f>
        <v>0</v>
      </c>
      <c r="DG109" s="82">
        <f t="shared" ref="DG109:DG110" si="709">DF109*E109</f>
        <v>0</v>
      </c>
      <c r="DH109" s="82"/>
      <c r="DI109" s="82"/>
      <c r="DJ109" s="82"/>
      <c r="DK109" s="82"/>
      <c r="DL109" s="82">
        <f t="shared" ref="DL109:DL110" si="710">sum(DH109:DK109)</f>
        <v>0</v>
      </c>
      <c r="DM109" s="82">
        <f t="shared" ref="DM109:DM110" si="711">DL109*E109</f>
        <v>0</v>
      </c>
      <c r="DN109" s="82">
        <f t="shared" ref="DN109:DN110" si="712">DA109+DF109-DL109</f>
        <v>54</v>
      </c>
      <c r="DO109" s="82">
        <f t="shared" ref="DO109:DO110" si="713">DN109*E109</f>
        <v>583794</v>
      </c>
      <c r="DP109" s="82"/>
      <c r="DQ109" s="82"/>
      <c r="DR109" s="82">
        <f t="shared" ref="DR109:DR110" si="714">sum(DP109:DQ109)</f>
        <v>0</v>
      </c>
      <c r="DS109" s="82">
        <f t="shared" ref="DS109:DS110" si="715">DR109*AB109</f>
        <v>0</v>
      </c>
      <c r="DT109" s="82"/>
      <c r="DU109" s="82"/>
      <c r="DV109" s="82"/>
      <c r="DW109" s="82"/>
      <c r="DX109" s="82">
        <f t="shared" ref="DX109:DX110" si="716">sum(DT109:DW109)</f>
        <v>0</v>
      </c>
      <c r="DY109" s="82">
        <f t="shared" ref="DY109:DY110" si="717">DX109*AB109</f>
        <v>0</v>
      </c>
      <c r="DZ109" s="82">
        <f t="shared" ref="DZ109:DZ110" si="718">DN109+DR109-DX109</f>
        <v>54</v>
      </c>
      <c r="EA109" s="82">
        <f t="shared" ref="EA109:EA110" si="719">DZ109*E109</f>
        <v>583794</v>
      </c>
      <c r="EB109" s="82"/>
      <c r="EC109" s="82"/>
      <c r="ED109" s="82">
        <f t="shared" ref="ED109:ED110" si="720">sum(EB109:EC109)</f>
        <v>0</v>
      </c>
      <c r="EE109" s="82">
        <f t="shared" ref="EE109:EE110" si="721">ED109*AN109</f>
        <v>0</v>
      </c>
      <c r="EF109" s="82"/>
      <c r="EG109" s="82"/>
      <c r="EH109" s="82"/>
      <c r="EI109" s="82"/>
      <c r="EJ109" s="82">
        <f t="shared" ref="EJ109:EJ110" si="722">sum(EF109:EI109)</f>
        <v>0</v>
      </c>
      <c r="EK109" s="82">
        <f t="shared" ref="EK109:EK110" si="723">EJ109*AN109</f>
        <v>0</v>
      </c>
      <c r="EL109" s="82">
        <f t="shared" ref="EL109:EL110" si="724">DZ109+ED109-EJ109</f>
        <v>54</v>
      </c>
      <c r="EM109" s="82">
        <f t="shared" ref="EM109:EM110" si="725">EL109*E109</f>
        <v>583794</v>
      </c>
      <c r="EN109" s="82">
        <f t="shared" ref="EN109:EN110" si="726">DF109+DR109+ED109</f>
        <v>0</v>
      </c>
      <c r="EO109" s="82">
        <f t="shared" ref="EO109:EO110" si="727">DL109+DX109+EJ109</f>
        <v>0</v>
      </c>
      <c r="EP109" s="82">
        <f t="shared" ref="EP109:EP110" si="728">DA109+EN109-EO109</f>
        <v>54</v>
      </c>
      <c r="EQ109" s="82">
        <f t="shared" ref="EQ109:EQ110" si="729">EP109*E109</f>
        <v>583794</v>
      </c>
      <c r="ER109" s="82"/>
      <c r="ES109" s="82"/>
      <c r="ET109" s="82">
        <f t="shared" ref="ET109:ET110" si="730">sum(ER109:ES109)</f>
        <v>0</v>
      </c>
      <c r="EU109" s="82">
        <f t="shared" ref="EU109:EU110" si="731">ET109*BE109</f>
        <v>0</v>
      </c>
      <c r="EV109" s="82"/>
      <c r="EW109" s="82"/>
      <c r="EX109" s="82"/>
      <c r="EY109" s="82"/>
      <c r="EZ109" s="82">
        <f t="shared" ref="EZ109:EZ110" si="732">sum(EV109:EY109)</f>
        <v>0</v>
      </c>
      <c r="FA109" s="82">
        <f t="shared" ref="FA109:FA110" si="733">EZ109*BE109</f>
        <v>0</v>
      </c>
      <c r="FB109" s="82">
        <f t="shared" ref="FB109:FB110" si="734">EP109+ET109-EZ109</f>
        <v>54</v>
      </c>
      <c r="FC109" s="82">
        <f t="shared" ref="FC109:FC110" si="735">FB109*E109</f>
        <v>583794</v>
      </c>
      <c r="FD109" s="82"/>
      <c r="FE109" s="82"/>
      <c r="FF109" s="82">
        <f t="shared" ref="FF109:FF110" si="736">sum(FD109:FE109)</f>
        <v>0</v>
      </c>
      <c r="FG109" s="82">
        <f t="shared" ref="FG109:FG110" si="737">FF109*BW109</f>
        <v>0</v>
      </c>
      <c r="FH109" s="82"/>
      <c r="FI109" s="82"/>
      <c r="FJ109" s="82"/>
      <c r="FK109" s="82"/>
      <c r="FL109" s="82">
        <f t="shared" ref="FL109:FL110" si="738">sum(FH109:FK109)</f>
        <v>0</v>
      </c>
      <c r="FM109" s="82">
        <f t="shared" ref="FM109:FM110" si="739">FL109*BW109</f>
        <v>0</v>
      </c>
      <c r="FN109" s="82">
        <f t="shared" ref="FN109:FN110" si="740">FB109+FF109-FL109</f>
        <v>54</v>
      </c>
      <c r="FO109" s="82">
        <f t="shared" ref="FO109:FO110" si="741">FN109*E109</f>
        <v>583794</v>
      </c>
      <c r="FP109" s="82"/>
      <c r="FQ109" s="82"/>
      <c r="FR109" s="82">
        <f t="shared" ref="FR109:FR110" si="742">sum(FP109:FQ109)</f>
        <v>0</v>
      </c>
      <c r="FS109" s="82">
        <f t="shared" ref="FS109:FS110" si="743">FR109*CI109</f>
        <v>0</v>
      </c>
      <c r="FT109" s="82"/>
      <c r="FU109" s="82"/>
      <c r="FV109" s="82"/>
      <c r="FW109" s="82"/>
      <c r="FX109" s="82">
        <f t="shared" ref="FX109:FX110" si="744">sum(FT109:FW109)</f>
        <v>0</v>
      </c>
      <c r="FY109" s="82">
        <f t="shared" ref="FY109:FY110" si="745">FX109*CI109</f>
        <v>0</v>
      </c>
      <c r="FZ109" s="82">
        <f t="shared" ref="FZ109:FZ110" si="746">FN109+FR109-FX109</f>
        <v>54</v>
      </c>
      <c r="GA109" s="82">
        <f t="shared" ref="GA109:GA110" si="747">FZ109*E109</f>
        <v>583794</v>
      </c>
      <c r="GB109" s="82">
        <f t="shared" ref="GB109:GB110" si="748">ET109+FF109+FR109</f>
        <v>0</v>
      </c>
      <c r="GC109" s="82">
        <f t="shared" ref="GC109:GC110" si="749">EZ109+FL109+FX109</f>
        <v>0</v>
      </c>
      <c r="GD109" s="82">
        <f t="shared" ref="GD109:GD110" si="750">EP109+GB109-GC109</f>
        <v>54</v>
      </c>
      <c r="GE109" s="82">
        <f t="shared" ref="GE109:GE110" si="751">GD109*E109</f>
        <v>583794</v>
      </c>
      <c r="GF109" s="85"/>
    </row>
    <row r="110" ht="29.25" customHeight="1">
      <c r="A110" s="16"/>
      <c r="B110" s="16"/>
      <c r="C110" s="16"/>
      <c r="D110" s="78" t="s">
        <v>96</v>
      </c>
      <c r="E110" s="86">
        <v>10656.0</v>
      </c>
      <c r="F110" s="80" t="s">
        <v>94</v>
      </c>
      <c r="G110" s="81">
        <v>18.0</v>
      </c>
      <c r="H110" s="82">
        <v>191808.0</v>
      </c>
      <c r="I110" s="82"/>
      <c r="J110" s="82"/>
      <c r="K110" s="82">
        <f t="shared" si="678"/>
        <v>0</v>
      </c>
      <c r="L110" s="82">
        <f t="shared" si="679"/>
        <v>0</v>
      </c>
      <c r="M110" s="82"/>
      <c r="N110" s="83">
        <v>18.0</v>
      </c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3">
        <v>0.0</v>
      </c>
      <c r="AC110" s="82">
        <f t="shared" si="680"/>
        <v>0</v>
      </c>
      <c r="AD110" s="82">
        <f t="shared" si="452"/>
        <v>18</v>
      </c>
      <c r="AE110" s="82">
        <f t="shared" si="681"/>
        <v>191808</v>
      </c>
      <c r="AF110" s="82"/>
      <c r="AG110" s="82"/>
      <c r="AH110" s="82">
        <f t="shared" si="682"/>
        <v>0</v>
      </c>
      <c r="AI110" s="82">
        <f t="shared" si="683"/>
        <v>0</v>
      </c>
      <c r="AJ110" s="82"/>
      <c r="AK110" s="82"/>
      <c r="AL110" s="82"/>
      <c r="AM110" s="82"/>
      <c r="AN110" s="82">
        <f t="shared" si="684"/>
        <v>0</v>
      </c>
      <c r="AO110" s="82">
        <f t="shared" si="685"/>
        <v>0</v>
      </c>
      <c r="AP110" s="82">
        <f t="shared" si="458"/>
        <v>18</v>
      </c>
      <c r="AQ110" s="82">
        <f t="shared" si="686"/>
        <v>191808</v>
      </c>
      <c r="AR110" s="82"/>
      <c r="AS110" s="82"/>
      <c r="AT110" s="82"/>
      <c r="AU110" s="82">
        <f t="shared" si="687"/>
        <v>0</v>
      </c>
      <c r="AV110" s="82">
        <f t="shared" si="688"/>
        <v>0</v>
      </c>
      <c r="AW110" s="82"/>
      <c r="AX110" s="82"/>
      <c r="AY110" s="82"/>
      <c r="AZ110" s="82"/>
      <c r="BA110" s="82">
        <f t="shared" si="689"/>
        <v>0</v>
      </c>
      <c r="BB110" s="82">
        <f t="shared" si="690"/>
        <v>0</v>
      </c>
      <c r="BC110" s="82">
        <f t="shared" si="464"/>
        <v>18</v>
      </c>
      <c r="BD110" s="82">
        <f t="shared" si="691"/>
        <v>191808</v>
      </c>
      <c r="BE110" s="82">
        <f t="shared" si="692"/>
        <v>0</v>
      </c>
      <c r="BF110" s="82">
        <f t="shared" si="693"/>
        <v>0</v>
      </c>
      <c r="BG110" s="82">
        <f t="shared" si="468"/>
        <v>18</v>
      </c>
      <c r="BH110" s="82">
        <f t="shared" si="694"/>
        <v>191808</v>
      </c>
      <c r="BI110" s="82"/>
      <c r="BJ110" s="83"/>
      <c r="BK110" s="82">
        <f t="shared" si="695"/>
        <v>0</v>
      </c>
      <c r="BL110" s="82">
        <f t="shared" si="696"/>
        <v>0</v>
      </c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>
        <f t="shared" si="697"/>
        <v>0</v>
      </c>
      <c r="BX110" s="82">
        <f t="shared" si="698"/>
        <v>0</v>
      </c>
      <c r="BY110" s="82">
        <f t="shared" si="474"/>
        <v>18</v>
      </c>
      <c r="BZ110" s="82">
        <f t="shared" si="699"/>
        <v>191808</v>
      </c>
      <c r="CA110" s="82"/>
      <c r="CB110" s="82"/>
      <c r="CC110" s="82">
        <f t="shared" si="700"/>
        <v>0</v>
      </c>
      <c r="CD110" s="82">
        <f t="shared" si="701"/>
        <v>0</v>
      </c>
      <c r="CE110" s="82"/>
      <c r="CF110" s="82"/>
      <c r="CG110" s="82"/>
      <c r="CH110" s="82"/>
      <c r="CI110" s="82">
        <f t="shared" si="702"/>
        <v>0</v>
      </c>
      <c r="CJ110" s="82">
        <f t="shared" si="703"/>
        <v>0</v>
      </c>
      <c r="CK110" s="82">
        <f t="shared" si="480"/>
        <v>18</v>
      </c>
      <c r="CL110" s="82">
        <f t="shared" si="704"/>
        <v>191808</v>
      </c>
      <c r="CM110" s="82"/>
      <c r="CN110" s="82"/>
      <c r="CO110" s="82">
        <f t="shared" si="35"/>
        <v>0</v>
      </c>
      <c r="CP110" s="82">
        <f t="shared" si="36"/>
        <v>0</v>
      </c>
      <c r="CQ110" s="82"/>
      <c r="CR110" s="82"/>
      <c r="CS110" s="82"/>
      <c r="CT110" s="82"/>
      <c r="CU110" s="82">
        <f t="shared" si="705"/>
        <v>0</v>
      </c>
      <c r="CV110" s="82">
        <f t="shared" si="706"/>
        <v>0</v>
      </c>
      <c r="CW110" s="82">
        <f t="shared" si="39"/>
        <v>18</v>
      </c>
      <c r="CX110" s="82">
        <f t="shared" si="707"/>
        <v>191808</v>
      </c>
      <c r="CY110" s="82">
        <f t="shared" si="41"/>
        <v>0</v>
      </c>
      <c r="CZ110" s="82">
        <f t="shared" si="345"/>
        <v>0</v>
      </c>
      <c r="DA110" s="82">
        <f t="shared" si="43"/>
        <v>18</v>
      </c>
      <c r="DB110" s="82">
        <f t="shared" si="44"/>
        <v>191808</v>
      </c>
      <c r="DC110" s="91"/>
      <c r="DD110" s="82"/>
      <c r="DE110" s="82"/>
      <c r="DF110" s="82">
        <f t="shared" si="708"/>
        <v>0</v>
      </c>
      <c r="DG110" s="82">
        <f t="shared" si="709"/>
        <v>0</v>
      </c>
      <c r="DH110" s="82"/>
      <c r="DI110" s="82"/>
      <c r="DJ110" s="82"/>
      <c r="DK110" s="82"/>
      <c r="DL110" s="82">
        <f t="shared" si="710"/>
        <v>0</v>
      </c>
      <c r="DM110" s="82">
        <f t="shared" si="711"/>
        <v>0</v>
      </c>
      <c r="DN110" s="82">
        <f t="shared" si="712"/>
        <v>18</v>
      </c>
      <c r="DO110" s="82">
        <f t="shared" si="713"/>
        <v>191808</v>
      </c>
      <c r="DP110" s="82"/>
      <c r="DQ110" s="82"/>
      <c r="DR110" s="82">
        <f t="shared" si="714"/>
        <v>0</v>
      </c>
      <c r="DS110" s="82">
        <f t="shared" si="715"/>
        <v>0</v>
      </c>
      <c r="DT110" s="82"/>
      <c r="DU110" s="82"/>
      <c r="DV110" s="82"/>
      <c r="DW110" s="82"/>
      <c r="DX110" s="82">
        <f t="shared" si="716"/>
        <v>0</v>
      </c>
      <c r="DY110" s="82">
        <f t="shared" si="717"/>
        <v>0</v>
      </c>
      <c r="DZ110" s="82">
        <f t="shared" si="718"/>
        <v>18</v>
      </c>
      <c r="EA110" s="82">
        <f t="shared" si="719"/>
        <v>191808</v>
      </c>
      <c r="EB110" s="82"/>
      <c r="EC110" s="82"/>
      <c r="ED110" s="82">
        <f t="shared" si="720"/>
        <v>0</v>
      </c>
      <c r="EE110" s="82">
        <f t="shared" si="721"/>
        <v>0</v>
      </c>
      <c r="EF110" s="82"/>
      <c r="EG110" s="82"/>
      <c r="EH110" s="82"/>
      <c r="EI110" s="82"/>
      <c r="EJ110" s="82">
        <f t="shared" si="722"/>
        <v>0</v>
      </c>
      <c r="EK110" s="82">
        <f t="shared" si="723"/>
        <v>0</v>
      </c>
      <c r="EL110" s="82">
        <f t="shared" si="724"/>
        <v>18</v>
      </c>
      <c r="EM110" s="82">
        <f t="shared" si="725"/>
        <v>191808</v>
      </c>
      <c r="EN110" s="82">
        <f t="shared" si="726"/>
        <v>0</v>
      </c>
      <c r="EO110" s="82">
        <f t="shared" si="727"/>
        <v>0</v>
      </c>
      <c r="EP110" s="82">
        <f t="shared" si="728"/>
        <v>18</v>
      </c>
      <c r="EQ110" s="82">
        <f t="shared" si="729"/>
        <v>191808</v>
      </c>
      <c r="ER110" s="82"/>
      <c r="ES110" s="82"/>
      <c r="ET110" s="82">
        <f t="shared" si="730"/>
        <v>0</v>
      </c>
      <c r="EU110" s="82">
        <f t="shared" si="731"/>
        <v>0</v>
      </c>
      <c r="EV110" s="82"/>
      <c r="EW110" s="82"/>
      <c r="EX110" s="82"/>
      <c r="EY110" s="82"/>
      <c r="EZ110" s="82">
        <f t="shared" si="732"/>
        <v>0</v>
      </c>
      <c r="FA110" s="82">
        <f t="shared" si="733"/>
        <v>0</v>
      </c>
      <c r="FB110" s="82">
        <f t="shared" si="734"/>
        <v>18</v>
      </c>
      <c r="FC110" s="82">
        <f t="shared" si="735"/>
        <v>191808</v>
      </c>
      <c r="FD110" s="82"/>
      <c r="FE110" s="82"/>
      <c r="FF110" s="82">
        <f t="shared" si="736"/>
        <v>0</v>
      </c>
      <c r="FG110" s="82">
        <f t="shared" si="737"/>
        <v>0</v>
      </c>
      <c r="FH110" s="82"/>
      <c r="FI110" s="82"/>
      <c r="FJ110" s="82"/>
      <c r="FK110" s="82"/>
      <c r="FL110" s="82">
        <f t="shared" si="738"/>
        <v>0</v>
      </c>
      <c r="FM110" s="82">
        <f t="shared" si="739"/>
        <v>0</v>
      </c>
      <c r="FN110" s="82">
        <f t="shared" si="740"/>
        <v>18</v>
      </c>
      <c r="FO110" s="82">
        <f t="shared" si="741"/>
        <v>191808</v>
      </c>
      <c r="FP110" s="82"/>
      <c r="FQ110" s="82"/>
      <c r="FR110" s="82">
        <f t="shared" si="742"/>
        <v>0</v>
      </c>
      <c r="FS110" s="82">
        <f t="shared" si="743"/>
        <v>0</v>
      </c>
      <c r="FT110" s="82"/>
      <c r="FU110" s="82"/>
      <c r="FV110" s="82"/>
      <c r="FW110" s="82"/>
      <c r="FX110" s="82">
        <f t="shared" si="744"/>
        <v>0</v>
      </c>
      <c r="FY110" s="82">
        <f t="shared" si="745"/>
        <v>0</v>
      </c>
      <c r="FZ110" s="82">
        <f t="shared" si="746"/>
        <v>18</v>
      </c>
      <c r="GA110" s="82">
        <f t="shared" si="747"/>
        <v>191808</v>
      </c>
      <c r="GB110" s="82">
        <f t="shared" si="748"/>
        <v>0</v>
      </c>
      <c r="GC110" s="82">
        <f t="shared" si="749"/>
        <v>0</v>
      </c>
      <c r="GD110" s="82">
        <f t="shared" si="750"/>
        <v>18</v>
      </c>
      <c r="GE110" s="82">
        <f t="shared" si="751"/>
        <v>191808</v>
      </c>
      <c r="GF110" s="85"/>
    </row>
    <row r="111" ht="29.25" customHeight="1">
      <c r="A111" s="76"/>
      <c r="B111" s="76"/>
      <c r="C111" s="88"/>
      <c r="D111" s="78" t="s">
        <v>96</v>
      </c>
      <c r="E111" s="83">
        <v>13320.0</v>
      </c>
      <c r="F111" s="80" t="s">
        <v>180</v>
      </c>
      <c r="G111" s="81">
        <v>18.0</v>
      </c>
      <c r="H111" s="83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3"/>
      <c r="V111" s="83"/>
      <c r="W111" s="82"/>
      <c r="X111" s="82"/>
      <c r="Y111" s="82"/>
      <c r="Z111" s="82"/>
      <c r="AA111" s="82"/>
      <c r="AB111" s="82"/>
      <c r="AC111" s="82"/>
      <c r="AD111" s="82">
        <f t="shared" si="452"/>
        <v>18</v>
      </c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>
        <f t="shared" si="458"/>
        <v>18</v>
      </c>
      <c r="AQ111" s="82">
        <f>AP111*E110</f>
        <v>191808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>
        <f t="shared" si="464"/>
        <v>18</v>
      </c>
      <c r="BD111" s="82">
        <f>BC111*E110</f>
        <v>191808</v>
      </c>
      <c r="BE111" s="82"/>
      <c r="BF111" s="82"/>
      <c r="BG111" s="82">
        <f t="shared" si="468"/>
        <v>18</v>
      </c>
      <c r="BH111" s="83">
        <v>0.0</v>
      </c>
      <c r="BI111" s="82"/>
      <c r="BJ111" s="83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>
        <f t="shared" si="474"/>
        <v>18</v>
      </c>
      <c r="BZ111" s="82">
        <f>BY111*E110</f>
        <v>191808</v>
      </c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>
        <f t="shared" si="480"/>
        <v>18</v>
      </c>
      <c r="CL111" s="82">
        <f>CK111*E110</f>
        <v>191808</v>
      </c>
      <c r="CM111" s="83">
        <v>48.0</v>
      </c>
      <c r="CN111" s="82"/>
      <c r="CO111" s="82">
        <f t="shared" si="35"/>
        <v>48</v>
      </c>
      <c r="CP111" s="82">
        <f t="shared" si="36"/>
        <v>639360</v>
      </c>
      <c r="CQ111" s="82"/>
      <c r="CR111" s="82"/>
      <c r="CS111" s="82"/>
      <c r="CT111" s="82"/>
      <c r="CU111" s="82"/>
      <c r="CV111" s="82"/>
      <c r="CW111" s="82">
        <f t="shared" si="39"/>
        <v>66</v>
      </c>
      <c r="CX111" s="82">
        <f>(CO111*E111)+(CK111*E110)</f>
        <v>831168</v>
      </c>
      <c r="CY111" s="82">
        <f t="shared" si="41"/>
        <v>48</v>
      </c>
      <c r="CZ111" s="82">
        <f t="shared" si="345"/>
        <v>0</v>
      </c>
      <c r="DA111" s="82">
        <f t="shared" si="43"/>
        <v>66</v>
      </c>
      <c r="DB111" s="82">
        <f t="shared" si="44"/>
        <v>879120</v>
      </c>
      <c r="DC111" s="91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82"/>
      <c r="DT111" s="82"/>
      <c r="DU111" s="82"/>
      <c r="DV111" s="82"/>
      <c r="DW111" s="82"/>
      <c r="DX111" s="82"/>
      <c r="DY111" s="82"/>
      <c r="DZ111" s="82"/>
      <c r="EA111" s="82"/>
      <c r="EB111" s="82"/>
      <c r="EC111" s="82"/>
      <c r="ED111" s="82"/>
      <c r="EE111" s="82"/>
      <c r="EF111" s="82"/>
      <c r="EG111" s="82"/>
      <c r="EH111" s="82"/>
      <c r="EI111" s="82"/>
      <c r="EJ111" s="82"/>
      <c r="EK111" s="82"/>
      <c r="EL111" s="82"/>
      <c r="EM111" s="82"/>
      <c r="EN111" s="82"/>
      <c r="EO111" s="82"/>
      <c r="EP111" s="82"/>
      <c r="EQ111" s="82"/>
      <c r="ER111" s="82"/>
      <c r="ES111" s="82"/>
      <c r="ET111" s="82"/>
      <c r="EU111" s="82"/>
      <c r="EV111" s="82"/>
      <c r="EW111" s="82"/>
      <c r="EX111" s="82"/>
      <c r="EY111" s="82"/>
      <c r="EZ111" s="82"/>
      <c r="FA111" s="82"/>
      <c r="FB111" s="82"/>
      <c r="FC111" s="82"/>
      <c r="FD111" s="82"/>
      <c r="FE111" s="82"/>
      <c r="FF111" s="82"/>
      <c r="FG111" s="82"/>
      <c r="FH111" s="82"/>
      <c r="FI111" s="82"/>
      <c r="FJ111" s="82"/>
      <c r="FK111" s="82"/>
      <c r="FL111" s="82"/>
      <c r="FM111" s="82"/>
      <c r="FN111" s="82"/>
      <c r="FO111" s="82"/>
      <c r="FP111" s="82"/>
      <c r="FQ111" s="82"/>
      <c r="FR111" s="82"/>
      <c r="FS111" s="82"/>
      <c r="FT111" s="82"/>
      <c r="FU111" s="82"/>
      <c r="FV111" s="82"/>
      <c r="FW111" s="82"/>
      <c r="FX111" s="82"/>
      <c r="FY111" s="82"/>
      <c r="FZ111" s="82"/>
      <c r="GA111" s="82"/>
      <c r="GB111" s="82"/>
      <c r="GC111" s="82"/>
      <c r="GD111" s="82"/>
      <c r="GE111" s="82"/>
      <c r="GF111" s="85"/>
    </row>
    <row r="112" ht="29.25" customHeight="1">
      <c r="A112" s="76">
        <v>62.0</v>
      </c>
      <c r="B112" s="76"/>
      <c r="C112" s="88" t="s">
        <v>184</v>
      </c>
      <c r="D112" s="78" t="s">
        <v>96</v>
      </c>
      <c r="E112" s="79">
        <v>12210.0</v>
      </c>
      <c r="F112" s="61" t="s">
        <v>97</v>
      </c>
      <c r="G112" s="81">
        <v>23.0</v>
      </c>
      <c r="H112" s="82">
        <v>280830.0</v>
      </c>
      <c r="I112" s="82"/>
      <c r="J112" s="82"/>
      <c r="K112" s="82">
        <f t="shared" ref="K112:K120" si="752">SUM(I112:J112)</f>
        <v>0</v>
      </c>
      <c r="L112" s="82">
        <f t="shared" ref="L112:L120" si="753">K112*E112</f>
        <v>0</v>
      </c>
      <c r="M112" s="82"/>
      <c r="N112" s="82"/>
      <c r="O112" s="82"/>
      <c r="P112" s="82"/>
      <c r="Q112" s="82"/>
      <c r="R112" s="82"/>
      <c r="S112" s="82"/>
      <c r="T112" s="82"/>
      <c r="U112" s="83">
        <v>2.0</v>
      </c>
      <c r="V112" s="83">
        <v>5.0</v>
      </c>
      <c r="W112" s="82"/>
      <c r="X112" s="82"/>
      <c r="Y112" s="82"/>
      <c r="Z112" s="82"/>
      <c r="AA112" s="82"/>
      <c r="AB112" s="82">
        <f t="shared" ref="AB112:AB120" si="754">SUM(M112:AA112)</f>
        <v>7</v>
      </c>
      <c r="AC112" s="82">
        <f t="shared" ref="AC112:AC120" si="755">AB112*E112</f>
        <v>85470</v>
      </c>
      <c r="AD112" s="82">
        <f t="shared" si="452"/>
        <v>16</v>
      </c>
      <c r="AE112" s="82">
        <f t="shared" ref="AE112:AE120" si="756">AD112*E112</f>
        <v>195360</v>
      </c>
      <c r="AF112" s="82"/>
      <c r="AG112" s="82"/>
      <c r="AH112" s="82">
        <f t="shared" ref="AH112:AH120" si="757">SUM(AF112:AG112)</f>
        <v>0</v>
      </c>
      <c r="AI112" s="82">
        <f t="shared" ref="AI112:AI120" si="758">AH112*E112</f>
        <v>0</v>
      </c>
      <c r="AJ112" s="82"/>
      <c r="AK112" s="82"/>
      <c r="AL112" s="82"/>
      <c r="AM112" s="82"/>
      <c r="AN112" s="82">
        <f t="shared" ref="AN112:AN120" si="759">SUM(AJ112:AM112)</f>
        <v>0</v>
      </c>
      <c r="AO112" s="82">
        <f t="shared" ref="AO112:AO120" si="760">AN112*E112</f>
        <v>0</v>
      </c>
      <c r="AP112" s="82">
        <f t="shared" si="458"/>
        <v>16</v>
      </c>
      <c r="AQ112" s="82">
        <f t="shared" ref="AQ112:AQ120" si="761">AP112*E112</f>
        <v>195360</v>
      </c>
      <c r="AR112" s="82"/>
      <c r="AS112" s="82"/>
      <c r="AT112" s="82"/>
      <c r="AU112" s="82">
        <f t="shared" ref="AU112:AU120" si="762">SUM(AS112:AT112)</f>
        <v>0</v>
      </c>
      <c r="AV112" s="82">
        <f t="shared" ref="AV112:AV120" si="763">AU112*AB112</f>
        <v>0</v>
      </c>
      <c r="AW112" s="82"/>
      <c r="AX112" s="82"/>
      <c r="AY112" s="82"/>
      <c r="AZ112" s="82"/>
      <c r="BA112" s="82">
        <f t="shared" ref="BA112:BA120" si="764">SUM(AW112:AZ112)</f>
        <v>0</v>
      </c>
      <c r="BB112" s="82">
        <f t="shared" ref="BB112:BB120" si="765">BA112*AB112</f>
        <v>0</v>
      </c>
      <c r="BC112" s="82">
        <f t="shared" si="464"/>
        <v>16</v>
      </c>
      <c r="BD112" s="82">
        <f t="shared" ref="BD112:BD120" si="766">BC112*E112</f>
        <v>195360</v>
      </c>
      <c r="BE112" s="82">
        <f t="shared" ref="BE112:BE120" si="767">K112+AH112+AU112</f>
        <v>0</v>
      </c>
      <c r="BF112" s="82">
        <f t="shared" ref="BF112:BF120" si="768">AB112+AN112+BA112</f>
        <v>7</v>
      </c>
      <c r="BG112" s="82">
        <f t="shared" si="468"/>
        <v>16</v>
      </c>
      <c r="BH112" s="82">
        <f t="shared" ref="BH112:BH120" si="769">BG112*E112</f>
        <v>195360</v>
      </c>
      <c r="BI112" s="82"/>
      <c r="BJ112" s="83"/>
      <c r="BK112" s="82">
        <f t="shared" ref="BK112:BK120" si="770">SUM(BI112:BJ112)</f>
        <v>0</v>
      </c>
      <c r="BL112" s="82">
        <f t="shared" ref="BL112:BL120" si="771">BK112*E112</f>
        <v>0</v>
      </c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>
        <f t="shared" ref="BW112:BW120" si="772">SUM(BM112:BV112)</f>
        <v>0</v>
      </c>
      <c r="BX112" s="82">
        <f t="shared" ref="BX112:BX120" si="773">BW112*E112</f>
        <v>0</v>
      </c>
      <c r="BY112" s="82">
        <f t="shared" si="474"/>
        <v>16</v>
      </c>
      <c r="BZ112" s="82">
        <f t="shared" ref="BZ112:BZ120" si="774">BY112*E112</f>
        <v>195360</v>
      </c>
      <c r="CA112" s="82"/>
      <c r="CB112" s="82"/>
      <c r="CC112" s="82">
        <f t="shared" ref="CC112:CC120" si="775">sum(CA112:CB112)</f>
        <v>0</v>
      </c>
      <c r="CD112" s="82">
        <f t="shared" ref="CD112:CD120" si="776">CC112*E112</f>
        <v>0</v>
      </c>
      <c r="CE112" s="82"/>
      <c r="CF112" s="82"/>
      <c r="CG112" s="82"/>
      <c r="CH112" s="82"/>
      <c r="CI112" s="82">
        <f t="shared" ref="CI112:CI120" si="777">sum(CE112:CH112)</f>
        <v>0</v>
      </c>
      <c r="CJ112" s="82">
        <f t="shared" ref="CJ112:CJ120" si="778">CI112*E112</f>
        <v>0</v>
      </c>
      <c r="CK112" s="82">
        <f t="shared" si="480"/>
        <v>16</v>
      </c>
      <c r="CL112" s="82">
        <f t="shared" ref="CL112:CL120" si="779">CK112*E112</f>
        <v>195360</v>
      </c>
      <c r="CM112" s="82"/>
      <c r="CN112" s="82"/>
      <c r="CO112" s="82">
        <f t="shared" si="35"/>
        <v>0</v>
      </c>
      <c r="CP112" s="82">
        <f t="shared" si="36"/>
        <v>0</v>
      </c>
      <c r="CQ112" s="82"/>
      <c r="CR112" s="82"/>
      <c r="CS112" s="82"/>
      <c r="CT112" s="82"/>
      <c r="CU112" s="82">
        <f t="shared" ref="CU112:CU120" si="780">sum(CQ112:CT112)</f>
        <v>0</v>
      </c>
      <c r="CV112" s="82">
        <f t="shared" ref="CV112:CV120" si="781">CU112*E112</f>
        <v>0</v>
      </c>
      <c r="CW112" s="82">
        <f t="shared" si="39"/>
        <v>16</v>
      </c>
      <c r="CX112" s="82">
        <f t="shared" ref="CX112:CX120" si="782">CW112*E112</f>
        <v>195360</v>
      </c>
      <c r="CY112" s="82">
        <f t="shared" si="41"/>
        <v>0</v>
      </c>
      <c r="CZ112" s="82">
        <f t="shared" si="345"/>
        <v>0</v>
      </c>
      <c r="DA112" s="82">
        <f t="shared" si="43"/>
        <v>16</v>
      </c>
      <c r="DB112" s="82">
        <f t="shared" si="44"/>
        <v>195360</v>
      </c>
      <c r="DC112" s="84">
        <v>29.0</v>
      </c>
      <c r="DD112" s="82"/>
      <c r="DE112" s="82"/>
      <c r="DF112" s="82">
        <f t="shared" ref="DF112:DF120" si="783">sum(DD112:DE112)</f>
        <v>0</v>
      </c>
      <c r="DG112" s="82">
        <f t="shared" ref="DG112:DG120" si="784">DF112*E112</f>
        <v>0</v>
      </c>
      <c r="DH112" s="82"/>
      <c r="DI112" s="82"/>
      <c r="DJ112" s="82"/>
      <c r="DK112" s="82"/>
      <c r="DL112" s="82">
        <f t="shared" ref="DL112:DL120" si="785">sum(DH112:DK112)</f>
        <v>0</v>
      </c>
      <c r="DM112" s="82">
        <f t="shared" ref="DM112:DM120" si="786">DL112*E112</f>
        <v>0</v>
      </c>
      <c r="DN112" s="82">
        <f t="shared" ref="DN112:DN120" si="787">DA112+DF112-DL112</f>
        <v>16</v>
      </c>
      <c r="DO112" s="82">
        <f t="shared" ref="DO112:DO120" si="788">DN112*E112</f>
        <v>195360</v>
      </c>
      <c r="DP112" s="82"/>
      <c r="DQ112" s="82"/>
      <c r="DR112" s="82">
        <f t="shared" ref="DR112:DR120" si="789">sum(DP112:DQ112)</f>
        <v>0</v>
      </c>
      <c r="DS112" s="82">
        <f t="shared" ref="DS112:DS120" si="790">DR112*AB112</f>
        <v>0</v>
      </c>
      <c r="DT112" s="82"/>
      <c r="DU112" s="82"/>
      <c r="DV112" s="82"/>
      <c r="DW112" s="82"/>
      <c r="DX112" s="82">
        <f t="shared" ref="DX112:DX120" si="791">sum(DT112:DW112)</f>
        <v>0</v>
      </c>
      <c r="DY112" s="82">
        <f t="shared" ref="DY112:DY120" si="792">DX112*AB112</f>
        <v>0</v>
      </c>
      <c r="DZ112" s="82">
        <f t="shared" ref="DZ112:DZ120" si="793">DN112+DR112-DX112</f>
        <v>16</v>
      </c>
      <c r="EA112" s="82">
        <f t="shared" ref="EA112:EA120" si="794">DZ112*E112</f>
        <v>195360</v>
      </c>
      <c r="EB112" s="82"/>
      <c r="EC112" s="82"/>
      <c r="ED112" s="82">
        <f t="shared" ref="ED112:ED120" si="795">sum(EB112:EC112)</f>
        <v>0</v>
      </c>
      <c r="EE112" s="82">
        <f t="shared" ref="EE112:EE120" si="796">ED112*AN112</f>
        <v>0</v>
      </c>
      <c r="EF112" s="82"/>
      <c r="EG112" s="82"/>
      <c r="EH112" s="82"/>
      <c r="EI112" s="82"/>
      <c r="EJ112" s="82">
        <f t="shared" ref="EJ112:EJ120" si="797">sum(EF112:EI112)</f>
        <v>0</v>
      </c>
      <c r="EK112" s="82">
        <f t="shared" ref="EK112:EK120" si="798">EJ112*AN112</f>
        <v>0</v>
      </c>
      <c r="EL112" s="82">
        <f t="shared" ref="EL112:EL120" si="799">DZ112+ED112-EJ112</f>
        <v>16</v>
      </c>
      <c r="EM112" s="82">
        <f t="shared" ref="EM112:EM120" si="800">EL112*E112</f>
        <v>195360</v>
      </c>
      <c r="EN112" s="82">
        <f t="shared" ref="EN112:EN120" si="801">DF112+DR112+ED112</f>
        <v>0</v>
      </c>
      <c r="EO112" s="82">
        <f t="shared" ref="EO112:EO120" si="802">DL112+DX112+EJ112</f>
        <v>0</v>
      </c>
      <c r="EP112" s="82">
        <f t="shared" ref="EP112:EP120" si="803">DA112+EN112-EO112</f>
        <v>16</v>
      </c>
      <c r="EQ112" s="82">
        <f t="shared" ref="EQ112:EQ120" si="804">EP112*E112</f>
        <v>195360</v>
      </c>
      <c r="ER112" s="82"/>
      <c r="ES112" s="82"/>
      <c r="ET112" s="82">
        <f t="shared" ref="ET112:ET120" si="805">sum(ER112:ES112)</f>
        <v>0</v>
      </c>
      <c r="EU112" s="82">
        <f t="shared" ref="EU112:EU120" si="806">ET112*BE112</f>
        <v>0</v>
      </c>
      <c r="EV112" s="82"/>
      <c r="EW112" s="82"/>
      <c r="EX112" s="82"/>
      <c r="EY112" s="82"/>
      <c r="EZ112" s="82">
        <f t="shared" ref="EZ112:EZ120" si="807">sum(EV112:EY112)</f>
        <v>0</v>
      </c>
      <c r="FA112" s="82">
        <f t="shared" ref="FA112:FA120" si="808">EZ112*BE112</f>
        <v>0</v>
      </c>
      <c r="FB112" s="82">
        <f t="shared" ref="FB112:FB120" si="809">EP112+ET112-EZ112</f>
        <v>16</v>
      </c>
      <c r="FC112" s="82">
        <f t="shared" ref="FC112:FC120" si="810">FB112*E112</f>
        <v>195360</v>
      </c>
      <c r="FD112" s="82"/>
      <c r="FE112" s="82"/>
      <c r="FF112" s="82">
        <f t="shared" ref="FF112:FF120" si="811">sum(FD112:FE112)</f>
        <v>0</v>
      </c>
      <c r="FG112" s="82">
        <f t="shared" ref="FG112:FG120" si="812">FF112*BW112</f>
        <v>0</v>
      </c>
      <c r="FH112" s="82"/>
      <c r="FI112" s="82"/>
      <c r="FJ112" s="82"/>
      <c r="FK112" s="82"/>
      <c r="FL112" s="82">
        <f t="shared" ref="FL112:FL120" si="813">sum(FH112:FK112)</f>
        <v>0</v>
      </c>
      <c r="FM112" s="82">
        <f t="shared" ref="FM112:FM120" si="814">FL112*BW112</f>
        <v>0</v>
      </c>
      <c r="FN112" s="82">
        <f t="shared" ref="FN112:FN120" si="815">FB112+FF112-FL112</f>
        <v>16</v>
      </c>
      <c r="FO112" s="82">
        <f t="shared" ref="FO112:FO120" si="816">FN112*E112</f>
        <v>195360</v>
      </c>
      <c r="FP112" s="82"/>
      <c r="FQ112" s="82"/>
      <c r="FR112" s="82">
        <f t="shared" ref="FR112:FR120" si="817">sum(FP112:FQ112)</f>
        <v>0</v>
      </c>
      <c r="FS112" s="82">
        <f t="shared" ref="FS112:FS120" si="818">FR112*CI112</f>
        <v>0</v>
      </c>
      <c r="FT112" s="82"/>
      <c r="FU112" s="82"/>
      <c r="FV112" s="82"/>
      <c r="FW112" s="82"/>
      <c r="FX112" s="82">
        <f t="shared" ref="FX112:FX120" si="819">sum(FT112:FW112)</f>
        <v>0</v>
      </c>
      <c r="FY112" s="82">
        <f t="shared" ref="FY112:FY120" si="820">FX112*CI112</f>
        <v>0</v>
      </c>
      <c r="FZ112" s="82">
        <f t="shared" ref="FZ112:FZ120" si="821">FN112+FR112-FX112</f>
        <v>16</v>
      </c>
      <c r="GA112" s="82">
        <f t="shared" ref="GA112:GA120" si="822">FZ112*E112</f>
        <v>195360</v>
      </c>
      <c r="GB112" s="82">
        <f t="shared" ref="GB112:GB120" si="823">ET112+FF112+FR112</f>
        <v>0</v>
      </c>
      <c r="GC112" s="82">
        <f t="shared" ref="GC112:GC120" si="824">EZ112+FL112+FX112</f>
        <v>0</v>
      </c>
      <c r="GD112" s="82">
        <f t="shared" ref="GD112:GD120" si="825">EP112+GB112-GC112</f>
        <v>16</v>
      </c>
      <c r="GE112" s="82">
        <f t="shared" ref="GE112:GE120" si="826">GD112*E112</f>
        <v>195360</v>
      </c>
      <c r="GF112" s="85"/>
    </row>
    <row r="113" ht="29.25" customHeight="1">
      <c r="A113" s="16"/>
      <c r="B113" s="16"/>
      <c r="C113" s="16"/>
      <c r="D113" s="78" t="s">
        <v>96</v>
      </c>
      <c r="E113" s="86">
        <v>10811.0</v>
      </c>
      <c r="F113" s="80" t="s">
        <v>86</v>
      </c>
      <c r="G113" s="81">
        <v>20.0</v>
      </c>
      <c r="H113" s="82">
        <v>216220.0</v>
      </c>
      <c r="I113" s="82"/>
      <c r="J113" s="82"/>
      <c r="K113" s="82">
        <f t="shared" si="752"/>
        <v>0</v>
      </c>
      <c r="L113" s="82">
        <f t="shared" si="753"/>
        <v>0</v>
      </c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>
        <f t="shared" si="754"/>
        <v>0</v>
      </c>
      <c r="AC113" s="82">
        <f t="shared" si="755"/>
        <v>0</v>
      </c>
      <c r="AD113" s="82">
        <f t="shared" si="452"/>
        <v>20</v>
      </c>
      <c r="AE113" s="82">
        <f t="shared" si="756"/>
        <v>216220</v>
      </c>
      <c r="AF113" s="82"/>
      <c r="AG113" s="82"/>
      <c r="AH113" s="82">
        <f t="shared" si="757"/>
        <v>0</v>
      </c>
      <c r="AI113" s="82">
        <f t="shared" si="758"/>
        <v>0</v>
      </c>
      <c r="AJ113" s="82"/>
      <c r="AK113" s="82"/>
      <c r="AL113" s="82"/>
      <c r="AM113" s="82"/>
      <c r="AN113" s="82">
        <f t="shared" si="759"/>
        <v>0</v>
      </c>
      <c r="AO113" s="82">
        <f t="shared" si="760"/>
        <v>0</v>
      </c>
      <c r="AP113" s="82">
        <f t="shared" si="458"/>
        <v>20</v>
      </c>
      <c r="AQ113" s="82">
        <f t="shared" si="761"/>
        <v>216220</v>
      </c>
      <c r="AR113" s="82"/>
      <c r="AS113" s="82"/>
      <c r="AT113" s="82"/>
      <c r="AU113" s="82">
        <f t="shared" si="762"/>
        <v>0</v>
      </c>
      <c r="AV113" s="82">
        <f t="shared" si="763"/>
        <v>0</v>
      </c>
      <c r="AW113" s="82"/>
      <c r="AX113" s="82"/>
      <c r="AY113" s="82"/>
      <c r="AZ113" s="82"/>
      <c r="BA113" s="82">
        <f t="shared" si="764"/>
        <v>0</v>
      </c>
      <c r="BB113" s="82">
        <f t="shared" si="765"/>
        <v>0</v>
      </c>
      <c r="BC113" s="82">
        <f t="shared" si="464"/>
        <v>20</v>
      </c>
      <c r="BD113" s="82">
        <f t="shared" si="766"/>
        <v>216220</v>
      </c>
      <c r="BE113" s="82">
        <f t="shared" si="767"/>
        <v>0</v>
      </c>
      <c r="BF113" s="82">
        <f t="shared" si="768"/>
        <v>0</v>
      </c>
      <c r="BG113" s="82">
        <f t="shared" si="468"/>
        <v>20</v>
      </c>
      <c r="BH113" s="82">
        <f t="shared" si="769"/>
        <v>216220</v>
      </c>
      <c r="BI113" s="82"/>
      <c r="BJ113" s="83"/>
      <c r="BK113" s="82">
        <f t="shared" si="770"/>
        <v>0</v>
      </c>
      <c r="BL113" s="82">
        <f t="shared" si="771"/>
        <v>0</v>
      </c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>
        <f t="shared" si="772"/>
        <v>0</v>
      </c>
      <c r="BX113" s="82">
        <f t="shared" si="773"/>
        <v>0</v>
      </c>
      <c r="BY113" s="82">
        <f t="shared" si="474"/>
        <v>20</v>
      </c>
      <c r="BZ113" s="82">
        <f t="shared" si="774"/>
        <v>216220</v>
      </c>
      <c r="CA113" s="82"/>
      <c r="CB113" s="82"/>
      <c r="CC113" s="82">
        <f t="shared" si="775"/>
        <v>0</v>
      </c>
      <c r="CD113" s="82">
        <f t="shared" si="776"/>
        <v>0</v>
      </c>
      <c r="CE113" s="82"/>
      <c r="CF113" s="82"/>
      <c r="CG113" s="82"/>
      <c r="CH113" s="82"/>
      <c r="CI113" s="82">
        <f t="shared" si="777"/>
        <v>0</v>
      </c>
      <c r="CJ113" s="82">
        <f t="shared" si="778"/>
        <v>0</v>
      </c>
      <c r="CK113" s="82">
        <f t="shared" si="480"/>
        <v>20</v>
      </c>
      <c r="CL113" s="82">
        <f t="shared" si="779"/>
        <v>216220</v>
      </c>
      <c r="CM113" s="82"/>
      <c r="CN113" s="82"/>
      <c r="CO113" s="82">
        <f t="shared" si="35"/>
        <v>0</v>
      </c>
      <c r="CP113" s="82">
        <f t="shared" si="36"/>
        <v>0</v>
      </c>
      <c r="CQ113" s="82"/>
      <c r="CR113" s="82"/>
      <c r="CS113" s="82"/>
      <c r="CT113" s="82"/>
      <c r="CU113" s="82">
        <f t="shared" si="780"/>
        <v>0</v>
      </c>
      <c r="CV113" s="82">
        <f t="shared" si="781"/>
        <v>0</v>
      </c>
      <c r="CW113" s="82">
        <f t="shared" si="39"/>
        <v>20</v>
      </c>
      <c r="CX113" s="82">
        <f t="shared" si="782"/>
        <v>216220</v>
      </c>
      <c r="CY113" s="82">
        <f t="shared" si="41"/>
        <v>0</v>
      </c>
      <c r="CZ113" s="82">
        <f t="shared" si="345"/>
        <v>0</v>
      </c>
      <c r="DA113" s="82">
        <f t="shared" si="43"/>
        <v>20</v>
      </c>
      <c r="DB113" s="82">
        <f t="shared" si="44"/>
        <v>216220</v>
      </c>
      <c r="DC113" s="91"/>
      <c r="DD113" s="82"/>
      <c r="DE113" s="82"/>
      <c r="DF113" s="82">
        <f t="shared" si="783"/>
        <v>0</v>
      </c>
      <c r="DG113" s="82">
        <f t="shared" si="784"/>
        <v>0</v>
      </c>
      <c r="DH113" s="82"/>
      <c r="DI113" s="82"/>
      <c r="DJ113" s="82"/>
      <c r="DK113" s="82"/>
      <c r="DL113" s="82">
        <f t="shared" si="785"/>
        <v>0</v>
      </c>
      <c r="DM113" s="82">
        <f t="shared" si="786"/>
        <v>0</v>
      </c>
      <c r="DN113" s="82">
        <f t="shared" si="787"/>
        <v>20</v>
      </c>
      <c r="DO113" s="82">
        <f t="shared" si="788"/>
        <v>216220</v>
      </c>
      <c r="DP113" s="82"/>
      <c r="DQ113" s="82"/>
      <c r="DR113" s="82">
        <f t="shared" si="789"/>
        <v>0</v>
      </c>
      <c r="DS113" s="82">
        <f t="shared" si="790"/>
        <v>0</v>
      </c>
      <c r="DT113" s="82"/>
      <c r="DU113" s="82"/>
      <c r="DV113" s="82"/>
      <c r="DW113" s="82"/>
      <c r="DX113" s="82">
        <f t="shared" si="791"/>
        <v>0</v>
      </c>
      <c r="DY113" s="82">
        <f t="shared" si="792"/>
        <v>0</v>
      </c>
      <c r="DZ113" s="82">
        <f t="shared" si="793"/>
        <v>20</v>
      </c>
      <c r="EA113" s="82">
        <f t="shared" si="794"/>
        <v>216220</v>
      </c>
      <c r="EB113" s="82"/>
      <c r="EC113" s="82"/>
      <c r="ED113" s="82">
        <f t="shared" si="795"/>
        <v>0</v>
      </c>
      <c r="EE113" s="82">
        <f t="shared" si="796"/>
        <v>0</v>
      </c>
      <c r="EF113" s="82"/>
      <c r="EG113" s="82"/>
      <c r="EH113" s="82"/>
      <c r="EI113" s="82"/>
      <c r="EJ113" s="82">
        <f t="shared" si="797"/>
        <v>0</v>
      </c>
      <c r="EK113" s="82">
        <f t="shared" si="798"/>
        <v>0</v>
      </c>
      <c r="EL113" s="82">
        <f t="shared" si="799"/>
        <v>20</v>
      </c>
      <c r="EM113" s="82">
        <f t="shared" si="800"/>
        <v>216220</v>
      </c>
      <c r="EN113" s="82">
        <f t="shared" si="801"/>
        <v>0</v>
      </c>
      <c r="EO113" s="82">
        <f t="shared" si="802"/>
        <v>0</v>
      </c>
      <c r="EP113" s="82">
        <f t="shared" si="803"/>
        <v>20</v>
      </c>
      <c r="EQ113" s="82">
        <f t="shared" si="804"/>
        <v>216220</v>
      </c>
      <c r="ER113" s="82"/>
      <c r="ES113" s="82"/>
      <c r="ET113" s="82">
        <f t="shared" si="805"/>
        <v>0</v>
      </c>
      <c r="EU113" s="82">
        <f t="shared" si="806"/>
        <v>0</v>
      </c>
      <c r="EV113" s="82"/>
      <c r="EW113" s="82"/>
      <c r="EX113" s="82"/>
      <c r="EY113" s="82"/>
      <c r="EZ113" s="82">
        <f t="shared" si="807"/>
        <v>0</v>
      </c>
      <c r="FA113" s="82">
        <f t="shared" si="808"/>
        <v>0</v>
      </c>
      <c r="FB113" s="82">
        <f t="shared" si="809"/>
        <v>20</v>
      </c>
      <c r="FC113" s="82">
        <f t="shared" si="810"/>
        <v>216220</v>
      </c>
      <c r="FD113" s="82"/>
      <c r="FE113" s="82"/>
      <c r="FF113" s="82">
        <f t="shared" si="811"/>
        <v>0</v>
      </c>
      <c r="FG113" s="82">
        <f t="shared" si="812"/>
        <v>0</v>
      </c>
      <c r="FH113" s="82"/>
      <c r="FI113" s="82"/>
      <c r="FJ113" s="82"/>
      <c r="FK113" s="82"/>
      <c r="FL113" s="82">
        <f t="shared" si="813"/>
        <v>0</v>
      </c>
      <c r="FM113" s="82">
        <f t="shared" si="814"/>
        <v>0</v>
      </c>
      <c r="FN113" s="82">
        <f t="shared" si="815"/>
        <v>20</v>
      </c>
      <c r="FO113" s="82">
        <f t="shared" si="816"/>
        <v>216220</v>
      </c>
      <c r="FP113" s="82"/>
      <c r="FQ113" s="82"/>
      <c r="FR113" s="82">
        <f t="shared" si="817"/>
        <v>0</v>
      </c>
      <c r="FS113" s="82">
        <f t="shared" si="818"/>
        <v>0</v>
      </c>
      <c r="FT113" s="82"/>
      <c r="FU113" s="82"/>
      <c r="FV113" s="82"/>
      <c r="FW113" s="82"/>
      <c r="FX113" s="82">
        <f t="shared" si="819"/>
        <v>0</v>
      </c>
      <c r="FY113" s="82">
        <f t="shared" si="820"/>
        <v>0</v>
      </c>
      <c r="FZ113" s="82">
        <f t="shared" si="821"/>
        <v>20</v>
      </c>
      <c r="GA113" s="82">
        <f t="shared" si="822"/>
        <v>216220</v>
      </c>
      <c r="GB113" s="82">
        <f t="shared" si="823"/>
        <v>0</v>
      </c>
      <c r="GC113" s="82">
        <f t="shared" si="824"/>
        <v>0</v>
      </c>
      <c r="GD113" s="82">
        <f t="shared" si="825"/>
        <v>20</v>
      </c>
      <c r="GE113" s="82">
        <f t="shared" si="826"/>
        <v>216220</v>
      </c>
      <c r="GF113" s="85"/>
    </row>
    <row r="114" ht="29.25" customHeight="1">
      <c r="A114" s="76">
        <v>63.0</v>
      </c>
      <c r="B114" s="87"/>
      <c r="C114" s="77" t="s">
        <v>185</v>
      </c>
      <c r="D114" s="78" t="s">
        <v>96</v>
      </c>
      <c r="E114" s="79">
        <v>90187.5</v>
      </c>
      <c r="F114" s="61" t="s">
        <v>92</v>
      </c>
      <c r="G114" s="81">
        <v>2.0</v>
      </c>
      <c r="H114" s="82">
        <v>180375.0</v>
      </c>
      <c r="I114" s="82"/>
      <c r="J114" s="82"/>
      <c r="K114" s="82">
        <f t="shared" si="752"/>
        <v>0</v>
      </c>
      <c r="L114" s="82">
        <f t="shared" si="753"/>
        <v>0</v>
      </c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>
        <f t="shared" si="754"/>
        <v>0</v>
      </c>
      <c r="AC114" s="82">
        <f t="shared" si="755"/>
        <v>0</v>
      </c>
      <c r="AD114" s="82">
        <f t="shared" si="452"/>
        <v>2</v>
      </c>
      <c r="AE114" s="82">
        <f t="shared" si="756"/>
        <v>180375</v>
      </c>
      <c r="AF114" s="82"/>
      <c r="AG114" s="82"/>
      <c r="AH114" s="82">
        <f t="shared" si="757"/>
        <v>0</v>
      </c>
      <c r="AI114" s="82">
        <f t="shared" si="758"/>
        <v>0</v>
      </c>
      <c r="AJ114" s="82"/>
      <c r="AK114" s="82"/>
      <c r="AL114" s="82"/>
      <c r="AM114" s="82"/>
      <c r="AN114" s="82">
        <f t="shared" si="759"/>
        <v>0</v>
      </c>
      <c r="AO114" s="82">
        <f t="shared" si="760"/>
        <v>0</v>
      </c>
      <c r="AP114" s="82">
        <f t="shared" si="458"/>
        <v>2</v>
      </c>
      <c r="AQ114" s="82">
        <f t="shared" si="761"/>
        <v>180375</v>
      </c>
      <c r="AR114" s="82"/>
      <c r="AS114" s="82"/>
      <c r="AT114" s="82"/>
      <c r="AU114" s="82">
        <f t="shared" si="762"/>
        <v>0</v>
      </c>
      <c r="AV114" s="82">
        <f t="shared" si="763"/>
        <v>0</v>
      </c>
      <c r="AW114" s="82"/>
      <c r="AX114" s="82"/>
      <c r="AY114" s="82"/>
      <c r="AZ114" s="82"/>
      <c r="BA114" s="82">
        <f t="shared" si="764"/>
        <v>0</v>
      </c>
      <c r="BB114" s="82">
        <f t="shared" si="765"/>
        <v>0</v>
      </c>
      <c r="BC114" s="82">
        <f t="shared" si="464"/>
        <v>2</v>
      </c>
      <c r="BD114" s="82">
        <f t="shared" si="766"/>
        <v>180375</v>
      </c>
      <c r="BE114" s="82">
        <f t="shared" si="767"/>
        <v>0</v>
      </c>
      <c r="BF114" s="82">
        <f t="shared" si="768"/>
        <v>0</v>
      </c>
      <c r="BG114" s="82">
        <f t="shared" si="468"/>
        <v>2</v>
      </c>
      <c r="BH114" s="82">
        <f t="shared" si="769"/>
        <v>180375</v>
      </c>
      <c r="BI114" s="82"/>
      <c r="BJ114" s="83"/>
      <c r="BK114" s="82">
        <f t="shared" si="770"/>
        <v>0</v>
      </c>
      <c r="BL114" s="82">
        <f t="shared" si="771"/>
        <v>0</v>
      </c>
      <c r="BM114" s="82"/>
      <c r="BN114" s="82"/>
      <c r="BO114" s="82"/>
      <c r="BP114" s="82"/>
      <c r="BQ114" s="82"/>
      <c r="BR114" s="82"/>
      <c r="BS114" s="83">
        <v>2.0</v>
      </c>
      <c r="BT114" s="82"/>
      <c r="BU114" s="82"/>
      <c r="BV114" s="82"/>
      <c r="BW114" s="82">
        <f t="shared" si="772"/>
        <v>2</v>
      </c>
      <c r="BX114" s="82">
        <f t="shared" si="773"/>
        <v>180375</v>
      </c>
      <c r="BY114" s="82">
        <f t="shared" si="474"/>
        <v>0</v>
      </c>
      <c r="BZ114" s="82">
        <f t="shared" si="774"/>
        <v>0</v>
      </c>
      <c r="CA114" s="82"/>
      <c r="CB114" s="82"/>
      <c r="CC114" s="82">
        <f t="shared" si="775"/>
        <v>0</v>
      </c>
      <c r="CD114" s="82">
        <f t="shared" si="776"/>
        <v>0</v>
      </c>
      <c r="CE114" s="82"/>
      <c r="CF114" s="82"/>
      <c r="CG114" s="82"/>
      <c r="CH114" s="82"/>
      <c r="CI114" s="82">
        <f t="shared" si="777"/>
        <v>0</v>
      </c>
      <c r="CJ114" s="82">
        <f t="shared" si="778"/>
        <v>0</v>
      </c>
      <c r="CK114" s="82">
        <f t="shared" si="480"/>
        <v>0</v>
      </c>
      <c r="CL114" s="82">
        <f t="shared" si="779"/>
        <v>0</v>
      </c>
      <c r="CM114" s="82"/>
      <c r="CN114" s="82"/>
      <c r="CO114" s="82">
        <f t="shared" si="35"/>
        <v>0</v>
      </c>
      <c r="CP114" s="82">
        <f t="shared" si="36"/>
        <v>0</v>
      </c>
      <c r="CQ114" s="82"/>
      <c r="CR114" s="82"/>
      <c r="CS114" s="82"/>
      <c r="CT114" s="82"/>
      <c r="CU114" s="82">
        <f t="shared" si="780"/>
        <v>0</v>
      </c>
      <c r="CV114" s="82">
        <f t="shared" si="781"/>
        <v>0</v>
      </c>
      <c r="CW114" s="82">
        <f t="shared" si="39"/>
        <v>0</v>
      </c>
      <c r="CX114" s="82">
        <f t="shared" si="782"/>
        <v>0</v>
      </c>
      <c r="CY114" s="82">
        <f t="shared" si="41"/>
        <v>0</v>
      </c>
      <c r="CZ114" s="82">
        <f t="shared" si="345"/>
        <v>2</v>
      </c>
      <c r="DA114" s="82">
        <f t="shared" si="43"/>
        <v>0</v>
      </c>
      <c r="DB114" s="82">
        <f t="shared" si="44"/>
        <v>0</v>
      </c>
      <c r="DC114" s="84">
        <v>32.0</v>
      </c>
      <c r="DD114" s="82"/>
      <c r="DE114" s="82"/>
      <c r="DF114" s="82">
        <f t="shared" si="783"/>
        <v>0</v>
      </c>
      <c r="DG114" s="82">
        <f t="shared" si="784"/>
        <v>0</v>
      </c>
      <c r="DH114" s="82"/>
      <c r="DI114" s="82"/>
      <c r="DJ114" s="82"/>
      <c r="DK114" s="82"/>
      <c r="DL114" s="82">
        <f t="shared" si="785"/>
        <v>0</v>
      </c>
      <c r="DM114" s="82">
        <f t="shared" si="786"/>
        <v>0</v>
      </c>
      <c r="DN114" s="82">
        <f t="shared" si="787"/>
        <v>0</v>
      </c>
      <c r="DO114" s="82">
        <f t="shared" si="788"/>
        <v>0</v>
      </c>
      <c r="DP114" s="82"/>
      <c r="DQ114" s="82"/>
      <c r="DR114" s="82">
        <f t="shared" si="789"/>
        <v>0</v>
      </c>
      <c r="DS114" s="82">
        <f t="shared" si="790"/>
        <v>0</v>
      </c>
      <c r="DT114" s="82"/>
      <c r="DU114" s="82"/>
      <c r="DV114" s="82"/>
      <c r="DW114" s="82"/>
      <c r="DX114" s="82">
        <f t="shared" si="791"/>
        <v>0</v>
      </c>
      <c r="DY114" s="82">
        <f t="shared" si="792"/>
        <v>0</v>
      </c>
      <c r="DZ114" s="82">
        <f t="shared" si="793"/>
        <v>0</v>
      </c>
      <c r="EA114" s="82">
        <f t="shared" si="794"/>
        <v>0</v>
      </c>
      <c r="EB114" s="82"/>
      <c r="EC114" s="82"/>
      <c r="ED114" s="82">
        <f t="shared" si="795"/>
        <v>0</v>
      </c>
      <c r="EE114" s="82">
        <f t="shared" si="796"/>
        <v>0</v>
      </c>
      <c r="EF114" s="82"/>
      <c r="EG114" s="82"/>
      <c r="EH114" s="82"/>
      <c r="EI114" s="82"/>
      <c r="EJ114" s="82">
        <f t="shared" si="797"/>
        <v>0</v>
      </c>
      <c r="EK114" s="82">
        <f t="shared" si="798"/>
        <v>0</v>
      </c>
      <c r="EL114" s="82">
        <f t="shared" si="799"/>
        <v>0</v>
      </c>
      <c r="EM114" s="82">
        <f t="shared" si="800"/>
        <v>0</v>
      </c>
      <c r="EN114" s="82">
        <f t="shared" si="801"/>
        <v>0</v>
      </c>
      <c r="EO114" s="82">
        <f t="shared" si="802"/>
        <v>0</v>
      </c>
      <c r="EP114" s="82">
        <f t="shared" si="803"/>
        <v>0</v>
      </c>
      <c r="EQ114" s="82">
        <f t="shared" si="804"/>
        <v>0</v>
      </c>
      <c r="ER114" s="82"/>
      <c r="ES114" s="82"/>
      <c r="ET114" s="82">
        <f t="shared" si="805"/>
        <v>0</v>
      </c>
      <c r="EU114" s="82">
        <f t="shared" si="806"/>
        <v>0</v>
      </c>
      <c r="EV114" s="82"/>
      <c r="EW114" s="82"/>
      <c r="EX114" s="82"/>
      <c r="EY114" s="82"/>
      <c r="EZ114" s="82">
        <f t="shared" si="807"/>
        <v>0</v>
      </c>
      <c r="FA114" s="82">
        <f t="shared" si="808"/>
        <v>0</v>
      </c>
      <c r="FB114" s="82">
        <f t="shared" si="809"/>
        <v>0</v>
      </c>
      <c r="FC114" s="82">
        <f t="shared" si="810"/>
        <v>0</v>
      </c>
      <c r="FD114" s="82"/>
      <c r="FE114" s="82"/>
      <c r="FF114" s="82">
        <f t="shared" si="811"/>
        <v>0</v>
      </c>
      <c r="FG114" s="82">
        <f t="shared" si="812"/>
        <v>0</v>
      </c>
      <c r="FH114" s="82"/>
      <c r="FI114" s="82"/>
      <c r="FJ114" s="82"/>
      <c r="FK114" s="82"/>
      <c r="FL114" s="82">
        <f t="shared" si="813"/>
        <v>0</v>
      </c>
      <c r="FM114" s="82">
        <f t="shared" si="814"/>
        <v>0</v>
      </c>
      <c r="FN114" s="82">
        <f t="shared" si="815"/>
        <v>0</v>
      </c>
      <c r="FO114" s="82">
        <f t="shared" si="816"/>
        <v>0</v>
      </c>
      <c r="FP114" s="82"/>
      <c r="FQ114" s="82"/>
      <c r="FR114" s="82">
        <f t="shared" si="817"/>
        <v>0</v>
      </c>
      <c r="FS114" s="82">
        <f t="shared" si="818"/>
        <v>0</v>
      </c>
      <c r="FT114" s="82"/>
      <c r="FU114" s="82"/>
      <c r="FV114" s="82"/>
      <c r="FW114" s="82"/>
      <c r="FX114" s="82">
        <f t="shared" si="819"/>
        <v>0</v>
      </c>
      <c r="FY114" s="82">
        <f t="shared" si="820"/>
        <v>0</v>
      </c>
      <c r="FZ114" s="82">
        <f t="shared" si="821"/>
        <v>0</v>
      </c>
      <c r="GA114" s="82">
        <f t="shared" si="822"/>
        <v>0</v>
      </c>
      <c r="GB114" s="82">
        <f t="shared" si="823"/>
        <v>0</v>
      </c>
      <c r="GC114" s="82">
        <f t="shared" si="824"/>
        <v>0</v>
      </c>
      <c r="GD114" s="82">
        <f t="shared" si="825"/>
        <v>0</v>
      </c>
      <c r="GE114" s="82">
        <f t="shared" si="826"/>
        <v>0</v>
      </c>
      <c r="GF114" s="85"/>
    </row>
    <row r="115" ht="29.25" customHeight="1">
      <c r="A115" s="16"/>
      <c r="B115" s="16"/>
      <c r="C115" s="16"/>
      <c r="D115" s="78" t="s">
        <v>96</v>
      </c>
      <c r="E115" s="79">
        <v>24617.58</v>
      </c>
      <c r="F115" s="61" t="s">
        <v>186</v>
      </c>
      <c r="G115" s="81">
        <v>2.0</v>
      </c>
      <c r="H115" s="82">
        <v>49235.16</v>
      </c>
      <c r="I115" s="82"/>
      <c r="J115" s="82"/>
      <c r="K115" s="82">
        <f t="shared" si="752"/>
        <v>0</v>
      </c>
      <c r="L115" s="82">
        <f t="shared" si="753"/>
        <v>0</v>
      </c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>
        <f t="shared" si="754"/>
        <v>0</v>
      </c>
      <c r="AC115" s="82">
        <f t="shared" si="755"/>
        <v>0</v>
      </c>
      <c r="AD115" s="82">
        <f t="shared" si="452"/>
        <v>2</v>
      </c>
      <c r="AE115" s="82">
        <f t="shared" si="756"/>
        <v>49235.16</v>
      </c>
      <c r="AF115" s="82"/>
      <c r="AG115" s="82"/>
      <c r="AH115" s="82">
        <f t="shared" si="757"/>
        <v>0</v>
      </c>
      <c r="AI115" s="82">
        <f t="shared" si="758"/>
        <v>0</v>
      </c>
      <c r="AJ115" s="82"/>
      <c r="AK115" s="82"/>
      <c r="AL115" s="82"/>
      <c r="AM115" s="82"/>
      <c r="AN115" s="82">
        <f t="shared" si="759"/>
        <v>0</v>
      </c>
      <c r="AO115" s="82">
        <f t="shared" si="760"/>
        <v>0</v>
      </c>
      <c r="AP115" s="82">
        <f t="shared" si="458"/>
        <v>2</v>
      </c>
      <c r="AQ115" s="82">
        <f t="shared" si="761"/>
        <v>49235.16</v>
      </c>
      <c r="AR115" s="82"/>
      <c r="AS115" s="82"/>
      <c r="AT115" s="82"/>
      <c r="AU115" s="82">
        <f t="shared" si="762"/>
        <v>0</v>
      </c>
      <c r="AV115" s="82">
        <f t="shared" si="763"/>
        <v>0</v>
      </c>
      <c r="AW115" s="82"/>
      <c r="AX115" s="82"/>
      <c r="AY115" s="82"/>
      <c r="AZ115" s="82"/>
      <c r="BA115" s="82">
        <f t="shared" si="764"/>
        <v>0</v>
      </c>
      <c r="BB115" s="82">
        <f t="shared" si="765"/>
        <v>0</v>
      </c>
      <c r="BC115" s="82">
        <f t="shared" si="464"/>
        <v>2</v>
      </c>
      <c r="BD115" s="82">
        <f t="shared" si="766"/>
        <v>49235.16</v>
      </c>
      <c r="BE115" s="82">
        <f t="shared" si="767"/>
        <v>0</v>
      </c>
      <c r="BF115" s="82">
        <f t="shared" si="768"/>
        <v>0</v>
      </c>
      <c r="BG115" s="82">
        <f t="shared" si="468"/>
        <v>2</v>
      </c>
      <c r="BH115" s="82">
        <f t="shared" si="769"/>
        <v>49235.16</v>
      </c>
      <c r="BI115" s="82"/>
      <c r="BJ115" s="83"/>
      <c r="BK115" s="82">
        <f t="shared" si="770"/>
        <v>0</v>
      </c>
      <c r="BL115" s="82">
        <f t="shared" si="771"/>
        <v>0</v>
      </c>
      <c r="BM115" s="82"/>
      <c r="BN115" s="82"/>
      <c r="BO115" s="82"/>
      <c r="BP115" s="82"/>
      <c r="BQ115" s="82"/>
      <c r="BR115" s="82"/>
      <c r="BS115" s="83">
        <v>2.0</v>
      </c>
      <c r="BT115" s="82"/>
      <c r="BU115" s="82"/>
      <c r="BV115" s="82"/>
      <c r="BW115" s="82">
        <f t="shared" si="772"/>
        <v>2</v>
      </c>
      <c r="BX115" s="82">
        <f t="shared" si="773"/>
        <v>49235.16</v>
      </c>
      <c r="BY115" s="82">
        <f t="shared" si="474"/>
        <v>0</v>
      </c>
      <c r="BZ115" s="82">
        <f t="shared" si="774"/>
        <v>0</v>
      </c>
      <c r="CA115" s="82"/>
      <c r="CB115" s="82"/>
      <c r="CC115" s="82">
        <f t="shared" si="775"/>
        <v>0</v>
      </c>
      <c r="CD115" s="82">
        <f t="shared" si="776"/>
        <v>0</v>
      </c>
      <c r="CE115" s="82"/>
      <c r="CF115" s="82"/>
      <c r="CG115" s="82"/>
      <c r="CH115" s="82"/>
      <c r="CI115" s="82">
        <f t="shared" si="777"/>
        <v>0</v>
      </c>
      <c r="CJ115" s="82">
        <f t="shared" si="778"/>
        <v>0</v>
      </c>
      <c r="CK115" s="82">
        <f t="shared" si="480"/>
        <v>0</v>
      </c>
      <c r="CL115" s="82">
        <f t="shared" si="779"/>
        <v>0</v>
      </c>
      <c r="CM115" s="82"/>
      <c r="CN115" s="82"/>
      <c r="CO115" s="82">
        <f t="shared" si="35"/>
        <v>0</v>
      </c>
      <c r="CP115" s="82">
        <f t="shared" si="36"/>
        <v>0</v>
      </c>
      <c r="CQ115" s="82"/>
      <c r="CR115" s="82"/>
      <c r="CS115" s="82"/>
      <c r="CT115" s="82"/>
      <c r="CU115" s="82">
        <f t="shared" si="780"/>
        <v>0</v>
      </c>
      <c r="CV115" s="82">
        <f t="shared" si="781"/>
        <v>0</v>
      </c>
      <c r="CW115" s="82">
        <f t="shared" si="39"/>
        <v>0</v>
      </c>
      <c r="CX115" s="82">
        <f t="shared" si="782"/>
        <v>0</v>
      </c>
      <c r="CY115" s="82">
        <f t="shared" si="41"/>
        <v>0</v>
      </c>
      <c r="CZ115" s="82">
        <f t="shared" si="345"/>
        <v>2</v>
      </c>
      <c r="DA115" s="82">
        <f t="shared" si="43"/>
        <v>0</v>
      </c>
      <c r="DB115" s="82">
        <f t="shared" si="44"/>
        <v>0</v>
      </c>
      <c r="DC115" s="91"/>
      <c r="DD115" s="82"/>
      <c r="DE115" s="82"/>
      <c r="DF115" s="82">
        <f t="shared" si="783"/>
        <v>0</v>
      </c>
      <c r="DG115" s="82">
        <f t="shared" si="784"/>
        <v>0</v>
      </c>
      <c r="DH115" s="82"/>
      <c r="DI115" s="82"/>
      <c r="DJ115" s="82"/>
      <c r="DK115" s="82"/>
      <c r="DL115" s="82">
        <f t="shared" si="785"/>
        <v>0</v>
      </c>
      <c r="DM115" s="82">
        <f t="shared" si="786"/>
        <v>0</v>
      </c>
      <c r="DN115" s="82">
        <f t="shared" si="787"/>
        <v>0</v>
      </c>
      <c r="DO115" s="82">
        <f t="shared" si="788"/>
        <v>0</v>
      </c>
      <c r="DP115" s="82"/>
      <c r="DQ115" s="82"/>
      <c r="DR115" s="82">
        <f t="shared" si="789"/>
        <v>0</v>
      </c>
      <c r="DS115" s="82">
        <f t="shared" si="790"/>
        <v>0</v>
      </c>
      <c r="DT115" s="82"/>
      <c r="DU115" s="82"/>
      <c r="DV115" s="82"/>
      <c r="DW115" s="82"/>
      <c r="DX115" s="82">
        <f t="shared" si="791"/>
        <v>0</v>
      </c>
      <c r="DY115" s="82">
        <f t="shared" si="792"/>
        <v>0</v>
      </c>
      <c r="DZ115" s="82">
        <f t="shared" si="793"/>
        <v>0</v>
      </c>
      <c r="EA115" s="82">
        <f t="shared" si="794"/>
        <v>0</v>
      </c>
      <c r="EB115" s="82"/>
      <c r="EC115" s="82"/>
      <c r="ED115" s="82">
        <f t="shared" si="795"/>
        <v>0</v>
      </c>
      <c r="EE115" s="82">
        <f t="shared" si="796"/>
        <v>0</v>
      </c>
      <c r="EF115" s="82"/>
      <c r="EG115" s="82"/>
      <c r="EH115" s="82"/>
      <c r="EI115" s="82"/>
      <c r="EJ115" s="82">
        <f t="shared" si="797"/>
        <v>0</v>
      </c>
      <c r="EK115" s="82">
        <f t="shared" si="798"/>
        <v>0</v>
      </c>
      <c r="EL115" s="82">
        <f t="shared" si="799"/>
        <v>0</v>
      </c>
      <c r="EM115" s="82">
        <f t="shared" si="800"/>
        <v>0</v>
      </c>
      <c r="EN115" s="82">
        <f t="shared" si="801"/>
        <v>0</v>
      </c>
      <c r="EO115" s="82">
        <f t="shared" si="802"/>
        <v>0</v>
      </c>
      <c r="EP115" s="82">
        <f t="shared" si="803"/>
        <v>0</v>
      </c>
      <c r="EQ115" s="82">
        <f t="shared" si="804"/>
        <v>0</v>
      </c>
      <c r="ER115" s="82"/>
      <c r="ES115" s="82"/>
      <c r="ET115" s="82">
        <f t="shared" si="805"/>
        <v>0</v>
      </c>
      <c r="EU115" s="82">
        <f t="shared" si="806"/>
        <v>0</v>
      </c>
      <c r="EV115" s="82"/>
      <c r="EW115" s="82"/>
      <c r="EX115" s="82"/>
      <c r="EY115" s="82"/>
      <c r="EZ115" s="82">
        <f t="shared" si="807"/>
        <v>0</v>
      </c>
      <c r="FA115" s="82">
        <f t="shared" si="808"/>
        <v>0</v>
      </c>
      <c r="FB115" s="82">
        <f t="shared" si="809"/>
        <v>0</v>
      </c>
      <c r="FC115" s="82">
        <f t="shared" si="810"/>
        <v>0</v>
      </c>
      <c r="FD115" s="82"/>
      <c r="FE115" s="82"/>
      <c r="FF115" s="82">
        <f t="shared" si="811"/>
        <v>0</v>
      </c>
      <c r="FG115" s="82">
        <f t="shared" si="812"/>
        <v>0</v>
      </c>
      <c r="FH115" s="82"/>
      <c r="FI115" s="82"/>
      <c r="FJ115" s="82"/>
      <c r="FK115" s="82"/>
      <c r="FL115" s="82">
        <f t="shared" si="813"/>
        <v>0</v>
      </c>
      <c r="FM115" s="82">
        <f t="shared" si="814"/>
        <v>0</v>
      </c>
      <c r="FN115" s="82">
        <f t="shared" si="815"/>
        <v>0</v>
      </c>
      <c r="FO115" s="82">
        <f t="shared" si="816"/>
        <v>0</v>
      </c>
      <c r="FP115" s="82"/>
      <c r="FQ115" s="82"/>
      <c r="FR115" s="82">
        <f t="shared" si="817"/>
        <v>0</v>
      </c>
      <c r="FS115" s="82">
        <f t="shared" si="818"/>
        <v>0</v>
      </c>
      <c r="FT115" s="82"/>
      <c r="FU115" s="82"/>
      <c r="FV115" s="82"/>
      <c r="FW115" s="82"/>
      <c r="FX115" s="82">
        <f t="shared" si="819"/>
        <v>0</v>
      </c>
      <c r="FY115" s="82">
        <f t="shared" si="820"/>
        <v>0</v>
      </c>
      <c r="FZ115" s="82">
        <f t="shared" si="821"/>
        <v>0</v>
      </c>
      <c r="GA115" s="82">
        <f t="shared" si="822"/>
        <v>0</v>
      </c>
      <c r="GB115" s="82">
        <f t="shared" si="823"/>
        <v>0</v>
      </c>
      <c r="GC115" s="82">
        <f t="shared" si="824"/>
        <v>0</v>
      </c>
      <c r="GD115" s="82">
        <f t="shared" si="825"/>
        <v>0</v>
      </c>
      <c r="GE115" s="82">
        <f t="shared" si="826"/>
        <v>0</v>
      </c>
      <c r="GF115" s="85"/>
    </row>
    <row r="116" ht="29.25" customHeight="1">
      <c r="A116" s="50"/>
      <c r="B116" s="50"/>
      <c r="C116" s="50"/>
      <c r="D116" s="78" t="s">
        <v>96</v>
      </c>
      <c r="E116" s="79">
        <v>77700.0</v>
      </c>
      <c r="F116" s="80" t="s">
        <v>94</v>
      </c>
      <c r="G116" s="81">
        <v>34.0</v>
      </c>
      <c r="H116" s="82">
        <v>2641800.0</v>
      </c>
      <c r="I116" s="82"/>
      <c r="J116" s="82"/>
      <c r="K116" s="82">
        <f t="shared" si="752"/>
        <v>0</v>
      </c>
      <c r="L116" s="82">
        <f t="shared" si="753"/>
        <v>0</v>
      </c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>
        <f t="shared" si="754"/>
        <v>0</v>
      </c>
      <c r="AC116" s="82">
        <f t="shared" si="755"/>
        <v>0</v>
      </c>
      <c r="AD116" s="82">
        <f t="shared" si="452"/>
        <v>34</v>
      </c>
      <c r="AE116" s="82">
        <f t="shared" si="756"/>
        <v>2641800</v>
      </c>
      <c r="AF116" s="82"/>
      <c r="AG116" s="82"/>
      <c r="AH116" s="82">
        <f t="shared" si="757"/>
        <v>0</v>
      </c>
      <c r="AI116" s="82">
        <f t="shared" si="758"/>
        <v>0</v>
      </c>
      <c r="AJ116" s="82"/>
      <c r="AK116" s="82"/>
      <c r="AL116" s="82"/>
      <c r="AM116" s="82"/>
      <c r="AN116" s="82">
        <f t="shared" si="759"/>
        <v>0</v>
      </c>
      <c r="AO116" s="82">
        <f t="shared" si="760"/>
        <v>0</v>
      </c>
      <c r="AP116" s="82">
        <f t="shared" si="458"/>
        <v>34</v>
      </c>
      <c r="AQ116" s="82">
        <f t="shared" si="761"/>
        <v>2641800</v>
      </c>
      <c r="AR116" s="82"/>
      <c r="AS116" s="82"/>
      <c r="AT116" s="82"/>
      <c r="AU116" s="82">
        <f t="shared" si="762"/>
        <v>0</v>
      </c>
      <c r="AV116" s="82">
        <f t="shared" si="763"/>
        <v>0</v>
      </c>
      <c r="AW116" s="82"/>
      <c r="AX116" s="82"/>
      <c r="AY116" s="82"/>
      <c r="AZ116" s="82"/>
      <c r="BA116" s="82">
        <f t="shared" si="764"/>
        <v>0</v>
      </c>
      <c r="BB116" s="82">
        <f t="shared" si="765"/>
        <v>0</v>
      </c>
      <c r="BC116" s="82">
        <f t="shared" si="464"/>
        <v>34</v>
      </c>
      <c r="BD116" s="82">
        <f t="shared" si="766"/>
        <v>2641800</v>
      </c>
      <c r="BE116" s="82">
        <f t="shared" si="767"/>
        <v>0</v>
      </c>
      <c r="BF116" s="82">
        <f t="shared" si="768"/>
        <v>0</v>
      </c>
      <c r="BG116" s="82">
        <f t="shared" si="468"/>
        <v>34</v>
      </c>
      <c r="BH116" s="82">
        <f t="shared" si="769"/>
        <v>2641800</v>
      </c>
      <c r="BI116" s="82"/>
      <c r="BJ116" s="83"/>
      <c r="BK116" s="82">
        <f t="shared" si="770"/>
        <v>0</v>
      </c>
      <c r="BL116" s="82">
        <f t="shared" si="771"/>
        <v>0</v>
      </c>
      <c r="BM116" s="82"/>
      <c r="BN116" s="82"/>
      <c r="BO116" s="82"/>
      <c r="BP116" s="82"/>
      <c r="BQ116" s="82"/>
      <c r="BR116" s="82"/>
      <c r="BS116" s="83">
        <v>1.0</v>
      </c>
      <c r="BT116" s="82"/>
      <c r="BU116" s="82"/>
      <c r="BV116" s="82"/>
      <c r="BW116" s="82">
        <f t="shared" si="772"/>
        <v>1</v>
      </c>
      <c r="BX116" s="82">
        <f t="shared" si="773"/>
        <v>77700</v>
      </c>
      <c r="BY116" s="82">
        <f t="shared" si="474"/>
        <v>33</v>
      </c>
      <c r="BZ116" s="82">
        <f t="shared" si="774"/>
        <v>2564100</v>
      </c>
      <c r="CA116" s="82"/>
      <c r="CB116" s="82"/>
      <c r="CC116" s="82">
        <f t="shared" si="775"/>
        <v>0</v>
      </c>
      <c r="CD116" s="82">
        <f t="shared" si="776"/>
        <v>0</v>
      </c>
      <c r="CE116" s="82"/>
      <c r="CF116" s="82"/>
      <c r="CG116" s="82"/>
      <c r="CH116" s="82"/>
      <c r="CI116" s="82">
        <f t="shared" si="777"/>
        <v>0</v>
      </c>
      <c r="CJ116" s="82">
        <f t="shared" si="778"/>
        <v>0</v>
      </c>
      <c r="CK116" s="82">
        <f t="shared" si="480"/>
        <v>33</v>
      </c>
      <c r="CL116" s="82">
        <f t="shared" si="779"/>
        <v>2564100</v>
      </c>
      <c r="CM116" s="82"/>
      <c r="CN116" s="82"/>
      <c r="CO116" s="82">
        <f t="shared" si="35"/>
        <v>0</v>
      </c>
      <c r="CP116" s="82">
        <f t="shared" si="36"/>
        <v>0</v>
      </c>
      <c r="CQ116" s="82"/>
      <c r="CR116" s="82"/>
      <c r="CS116" s="82"/>
      <c r="CT116" s="82"/>
      <c r="CU116" s="82">
        <f t="shared" si="780"/>
        <v>0</v>
      </c>
      <c r="CV116" s="82">
        <f t="shared" si="781"/>
        <v>0</v>
      </c>
      <c r="CW116" s="82">
        <f t="shared" si="39"/>
        <v>33</v>
      </c>
      <c r="CX116" s="82">
        <f t="shared" si="782"/>
        <v>2564100</v>
      </c>
      <c r="CY116" s="82">
        <f t="shared" si="41"/>
        <v>0</v>
      </c>
      <c r="CZ116" s="82">
        <f t="shared" si="345"/>
        <v>1</v>
      </c>
      <c r="DA116" s="82">
        <f t="shared" si="43"/>
        <v>33</v>
      </c>
      <c r="DB116" s="82">
        <f t="shared" si="44"/>
        <v>2564100</v>
      </c>
      <c r="DC116" s="91"/>
      <c r="DD116" s="82"/>
      <c r="DE116" s="82"/>
      <c r="DF116" s="82">
        <f t="shared" si="783"/>
        <v>0</v>
      </c>
      <c r="DG116" s="82">
        <f t="shared" si="784"/>
        <v>0</v>
      </c>
      <c r="DH116" s="82"/>
      <c r="DI116" s="82"/>
      <c r="DJ116" s="82"/>
      <c r="DK116" s="82"/>
      <c r="DL116" s="82">
        <f t="shared" si="785"/>
        <v>0</v>
      </c>
      <c r="DM116" s="82">
        <f t="shared" si="786"/>
        <v>0</v>
      </c>
      <c r="DN116" s="82">
        <f t="shared" si="787"/>
        <v>33</v>
      </c>
      <c r="DO116" s="82">
        <f t="shared" si="788"/>
        <v>2564100</v>
      </c>
      <c r="DP116" s="82"/>
      <c r="DQ116" s="82"/>
      <c r="DR116" s="82">
        <f t="shared" si="789"/>
        <v>0</v>
      </c>
      <c r="DS116" s="82">
        <f t="shared" si="790"/>
        <v>0</v>
      </c>
      <c r="DT116" s="82"/>
      <c r="DU116" s="82"/>
      <c r="DV116" s="82"/>
      <c r="DW116" s="82"/>
      <c r="DX116" s="82">
        <f t="shared" si="791"/>
        <v>0</v>
      </c>
      <c r="DY116" s="82">
        <f t="shared" si="792"/>
        <v>0</v>
      </c>
      <c r="DZ116" s="82">
        <f t="shared" si="793"/>
        <v>33</v>
      </c>
      <c r="EA116" s="82">
        <f t="shared" si="794"/>
        <v>2564100</v>
      </c>
      <c r="EB116" s="82"/>
      <c r="EC116" s="82"/>
      <c r="ED116" s="82">
        <f t="shared" si="795"/>
        <v>0</v>
      </c>
      <c r="EE116" s="82">
        <f t="shared" si="796"/>
        <v>0</v>
      </c>
      <c r="EF116" s="82"/>
      <c r="EG116" s="82"/>
      <c r="EH116" s="82"/>
      <c r="EI116" s="82"/>
      <c r="EJ116" s="82">
        <f t="shared" si="797"/>
        <v>0</v>
      </c>
      <c r="EK116" s="82">
        <f t="shared" si="798"/>
        <v>0</v>
      </c>
      <c r="EL116" s="82">
        <f t="shared" si="799"/>
        <v>33</v>
      </c>
      <c r="EM116" s="82">
        <f t="shared" si="800"/>
        <v>2564100</v>
      </c>
      <c r="EN116" s="82">
        <f t="shared" si="801"/>
        <v>0</v>
      </c>
      <c r="EO116" s="82">
        <f t="shared" si="802"/>
        <v>0</v>
      </c>
      <c r="EP116" s="82">
        <f t="shared" si="803"/>
        <v>33</v>
      </c>
      <c r="EQ116" s="82">
        <f t="shared" si="804"/>
        <v>2564100</v>
      </c>
      <c r="ER116" s="82"/>
      <c r="ES116" s="82"/>
      <c r="ET116" s="82">
        <f t="shared" si="805"/>
        <v>0</v>
      </c>
      <c r="EU116" s="82">
        <f t="shared" si="806"/>
        <v>0</v>
      </c>
      <c r="EV116" s="82"/>
      <c r="EW116" s="82"/>
      <c r="EX116" s="82"/>
      <c r="EY116" s="82"/>
      <c r="EZ116" s="82">
        <f t="shared" si="807"/>
        <v>0</v>
      </c>
      <c r="FA116" s="82">
        <f t="shared" si="808"/>
        <v>0</v>
      </c>
      <c r="FB116" s="82">
        <f t="shared" si="809"/>
        <v>33</v>
      </c>
      <c r="FC116" s="82">
        <f t="shared" si="810"/>
        <v>2564100</v>
      </c>
      <c r="FD116" s="82"/>
      <c r="FE116" s="82"/>
      <c r="FF116" s="82">
        <f t="shared" si="811"/>
        <v>0</v>
      </c>
      <c r="FG116" s="82">
        <f t="shared" si="812"/>
        <v>0</v>
      </c>
      <c r="FH116" s="82"/>
      <c r="FI116" s="82"/>
      <c r="FJ116" s="82"/>
      <c r="FK116" s="82"/>
      <c r="FL116" s="82">
        <f t="shared" si="813"/>
        <v>0</v>
      </c>
      <c r="FM116" s="82">
        <f t="shared" si="814"/>
        <v>0</v>
      </c>
      <c r="FN116" s="82">
        <f t="shared" si="815"/>
        <v>33</v>
      </c>
      <c r="FO116" s="82">
        <f t="shared" si="816"/>
        <v>2564100</v>
      </c>
      <c r="FP116" s="82"/>
      <c r="FQ116" s="82"/>
      <c r="FR116" s="82">
        <f t="shared" si="817"/>
        <v>0</v>
      </c>
      <c r="FS116" s="82">
        <f t="shared" si="818"/>
        <v>0</v>
      </c>
      <c r="FT116" s="82"/>
      <c r="FU116" s="82"/>
      <c r="FV116" s="82"/>
      <c r="FW116" s="82"/>
      <c r="FX116" s="82">
        <f t="shared" si="819"/>
        <v>0</v>
      </c>
      <c r="FY116" s="82">
        <f t="shared" si="820"/>
        <v>0</v>
      </c>
      <c r="FZ116" s="82">
        <f t="shared" si="821"/>
        <v>33</v>
      </c>
      <c r="GA116" s="82">
        <f t="shared" si="822"/>
        <v>2564100</v>
      </c>
      <c r="GB116" s="82">
        <f t="shared" si="823"/>
        <v>0</v>
      </c>
      <c r="GC116" s="82">
        <f t="shared" si="824"/>
        <v>0</v>
      </c>
      <c r="GD116" s="82">
        <f t="shared" si="825"/>
        <v>33</v>
      </c>
      <c r="GE116" s="82">
        <f t="shared" si="826"/>
        <v>2564100</v>
      </c>
      <c r="GF116" s="85"/>
    </row>
    <row r="117" ht="29.25" customHeight="1">
      <c r="A117" s="76">
        <v>64.0</v>
      </c>
      <c r="B117" s="87"/>
      <c r="C117" s="77" t="s">
        <v>187</v>
      </c>
      <c r="D117" s="78" t="s">
        <v>96</v>
      </c>
      <c r="E117" s="79">
        <v>22200.0</v>
      </c>
      <c r="F117" s="80" t="s">
        <v>94</v>
      </c>
      <c r="G117" s="81">
        <v>34.0</v>
      </c>
      <c r="H117" s="82">
        <v>754800.0</v>
      </c>
      <c r="I117" s="82"/>
      <c r="J117" s="82"/>
      <c r="K117" s="82">
        <f t="shared" si="752"/>
        <v>0</v>
      </c>
      <c r="L117" s="82">
        <f t="shared" si="753"/>
        <v>0</v>
      </c>
      <c r="M117" s="82"/>
      <c r="N117" s="82"/>
      <c r="O117" s="82"/>
      <c r="P117" s="82"/>
      <c r="Q117" s="82"/>
      <c r="R117" s="82"/>
      <c r="S117" s="82"/>
      <c r="T117" s="82"/>
      <c r="U117" s="82"/>
      <c r="V117" s="83">
        <v>2.0</v>
      </c>
      <c r="W117" s="82"/>
      <c r="X117" s="82"/>
      <c r="Y117" s="82"/>
      <c r="Z117" s="83">
        <v>1.0</v>
      </c>
      <c r="AA117" s="82"/>
      <c r="AB117" s="82">
        <f t="shared" si="754"/>
        <v>3</v>
      </c>
      <c r="AC117" s="82">
        <f t="shared" si="755"/>
        <v>66600</v>
      </c>
      <c r="AD117" s="82">
        <f t="shared" si="452"/>
        <v>31</v>
      </c>
      <c r="AE117" s="82">
        <f t="shared" si="756"/>
        <v>688200</v>
      </c>
      <c r="AF117" s="82"/>
      <c r="AG117" s="82"/>
      <c r="AH117" s="82">
        <f t="shared" si="757"/>
        <v>0</v>
      </c>
      <c r="AI117" s="82">
        <f t="shared" si="758"/>
        <v>0</v>
      </c>
      <c r="AJ117" s="82"/>
      <c r="AK117" s="82"/>
      <c r="AL117" s="82"/>
      <c r="AM117" s="82"/>
      <c r="AN117" s="82">
        <f t="shared" si="759"/>
        <v>0</v>
      </c>
      <c r="AO117" s="82">
        <f t="shared" si="760"/>
        <v>0</v>
      </c>
      <c r="AP117" s="82">
        <f t="shared" si="458"/>
        <v>31</v>
      </c>
      <c r="AQ117" s="82">
        <f t="shared" si="761"/>
        <v>688200</v>
      </c>
      <c r="AR117" s="82"/>
      <c r="AS117" s="82"/>
      <c r="AT117" s="82"/>
      <c r="AU117" s="82">
        <f t="shared" si="762"/>
        <v>0</v>
      </c>
      <c r="AV117" s="82">
        <f t="shared" si="763"/>
        <v>0</v>
      </c>
      <c r="AW117" s="82"/>
      <c r="AX117" s="82"/>
      <c r="AY117" s="82"/>
      <c r="AZ117" s="82"/>
      <c r="BA117" s="82">
        <f t="shared" si="764"/>
        <v>0</v>
      </c>
      <c r="BB117" s="82">
        <f t="shared" si="765"/>
        <v>0</v>
      </c>
      <c r="BC117" s="82">
        <f t="shared" si="464"/>
        <v>31</v>
      </c>
      <c r="BD117" s="82">
        <f t="shared" si="766"/>
        <v>688200</v>
      </c>
      <c r="BE117" s="82">
        <f t="shared" si="767"/>
        <v>0</v>
      </c>
      <c r="BF117" s="82">
        <f t="shared" si="768"/>
        <v>3</v>
      </c>
      <c r="BG117" s="82">
        <f t="shared" si="468"/>
        <v>31</v>
      </c>
      <c r="BH117" s="82">
        <f t="shared" si="769"/>
        <v>688200</v>
      </c>
      <c r="BI117" s="82"/>
      <c r="BJ117" s="83"/>
      <c r="BK117" s="82">
        <f t="shared" si="770"/>
        <v>0</v>
      </c>
      <c r="BL117" s="82">
        <f t="shared" si="771"/>
        <v>0</v>
      </c>
      <c r="BM117" s="82"/>
      <c r="BN117" s="83">
        <v>2.0</v>
      </c>
      <c r="BO117" s="82"/>
      <c r="BP117" s="82"/>
      <c r="BQ117" s="82"/>
      <c r="BR117" s="82"/>
      <c r="BS117" s="82"/>
      <c r="BT117" s="82"/>
      <c r="BU117" s="82"/>
      <c r="BV117" s="83">
        <v>2.0</v>
      </c>
      <c r="BW117" s="82">
        <f t="shared" si="772"/>
        <v>4</v>
      </c>
      <c r="BX117" s="82">
        <f t="shared" si="773"/>
        <v>88800</v>
      </c>
      <c r="BY117" s="82">
        <f t="shared" si="474"/>
        <v>27</v>
      </c>
      <c r="BZ117" s="82">
        <f t="shared" si="774"/>
        <v>599400</v>
      </c>
      <c r="CA117" s="82"/>
      <c r="CB117" s="82"/>
      <c r="CC117" s="82">
        <f t="shared" si="775"/>
        <v>0</v>
      </c>
      <c r="CD117" s="82">
        <f t="shared" si="776"/>
        <v>0</v>
      </c>
      <c r="CE117" s="82"/>
      <c r="CF117" s="82"/>
      <c r="CG117" s="82"/>
      <c r="CH117" s="82"/>
      <c r="CI117" s="82">
        <f t="shared" si="777"/>
        <v>0</v>
      </c>
      <c r="CJ117" s="82">
        <f t="shared" si="778"/>
        <v>0</v>
      </c>
      <c r="CK117" s="82">
        <f t="shared" si="480"/>
        <v>27</v>
      </c>
      <c r="CL117" s="82">
        <f t="shared" si="779"/>
        <v>599400</v>
      </c>
      <c r="CM117" s="82"/>
      <c r="CN117" s="82"/>
      <c r="CO117" s="82">
        <f t="shared" si="35"/>
        <v>0</v>
      </c>
      <c r="CP117" s="82">
        <f t="shared" si="36"/>
        <v>0</v>
      </c>
      <c r="CQ117" s="82"/>
      <c r="CR117" s="82"/>
      <c r="CS117" s="82"/>
      <c r="CT117" s="82"/>
      <c r="CU117" s="82">
        <f t="shared" si="780"/>
        <v>0</v>
      </c>
      <c r="CV117" s="82">
        <f t="shared" si="781"/>
        <v>0</v>
      </c>
      <c r="CW117" s="82">
        <f t="shared" si="39"/>
        <v>27</v>
      </c>
      <c r="CX117" s="82">
        <f t="shared" si="782"/>
        <v>599400</v>
      </c>
      <c r="CY117" s="82">
        <f t="shared" si="41"/>
        <v>0</v>
      </c>
      <c r="CZ117" s="82">
        <f t="shared" si="345"/>
        <v>4</v>
      </c>
      <c r="DA117" s="82">
        <f t="shared" si="43"/>
        <v>27</v>
      </c>
      <c r="DB117" s="82">
        <f t="shared" si="44"/>
        <v>599400</v>
      </c>
      <c r="DC117" s="84">
        <v>11.0</v>
      </c>
      <c r="DD117" s="82"/>
      <c r="DE117" s="82"/>
      <c r="DF117" s="82">
        <f t="shared" si="783"/>
        <v>0</v>
      </c>
      <c r="DG117" s="82">
        <f t="shared" si="784"/>
        <v>0</v>
      </c>
      <c r="DH117" s="82"/>
      <c r="DI117" s="82"/>
      <c r="DJ117" s="82"/>
      <c r="DK117" s="82"/>
      <c r="DL117" s="82">
        <f t="shared" si="785"/>
        <v>0</v>
      </c>
      <c r="DM117" s="82">
        <f t="shared" si="786"/>
        <v>0</v>
      </c>
      <c r="DN117" s="82">
        <f t="shared" si="787"/>
        <v>27</v>
      </c>
      <c r="DO117" s="82">
        <f t="shared" si="788"/>
        <v>599400</v>
      </c>
      <c r="DP117" s="82"/>
      <c r="DQ117" s="82"/>
      <c r="DR117" s="82">
        <f t="shared" si="789"/>
        <v>0</v>
      </c>
      <c r="DS117" s="82">
        <f t="shared" si="790"/>
        <v>0</v>
      </c>
      <c r="DT117" s="82"/>
      <c r="DU117" s="82"/>
      <c r="DV117" s="82"/>
      <c r="DW117" s="82"/>
      <c r="DX117" s="82">
        <f t="shared" si="791"/>
        <v>0</v>
      </c>
      <c r="DY117" s="82">
        <f t="shared" si="792"/>
        <v>0</v>
      </c>
      <c r="DZ117" s="82">
        <f t="shared" si="793"/>
        <v>27</v>
      </c>
      <c r="EA117" s="82">
        <f t="shared" si="794"/>
        <v>599400</v>
      </c>
      <c r="EB117" s="82"/>
      <c r="EC117" s="82"/>
      <c r="ED117" s="82">
        <f t="shared" si="795"/>
        <v>0</v>
      </c>
      <c r="EE117" s="82">
        <f t="shared" si="796"/>
        <v>0</v>
      </c>
      <c r="EF117" s="82"/>
      <c r="EG117" s="82"/>
      <c r="EH117" s="82"/>
      <c r="EI117" s="82"/>
      <c r="EJ117" s="82">
        <f t="shared" si="797"/>
        <v>0</v>
      </c>
      <c r="EK117" s="82">
        <f t="shared" si="798"/>
        <v>0</v>
      </c>
      <c r="EL117" s="82">
        <f t="shared" si="799"/>
        <v>27</v>
      </c>
      <c r="EM117" s="82">
        <f t="shared" si="800"/>
        <v>599400</v>
      </c>
      <c r="EN117" s="82">
        <f t="shared" si="801"/>
        <v>0</v>
      </c>
      <c r="EO117" s="82">
        <f t="shared" si="802"/>
        <v>0</v>
      </c>
      <c r="EP117" s="82">
        <f t="shared" si="803"/>
        <v>27</v>
      </c>
      <c r="EQ117" s="82">
        <f t="shared" si="804"/>
        <v>599400</v>
      </c>
      <c r="ER117" s="82"/>
      <c r="ES117" s="82"/>
      <c r="ET117" s="82">
        <f t="shared" si="805"/>
        <v>0</v>
      </c>
      <c r="EU117" s="82">
        <f t="shared" si="806"/>
        <v>0</v>
      </c>
      <c r="EV117" s="82"/>
      <c r="EW117" s="82"/>
      <c r="EX117" s="82"/>
      <c r="EY117" s="82"/>
      <c r="EZ117" s="82">
        <f t="shared" si="807"/>
        <v>0</v>
      </c>
      <c r="FA117" s="82">
        <f t="shared" si="808"/>
        <v>0</v>
      </c>
      <c r="FB117" s="82">
        <f t="shared" si="809"/>
        <v>27</v>
      </c>
      <c r="FC117" s="82">
        <f t="shared" si="810"/>
        <v>599400</v>
      </c>
      <c r="FD117" s="82"/>
      <c r="FE117" s="82"/>
      <c r="FF117" s="82">
        <f t="shared" si="811"/>
        <v>0</v>
      </c>
      <c r="FG117" s="82">
        <f t="shared" si="812"/>
        <v>0</v>
      </c>
      <c r="FH117" s="82"/>
      <c r="FI117" s="82"/>
      <c r="FJ117" s="82"/>
      <c r="FK117" s="82"/>
      <c r="FL117" s="82">
        <f t="shared" si="813"/>
        <v>0</v>
      </c>
      <c r="FM117" s="82">
        <f t="shared" si="814"/>
        <v>0</v>
      </c>
      <c r="FN117" s="82">
        <f t="shared" si="815"/>
        <v>27</v>
      </c>
      <c r="FO117" s="82">
        <f t="shared" si="816"/>
        <v>599400</v>
      </c>
      <c r="FP117" s="82"/>
      <c r="FQ117" s="82"/>
      <c r="FR117" s="82">
        <f t="shared" si="817"/>
        <v>0</v>
      </c>
      <c r="FS117" s="82">
        <f t="shared" si="818"/>
        <v>0</v>
      </c>
      <c r="FT117" s="82"/>
      <c r="FU117" s="82"/>
      <c r="FV117" s="82"/>
      <c r="FW117" s="82"/>
      <c r="FX117" s="82">
        <f t="shared" si="819"/>
        <v>0</v>
      </c>
      <c r="FY117" s="82">
        <f t="shared" si="820"/>
        <v>0</v>
      </c>
      <c r="FZ117" s="82">
        <f t="shared" si="821"/>
        <v>27</v>
      </c>
      <c r="GA117" s="82">
        <f t="shared" si="822"/>
        <v>599400</v>
      </c>
      <c r="GB117" s="82">
        <f t="shared" si="823"/>
        <v>0</v>
      </c>
      <c r="GC117" s="82">
        <f t="shared" si="824"/>
        <v>0</v>
      </c>
      <c r="GD117" s="82">
        <f t="shared" si="825"/>
        <v>27</v>
      </c>
      <c r="GE117" s="82">
        <f t="shared" si="826"/>
        <v>599400</v>
      </c>
      <c r="GF117" s="85"/>
    </row>
    <row r="118" ht="29.25" customHeight="1">
      <c r="A118" s="76">
        <v>65.0</v>
      </c>
      <c r="B118" s="87"/>
      <c r="C118" s="77" t="s">
        <v>188</v>
      </c>
      <c r="D118" s="78" t="s">
        <v>121</v>
      </c>
      <c r="E118" s="79">
        <v>7270.5</v>
      </c>
      <c r="F118" s="61" t="s">
        <v>97</v>
      </c>
      <c r="G118" s="81">
        <v>17.0</v>
      </c>
      <c r="H118" s="82">
        <v>123598.5</v>
      </c>
      <c r="I118" s="82"/>
      <c r="J118" s="82"/>
      <c r="K118" s="82">
        <f t="shared" si="752"/>
        <v>0</v>
      </c>
      <c r="L118" s="82">
        <f t="shared" si="753"/>
        <v>0</v>
      </c>
      <c r="M118" s="82"/>
      <c r="N118" s="83">
        <v>1.0</v>
      </c>
      <c r="O118" s="82"/>
      <c r="P118" s="82"/>
      <c r="Q118" s="82"/>
      <c r="R118" s="82"/>
      <c r="S118" s="82"/>
      <c r="T118" s="82"/>
      <c r="U118" s="83">
        <v>2.0</v>
      </c>
      <c r="V118" s="82"/>
      <c r="W118" s="82"/>
      <c r="X118" s="82"/>
      <c r="Y118" s="82"/>
      <c r="Z118" s="82"/>
      <c r="AA118" s="82"/>
      <c r="AB118" s="82">
        <f t="shared" si="754"/>
        <v>3</v>
      </c>
      <c r="AC118" s="82">
        <f t="shared" si="755"/>
        <v>21811.5</v>
      </c>
      <c r="AD118" s="82">
        <f t="shared" si="452"/>
        <v>14</v>
      </c>
      <c r="AE118" s="82">
        <f t="shared" si="756"/>
        <v>101787</v>
      </c>
      <c r="AF118" s="82"/>
      <c r="AG118" s="82"/>
      <c r="AH118" s="82">
        <f t="shared" si="757"/>
        <v>0</v>
      </c>
      <c r="AI118" s="82">
        <f t="shared" si="758"/>
        <v>0</v>
      </c>
      <c r="AJ118" s="82"/>
      <c r="AK118" s="82"/>
      <c r="AL118" s="82"/>
      <c r="AM118" s="82"/>
      <c r="AN118" s="82">
        <f t="shared" si="759"/>
        <v>0</v>
      </c>
      <c r="AO118" s="82">
        <f t="shared" si="760"/>
        <v>0</v>
      </c>
      <c r="AP118" s="82">
        <f t="shared" si="458"/>
        <v>14</v>
      </c>
      <c r="AQ118" s="82">
        <f t="shared" si="761"/>
        <v>101787</v>
      </c>
      <c r="AR118" s="82"/>
      <c r="AS118" s="82"/>
      <c r="AT118" s="82"/>
      <c r="AU118" s="82">
        <f t="shared" si="762"/>
        <v>0</v>
      </c>
      <c r="AV118" s="82">
        <f t="shared" si="763"/>
        <v>0</v>
      </c>
      <c r="AW118" s="82"/>
      <c r="AX118" s="82"/>
      <c r="AY118" s="82"/>
      <c r="AZ118" s="82"/>
      <c r="BA118" s="82">
        <f t="shared" si="764"/>
        <v>0</v>
      </c>
      <c r="BB118" s="82">
        <f t="shared" si="765"/>
        <v>0</v>
      </c>
      <c r="BC118" s="82">
        <f t="shared" si="464"/>
        <v>14</v>
      </c>
      <c r="BD118" s="82">
        <f t="shared" si="766"/>
        <v>101787</v>
      </c>
      <c r="BE118" s="82">
        <f t="shared" si="767"/>
        <v>0</v>
      </c>
      <c r="BF118" s="82">
        <f t="shared" si="768"/>
        <v>3</v>
      </c>
      <c r="BG118" s="82">
        <f t="shared" si="468"/>
        <v>14</v>
      </c>
      <c r="BH118" s="82">
        <f t="shared" si="769"/>
        <v>101787</v>
      </c>
      <c r="BI118" s="82"/>
      <c r="BJ118" s="83"/>
      <c r="BK118" s="82">
        <f t="shared" si="770"/>
        <v>0</v>
      </c>
      <c r="BL118" s="82">
        <f t="shared" si="771"/>
        <v>0</v>
      </c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>
        <f t="shared" si="772"/>
        <v>0</v>
      </c>
      <c r="BX118" s="82">
        <f t="shared" si="773"/>
        <v>0</v>
      </c>
      <c r="BY118" s="82">
        <f t="shared" si="474"/>
        <v>14</v>
      </c>
      <c r="BZ118" s="82">
        <f t="shared" si="774"/>
        <v>101787</v>
      </c>
      <c r="CA118" s="82"/>
      <c r="CB118" s="82"/>
      <c r="CC118" s="82">
        <f t="shared" si="775"/>
        <v>0</v>
      </c>
      <c r="CD118" s="82">
        <f t="shared" si="776"/>
        <v>0</v>
      </c>
      <c r="CE118" s="82"/>
      <c r="CF118" s="82"/>
      <c r="CG118" s="82"/>
      <c r="CH118" s="82"/>
      <c r="CI118" s="82">
        <f t="shared" si="777"/>
        <v>0</v>
      </c>
      <c r="CJ118" s="82">
        <f t="shared" si="778"/>
        <v>0</v>
      </c>
      <c r="CK118" s="82">
        <f t="shared" si="480"/>
        <v>14</v>
      </c>
      <c r="CL118" s="82">
        <f t="shared" si="779"/>
        <v>101787</v>
      </c>
      <c r="CM118" s="82"/>
      <c r="CN118" s="82"/>
      <c r="CO118" s="82">
        <f t="shared" si="35"/>
        <v>0</v>
      </c>
      <c r="CP118" s="82">
        <f t="shared" si="36"/>
        <v>0</v>
      </c>
      <c r="CQ118" s="82"/>
      <c r="CR118" s="82"/>
      <c r="CS118" s="82"/>
      <c r="CT118" s="82"/>
      <c r="CU118" s="82">
        <f t="shared" si="780"/>
        <v>0</v>
      </c>
      <c r="CV118" s="82">
        <f t="shared" si="781"/>
        <v>0</v>
      </c>
      <c r="CW118" s="82">
        <f t="shared" si="39"/>
        <v>14</v>
      </c>
      <c r="CX118" s="82">
        <f t="shared" si="782"/>
        <v>101787</v>
      </c>
      <c r="CY118" s="82">
        <f t="shared" si="41"/>
        <v>0</v>
      </c>
      <c r="CZ118" s="82">
        <f t="shared" si="345"/>
        <v>0</v>
      </c>
      <c r="DA118" s="82">
        <f t="shared" si="43"/>
        <v>14</v>
      </c>
      <c r="DB118" s="82">
        <f t="shared" si="44"/>
        <v>101787</v>
      </c>
      <c r="DC118" s="84">
        <v>40.0</v>
      </c>
      <c r="DD118" s="82"/>
      <c r="DE118" s="82"/>
      <c r="DF118" s="82">
        <f t="shared" si="783"/>
        <v>0</v>
      </c>
      <c r="DG118" s="82">
        <f t="shared" si="784"/>
        <v>0</v>
      </c>
      <c r="DH118" s="82"/>
      <c r="DI118" s="82"/>
      <c r="DJ118" s="82"/>
      <c r="DK118" s="82"/>
      <c r="DL118" s="82">
        <f t="shared" si="785"/>
        <v>0</v>
      </c>
      <c r="DM118" s="82">
        <f t="shared" si="786"/>
        <v>0</v>
      </c>
      <c r="DN118" s="82">
        <f t="shared" si="787"/>
        <v>14</v>
      </c>
      <c r="DO118" s="82">
        <f t="shared" si="788"/>
        <v>101787</v>
      </c>
      <c r="DP118" s="82"/>
      <c r="DQ118" s="82"/>
      <c r="DR118" s="82">
        <f t="shared" si="789"/>
        <v>0</v>
      </c>
      <c r="DS118" s="82">
        <f t="shared" si="790"/>
        <v>0</v>
      </c>
      <c r="DT118" s="82"/>
      <c r="DU118" s="82"/>
      <c r="DV118" s="82"/>
      <c r="DW118" s="82"/>
      <c r="DX118" s="82">
        <f t="shared" si="791"/>
        <v>0</v>
      </c>
      <c r="DY118" s="82">
        <f t="shared" si="792"/>
        <v>0</v>
      </c>
      <c r="DZ118" s="82">
        <f t="shared" si="793"/>
        <v>14</v>
      </c>
      <c r="EA118" s="82">
        <f t="shared" si="794"/>
        <v>101787</v>
      </c>
      <c r="EB118" s="82"/>
      <c r="EC118" s="82"/>
      <c r="ED118" s="82">
        <f t="shared" si="795"/>
        <v>0</v>
      </c>
      <c r="EE118" s="82">
        <f t="shared" si="796"/>
        <v>0</v>
      </c>
      <c r="EF118" s="82"/>
      <c r="EG118" s="82"/>
      <c r="EH118" s="82"/>
      <c r="EI118" s="82"/>
      <c r="EJ118" s="82">
        <f t="shared" si="797"/>
        <v>0</v>
      </c>
      <c r="EK118" s="82">
        <f t="shared" si="798"/>
        <v>0</v>
      </c>
      <c r="EL118" s="82">
        <f t="shared" si="799"/>
        <v>14</v>
      </c>
      <c r="EM118" s="82">
        <f t="shared" si="800"/>
        <v>101787</v>
      </c>
      <c r="EN118" s="82">
        <f t="shared" si="801"/>
        <v>0</v>
      </c>
      <c r="EO118" s="82">
        <f t="shared" si="802"/>
        <v>0</v>
      </c>
      <c r="EP118" s="82">
        <f t="shared" si="803"/>
        <v>14</v>
      </c>
      <c r="EQ118" s="82">
        <f t="shared" si="804"/>
        <v>101787</v>
      </c>
      <c r="ER118" s="82"/>
      <c r="ES118" s="82"/>
      <c r="ET118" s="82">
        <f t="shared" si="805"/>
        <v>0</v>
      </c>
      <c r="EU118" s="82">
        <f t="shared" si="806"/>
        <v>0</v>
      </c>
      <c r="EV118" s="82"/>
      <c r="EW118" s="82"/>
      <c r="EX118" s="82"/>
      <c r="EY118" s="82"/>
      <c r="EZ118" s="82">
        <f t="shared" si="807"/>
        <v>0</v>
      </c>
      <c r="FA118" s="82">
        <f t="shared" si="808"/>
        <v>0</v>
      </c>
      <c r="FB118" s="82">
        <f t="shared" si="809"/>
        <v>14</v>
      </c>
      <c r="FC118" s="82">
        <f t="shared" si="810"/>
        <v>101787</v>
      </c>
      <c r="FD118" s="82"/>
      <c r="FE118" s="82"/>
      <c r="FF118" s="82">
        <f t="shared" si="811"/>
        <v>0</v>
      </c>
      <c r="FG118" s="82">
        <f t="shared" si="812"/>
        <v>0</v>
      </c>
      <c r="FH118" s="82"/>
      <c r="FI118" s="82"/>
      <c r="FJ118" s="82"/>
      <c r="FK118" s="82"/>
      <c r="FL118" s="82">
        <f t="shared" si="813"/>
        <v>0</v>
      </c>
      <c r="FM118" s="82">
        <f t="shared" si="814"/>
        <v>0</v>
      </c>
      <c r="FN118" s="82">
        <f t="shared" si="815"/>
        <v>14</v>
      </c>
      <c r="FO118" s="82">
        <f t="shared" si="816"/>
        <v>101787</v>
      </c>
      <c r="FP118" s="82"/>
      <c r="FQ118" s="82"/>
      <c r="FR118" s="82">
        <f t="shared" si="817"/>
        <v>0</v>
      </c>
      <c r="FS118" s="82">
        <f t="shared" si="818"/>
        <v>0</v>
      </c>
      <c r="FT118" s="82"/>
      <c r="FU118" s="82"/>
      <c r="FV118" s="82"/>
      <c r="FW118" s="82"/>
      <c r="FX118" s="82">
        <f t="shared" si="819"/>
        <v>0</v>
      </c>
      <c r="FY118" s="82">
        <f t="shared" si="820"/>
        <v>0</v>
      </c>
      <c r="FZ118" s="82">
        <f t="shared" si="821"/>
        <v>14</v>
      </c>
      <c r="GA118" s="82">
        <f t="shared" si="822"/>
        <v>101787</v>
      </c>
      <c r="GB118" s="82">
        <f t="shared" si="823"/>
        <v>0</v>
      </c>
      <c r="GC118" s="82">
        <f t="shared" si="824"/>
        <v>0</v>
      </c>
      <c r="GD118" s="82">
        <f t="shared" si="825"/>
        <v>14</v>
      </c>
      <c r="GE118" s="82">
        <f t="shared" si="826"/>
        <v>101787</v>
      </c>
      <c r="GF118" s="85"/>
    </row>
    <row r="119" ht="29.25" customHeight="1">
      <c r="A119" s="50"/>
      <c r="B119" s="50"/>
      <c r="C119" s="50"/>
      <c r="D119" s="78" t="s">
        <v>121</v>
      </c>
      <c r="E119" s="79">
        <v>6660.0</v>
      </c>
      <c r="F119" s="61" t="s">
        <v>92</v>
      </c>
      <c r="G119" s="81">
        <v>27.0</v>
      </c>
      <c r="H119" s="82">
        <v>179820.0</v>
      </c>
      <c r="I119" s="82"/>
      <c r="J119" s="82"/>
      <c r="K119" s="82">
        <f t="shared" si="752"/>
        <v>0</v>
      </c>
      <c r="L119" s="82">
        <f t="shared" si="753"/>
        <v>0</v>
      </c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>
        <f t="shared" si="754"/>
        <v>0</v>
      </c>
      <c r="AC119" s="82">
        <f t="shared" si="755"/>
        <v>0</v>
      </c>
      <c r="AD119" s="82">
        <f t="shared" si="452"/>
        <v>27</v>
      </c>
      <c r="AE119" s="82">
        <f t="shared" si="756"/>
        <v>179820</v>
      </c>
      <c r="AF119" s="82"/>
      <c r="AG119" s="82"/>
      <c r="AH119" s="82">
        <f t="shared" si="757"/>
        <v>0</v>
      </c>
      <c r="AI119" s="82">
        <f t="shared" si="758"/>
        <v>0</v>
      </c>
      <c r="AJ119" s="82"/>
      <c r="AK119" s="82"/>
      <c r="AL119" s="82"/>
      <c r="AM119" s="82"/>
      <c r="AN119" s="82">
        <f t="shared" si="759"/>
        <v>0</v>
      </c>
      <c r="AO119" s="82">
        <f t="shared" si="760"/>
        <v>0</v>
      </c>
      <c r="AP119" s="82">
        <f t="shared" si="458"/>
        <v>27</v>
      </c>
      <c r="AQ119" s="82">
        <f t="shared" si="761"/>
        <v>179820</v>
      </c>
      <c r="AR119" s="82"/>
      <c r="AS119" s="82"/>
      <c r="AT119" s="82"/>
      <c r="AU119" s="82">
        <f t="shared" si="762"/>
        <v>0</v>
      </c>
      <c r="AV119" s="82">
        <f t="shared" si="763"/>
        <v>0</v>
      </c>
      <c r="AW119" s="82"/>
      <c r="AX119" s="82"/>
      <c r="AY119" s="82"/>
      <c r="AZ119" s="82"/>
      <c r="BA119" s="82">
        <f t="shared" si="764"/>
        <v>0</v>
      </c>
      <c r="BB119" s="82">
        <f t="shared" si="765"/>
        <v>0</v>
      </c>
      <c r="BC119" s="82">
        <f t="shared" si="464"/>
        <v>27</v>
      </c>
      <c r="BD119" s="82">
        <f t="shared" si="766"/>
        <v>179820</v>
      </c>
      <c r="BE119" s="82">
        <f t="shared" si="767"/>
        <v>0</v>
      </c>
      <c r="BF119" s="82">
        <f t="shared" si="768"/>
        <v>0</v>
      </c>
      <c r="BG119" s="82">
        <f t="shared" si="468"/>
        <v>27</v>
      </c>
      <c r="BH119" s="82">
        <f t="shared" si="769"/>
        <v>179820</v>
      </c>
      <c r="BI119" s="82"/>
      <c r="BJ119" s="83"/>
      <c r="BK119" s="82">
        <f t="shared" si="770"/>
        <v>0</v>
      </c>
      <c r="BL119" s="82">
        <f t="shared" si="771"/>
        <v>0</v>
      </c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>
        <f t="shared" si="772"/>
        <v>0</v>
      </c>
      <c r="BX119" s="82">
        <f t="shared" si="773"/>
        <v>0</v>
      </c>
      <c r="BY119" s="82">
        <f t="shared" si="474"/>
        <v>27</v>
      </c>
      <c r="BZ119" s="82">
        <f t="shared" si="774"/>
        <v>179820</v>
      </c>
      <c r="CA119" s="82"/>
      <c r="CB119" s="82"/>
      <c r="CC119" s="82">
        <f t="shared" si="775"/>
        <v>0</v>
      </c>
      <c r="CD119" s="82">
        <f t="shared" si="776"/>
        <v>0</v>
      </c>
      <c r="CE119" s="82"/>
      <c r="CF119" s="82"/>
      <c r="CG119" s="82"/>
      <c r="CH119" s="82"/>
      <c r="CI119" s="82">
        <f t="shared" si="777"/>
        <v>0</v>
      </c>
      <c r="CJ119" s="82">
        <f t="shared" si="778"/>
        <v>0</v>
      </c>
      <c r="CK119" s="82">
        <f t="shared" si="480"/>
        <v>27</v>
      </c>
      <c r="CL119" s="82">
        <f t="shared" si="779"/>
        <v>179820</v>
      </c>
      <c r="CM119" s="82"/>
      <c r="CN119" s="82"/>
      <c r="CO119" s="82">
        <f t="shared" si="35"/>
        <v>0</v>
      </c>
      <c r="CP119" s="82">
        <f t="shared" si="36"/>
        <v>0</v>
      </c>
      <c r="CQ119" s="82"/>
      <c r="CR119" s="82"/>
      <c r="CS119" s="82"/>
      <c r="CT119" s="82"/>
      <c r="CU119" s="82">
        <f t="shared" si="780"/>
        <v>0</v>
      </c>
      <c r="CV119" s="82">
        <f t="shared" si="781"/>
        <v>0</v>
      </c>
      <c r="CW119" s="82">
        <f t="shared" si="39"/>
        <v>27</v>
      </c>
      <c r="CX119" s="82">
        <f t="shared" si="782"/>
        <v>179820</v>
      </c>
      <c r="CY119" s="82">
        <f t="shared" si="41"/>
        <v>0</v>
      </c>
      <c r="CZ119" s="82">
        <f t="shared" si="345"/>
        <v>0</v>
      </c>
      <c r="DA119" s="82">
        <f t="shared" si="43"/>
        <v>27</v>
      </c>
      <c r="DB119" s="82">
        <f t="shared" si="44"/>
        <v>179820</v>
      </c>
      <c r="DC119" s="91"/>
      <c r="DD119" s="82"/>
      <c r="DE119" s="82"/>
      <c r="DF119" s="82">
        <f t="shared" si="783"/>
        <v>0</v>
      </c>
      <c r="DG119" s="82">
        <f t="shared" si="784"/>
        <v>0</v>
      </c>
      <c r="DH119" s="82"/>
      <c r="DI119" s="82"/>
      <c r="DJ119" s="82"/>
      <c r="DK119" s="82"/>
      <c r="DL119" s="82">
        <f t="shared" si="785"/>
        <v>0</v>
      </c>
      <c r="DM119" s="82">
        <f t="shared" si="786"/>
        <v>0</v>
      </c>
      <c r="DN119" s="82">
        <f t="shared" si="787"/>
        <v>27</v>
      </c>
      <c r="DO119" s="82">
        <f t="shared" si="788"/>
        <v>179820</v>
      </c>
      <c r="DP119" s="82"/>
      <c r="DQ119" s="82"/>
      <c r="DR119" s="82">
        <f t="shared" si="789"/>
        <v>0</v>
      </c>
      <c r="DS119" s="82">
        <f t="shared" si="790"/>
        <v>0</v>
      </c>
      <c r="DT119" s="82"/>
      <c r="DU119" s="82"/>
      <c r="DV119" s="82"/>
      <c r="DW119" s="82"/>
      <c r="DX119" s="82">
        <f t="shared" si="791"/>
        <v>0</v>
      </c>
      <c r="DY119" s="82">
        <f t="shared" si="792"/>
        <v>0</v>
      </c>
      <c r="DZ119" s="82">
        <f t="shared" si="793"/>
        <v>27</v>
      </c>
      <c r="EA119" s="82">
        <f t="shared" si="794"/>
        <v>179820</v>
      </c>
      <c r="EB119" s="82"/>
      <c r="EC119" s="82"/>
      <c r="ED119" s="82">
        <f t="shared" si="795"/>
        <v>0</v>
      </c>
      <c r="EE119" s="82">
        <f t="shared" si="796"/>
        <v>0</v>
      </c>
      <c r="EF119" s="82"/>
      <c r="EG119" s="82"/>
      <c r="EH119" s="82"/>
      <c r="EI119" s="82"/>
      <c r="EJ119" s="82">
        <f t="shared" si="797"/>
        <v>0</v>
      </c>
      <c r="EK119" s="82">
        <f t="shared" si="798"/>
        <v>0</v>
      </c>
      <c r="EL119" s="82">
        <f t="shared" si="799"/>
        <v>27</v>
      </c>
      <c r="EM119" s="82">
        <f t="shared" si="800"/>
        <v>179820</v>
      </c>
      <c r="EN119" s="82">
        <f t="shared" si="801"/>
        <v>0</v>
      </c>
      <c r="EO119" s="82">
        <f t="shared" si="802"/>
        <v>0</v>
      </c>
      <c r="EP119" s="82">
        <f t="shared" si="803"/>
        <v>27</v>
      </c>
      <c r="EQ119" s="82">
        <f t="shared" si="804"/>
        <v>179820</v>
      </c>
      <c r="ER119" s="82"/>
      <c r="ES119" s="82"/>
      <c r="ET119" s="82">
        <f t="shared" si="805"/>
        <v>0</v>
      </c>
      <c r="EU119" s="82">
        <f t="shared" si="806"/>
        <v>0</v>
      </c>
      <c r="EV119" s="82"/>
      <c r="EW119" s="82"/>
      <c r="EX119" s="82"/>
      <c r="EY119" s="82"/>
      <c r="EZ119" s="82">
        <f t="shared" si="807"/>
        <v>0</v>
      </c>
      <c r="FA119" s="82">
        <f t="shared" si="808"/>
        <v>0</v>
      </c>
      <c r="FB119" s="82">
        <f t="shared" si="809"/>
        <v>27</v>
      </c>
      <c r="FC119" s="82">
        <f t="shared" si="810"/>
        <v>179820</v>
      </c>
      <c r="FD119" s="82"/>
      <c r="FE119" s="82"/>
      <c r="FF119" s="82">
        <f t="shared" si="811"/>
        <v>0</v>
      </c>
      <c r="FG119" s="82">
        <f t="shared" si="812"/>
        <v>0</v>
      </c>
      <c r="FH119" s="82"/>
      <c r="FI119" s="82"/>
      <c r="FJ119" s="82"/>
      <c r="FK119" s="82"/>
      <c r="FL119" s="82">
        <f t="shared" si="813"/>
        <v>0</v>
      </c>
      <c r="FM119" s="82">
        <f t="shared" si="814"/>
        <v>0</v>
      </c>
      <c r="FN119" s="82">
        <f t="shared" si="815"/>
        <v>27</v>
      </c>
      <c r="FO119" s="82">
        <f t="shared" si="816"/>
        <v>179820</v>
      </c>
      <c r="FP119" s="82"/>
      <c r="FQ119" s="82"/>
      <c r="FR119" s="82">
        <f t="shared" si="817"/>
        <v>0</v>
      </c>
      <c r="FS119" s="82">
        <f t="shared" si="818"/>
        <v>0</v>
      </c>
      <c r="FT119" s="82"/>
      <c r="FU119" s="82"/>
      <c r="FV119" s="82"/>
      <c r="FW119" s="82"/>
      <c r="FX119" s="82">
        <f t="shared" si="819"/>
        <v>0</v>
      </c>
      <c r="FY119" s="82">
        <f t="shared" si="820"/>
        <v>0</v>
      </c>
      <c r="FZ119" s="82">
        <f t="shared" si="821"/>
        <v>27</v>
      </c>
      <c r="GA119" s="82">
        <f t="shared" si="822"/>
        <v>179820</v>
      </c>
      <c r="GB119" s="82">
        <f t="shared" si="823"/>
        <v>0</v>
      </c>
      <c r="GC119" s="82">
        <f t="shared" si="824"/>
        <v>0</v>
      </c>
      <c r="GD119" s="82">
        <f t="shared" si="825"/>
        <v>27</v>
      </c>
      <c r="GE119" s="82">
        <f t="shared" si="826"/>
        <v>179820</v>
      </c>
      <c r="GF119" s="85"/>
    </row>
    <row r="120" ht="29.25" customHeight="1">
      <c r="A120" s="76">
        <v>66.0</v>
      </c>
      <c r="B120" s="87"/>
      <c r="C120" s="77" t="s">
        <v>189</v>
      </c>
      <c r="D120" s="78" t="s">
        <v>190</v>
      </c>
      <c r="E120" s="79">
        <v>13708.0</v>
      </c>
      <c r="F120" s="61" t="s">
        <v>191</v>
      </c>
      <c r="G120" s="81">
        <v>8.0</v>
      </c>
      <c r="H120" s="82">
        <v>109664.0</v>
      </c>
      <c r="I120" s="82"/>
      <c r="J120" s="82"/>
      <c r="K120" s="82">
        <f t="shared" si="752"/>
        <v>0</v>
      </c>
      <c r="L120" s="82">
        <f t="shared" si="753"/>
        <v>0</v>
      </c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>
        <f t="shared" si="754"/>
        <v>0</v>
      </c>
      <c r="AC120" s="82">
        <f t="shared" si="755"/>
        <v>0</v>
      </c>
      <c r="AD120" s="82">
        <f t="shared" si="452"/>
        <v>8</v>
      </c>
      <c r="AE120" s="82">
        <f t="shared" si="756"/>
        <v>109664</v>
      </c>
      <c r="AF120" s="82"/>
      <c r="AG120" s="82"/>
      <c r="AH120" s="82">
        <f t="shared" si="757"/>
        <v>0</v>
      </c>
      <c r="AI120" s="82">
        <f t="shared" si="758"/>
        <v>0</v>
      </c>
      <c r="AJ120" s="82"/>
      <c r="AK120" s="82"/>
      <c r="AL120" s="82"/>
      <c r="AM120" s="82"/>
      <c r="AN120" s="82">
        <f t="shared" si="759"/>
        <v>0</v>
      </c>
      <c r="AO120" s="82">
        <f t="shared" si="760"/>
        <v>0</v>
      </c>
      <c r="AP120" s="82">
        <f t="shared" si="458"/>
        <v>8</v>
      </c>
      <c r="AQ120" s="82">
        <f t="shared" si="761"/>
        <v>109664</v>
      </c>
      <c r="AR120" s="82"/>
      <c r="AS120" s="82"/>
      <c r="AT120" s="82"/>
      <c r="AU120" s="82">
        <f t="shared" si="762"/>
        <v>0</v>
      </c>
      <c r="AV120" s="82">
        <f t="shared" si="763"/>
        <v>0</v>
      </c>
      <c r="AW120" s="82"/>
      <c r="AX120" s="82"/>
      <c r="AY120" s="82"/>
      <c r="AZ120" s="82"/>
      <c r="BA120" s="82">
        <f t="shared" si="764"/>
        <v>0</v>
      </c>
      <c r="BB120" s="82">
        <f t="shared" si="765"/>
        <v>0</v>
      </c>
      <c r="BC120" s="82">
        <f t="shared" si="464"/>
        <v>8</v>
      </c>
      <c r="BD120" s="82">
        <f t="shared" si="766"/>
        <v>109664</v>
      </c>
      <c r="BE120" s="82">
        <f t="shared" si="767"/>
        <v>0</v>
      </c>
      <c r="BF120" s="82">
        <f t="shared" si="768"/>
        <v>0</v>
      </c>
      <c r="BG120" s="82">
        <f t="shared" si="468"/>
        <v>8</v>
      </c>
      <c r="BH120" s="82">
        <f t="shared" si="769"/>
        <v>109664</v>
      </c>
      <c r="BI120" s="82"/>
      <c r="BJ120" s="83"/>
      <c r="BK120" s="82">
        <f t="shared" si="770"/>
        <v>0</v>
      </c>
      <c r="BL120" s="82">
        <f t="shared" si="771"/>
        <v>0</v>
      </c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>
        <f t="shared" si="772"/>
        <v>0</v>
      </c>
      <c r="BX120" s="82">
        <f t="shared" si="773"/>
        <v>0</v>
      </c>
      <c r="BY120" s="82">
        <f t="shared" si="474"/>
        <v>8</v>
      </c>
      <c r="BZ120" s="82">
        <f t="shared" si="774"/>
        <v>109664</v>
      </c>
      <c r="CA120" s="82"/>
      <c r="CB120" s="82"/>
      <c r="CC120" s="82">
        <f t="shared" si="775"/>
        <v>0</v>
      </c>
      <c r="CD120" s="82">
        <f t="shared" si="776"/>
        <v>0</v>
      </c>
      <c r="CE120" s="82"/>
      <c r="CF120" s="82"/>
      <c r="CG120" s="82"/>
      <c r="CH120" s="82"/>
      <c r="CI120" s="82">
        <f t="shared" si="777"/>
        <v>0</v>
      </c>
      <c r="CJ120" s="82">
        <f t="shared" si="778"/>
        <v>0</v>
      </c>
      <c r="CK120" s="82">
        <f t="shared" si="480"/>
        <v>8</v>
      </c>
      <c r="CL120" s="82">
        <f t="shared" si="779"/>
        <v>109664</v>
      </c>
      <c r="CM120" s="82"/>
      <c r="CN120" s="82"/>
      <c r="CO120" s="82">
        <f t="shared" si="35"/>
        <v>0</v>
      </c>
      <c r="CP120" s="82">
        <f t="shared" si="36"/>
        <v>0</v>
      </c>
      <c r="CQ120" s="82"/>
      <c r="CR120" s="82"/>
      <c r="CS120" s="82"/>
      <c r="CT120" s="82"/>
      <c r="CU120" s="82">
        <f t="shared" si="780"/>
        <v>0</v>
      </c>
      <c r="CV120" s="82">
        <f t="shared" si="781"/>
        <v>0</v>
      </c>
      <c r="CW120" s="82">
        <f t="shared" si="39"/>
        <v>8</v>
      </c>
      <c r="CX120" s="82">
        <f t="shared" si="782"/>
        <v>109664</v>
      </c>
      <c r="CY120" s="82">
        <f t="shared" si="41"/>
        <v>0</v>
      </c>
      <c r="CZ120" s="82">
        <f t="shared" si="345"/>
        <v>0</v>
      </c>
      <c r="DA120" s="82">
        <f t="shared" si="43"/>
        <v>8</v>
      </c>
      <c r="DB120" s="82">
        <f t="shared" si="44"/>
        <v>109664</v>
      </c>
      <c r="DC120" s="84">
        <v>19.0</v>
      </c>
      <c r="DD120" s="82"/>
      <c r="DE120" s="82"/>
      <c r="DF120" s="82">
        <f t="shared" si="783"/>
        <v>0</v>
      </c>
      <c r="DG120" s="82">
        <f t="shared" si="784"/>
        <v>0</v>
      </c>
      <c r="DH120" s="82"/>
      <c r="DI120" s="82"/>
      <c r="DJ120" s="82"/>
      <c r="DK120" s="82"/>
      <c r="DL120" s="82">
        <f t="shared" si="785"/>
        <v>0</v>
      </c>
      <c r="DM120" s="82">
        <f t="shared" si="786"/>
        <v>0</v>
      </c>
      <c r="DN120" s="82">
        <f t="shared" si="787"/>
        <v>8</v>
      </c>
      <c r="DO120" s="82">
        <f t="shared" si="788"/>
        <v>109664</v>
      </c>
      <c r="DP120" s="82"/>
      <c r="DQ120" s="82"/>
      <c r="DR120" s="82">
        <f t="shared" si="789"/>
        <v>0</v>
      </c>
      <c r="DS120" s="82">
        <f t="shared" si="790"/>
        <v>0</v>
      </c>
      <c r="DT120" s="82"/>
      <c r="DU120" s="82"/>
      <c r="DV120" s="82"/>
      <c r="DW120" s="82"/>
      <c r="DX120" s="82">
        <f t="shared" si="791"/>
        <v>0</v>
      </c>
      <c r="DY120" s="82">
        <f t="shared" si="792"/>
        <v>0</v>
      </c>
      <c r="DZ120" s="82">
        <f t="shared" si="793"/>
        <v>8</v>
      </c>
      <c r="EA120" s="82">
        <f t="shared" si="794"/>
        <v>109664</v>
      </c>
      <c r="EB120" s="82"/>
      <c r="EC120" s="82"/>
      <c r="ED120" s="82">
        <f t="shared" si="795"/>
        <v>0</v>
      </c>
      <c r="EE120" s="82">
        <f t="shared" si="796"/>
        <v>0</v>
      </c>
      <c r="EF120" s="82"/>
      <c r="EG120" s="82"/>
      <c r="EH120" s="82"/>
      <c r="EI120" s="82"/>
      <c r="EJ120" s="82">
        <f t="shared" si="797"/>
        <v>0</v>
      </c>
      <c r="EK120" s="82">
        <f t="shared" si="798"/>
        <v>0</v>
      </c>
      <c r="EL120" s="82">
        <f t="shared" si="799"/>
        <v>8</v>
      </c>
      <c r="EM120" s="82">
        <f t="shared" si="800"/>
        <v>109664</v>
      </c>
      <c r="EN120" s="82">
        <f t="shared" si="801"/>
        <v>0</v>
      </c>
      <c r="EO120" s="82">
        <f t="shared" si="802"/>
        <v>0</v>
      </c>
      <c r="EP120" s="82">
        <f t="shared" si="803"/>
        <v>8</v>
      </c>
      <c r="EQ120" s="82">
        <f t="shared" si="804"/>
        <v>109664</v>
      </c>
      <c r="ER120" s="82"/>
      <c r="ES120" s="82"/>
      <c r="ET120" s="82">
        <f t="shared" si="805"/>
        <v>0</v>
      </c>
      <c r="EU120" s="82">
        <f t="shared" si="806"/>
        <v>0</v>
      </c>
      <c r="EV120" s="82"/>
      <c r="EW120" s="82"/>
      <c r="EX120" s="82"/>
      <c r="EY120" s="82"/>
      <c r="EZ120" s="82">
        <f t="shared" si="807"/>
        <v>0</v>
      </c>
      <c r="FA120" s="82">
        <f t="shared" si="808"/>
        <v>0</v>
      </c>
      <c r="FB120" s="82">
        <f t="shared" si="809"/>
        <v>8</v>
      </c>
      <c r="FC120" s="82">
        <f t="shared" si="810"/>
        <v>109664</v>
      </c>
      <c r="FD120" s="82"/>
      <c r="FE120" s="82"/>
      <c r="FF120" s="82">
        <f t="shared" si="811"/>
        <v>0</v>
      </c>
      <c r="FG120" s="82">
        <f t="shared" si="812"/>
        <v>0</v>
      </c>
      <c r="FH120" s="82"/>
      <c r="FI120" s="82"/>
      <c r="FJ120" s="82"/>
      <c r="FK120" s="82"/>
      <c r="FL120" s="82">
        <f t="shared" si="813"/>
        <v>0</v>
      </c>
      <c r="FM120" s="82">
        <f t="shared" si="814"/>
        <v>0</v>
      </c>
      <c r="FN120" s="82">
        <f t="shared" si="815"/>
        <v>8</v>
      </c>
      <c r="FO120" s="82">
        <f t="shared" si="816"/>
        <v>109664</v>
      </c>
      <c r="FP120" s="82"/>
      <c r="FQ120" s="82"/>
      <c r="FR120" s="82">
        <f t="shared" si="817"/>
        <v>0</v>
      </c>
      <c r="FS120" s="82">
        <f t="shared" si="818"/>
        <v>0</v>
      </c>
      <c r="FT120" s="82"/>
      <c r="FU120" s="82"/>
      <c r="FV120" s="82"/>
      <c r="FW120" s="82"/>
      <c r="FX120" s="82">
        <f t="shared" si="819"/>
        <v>0</v>
      </c>
      <c r="FY120" s="82">
        <f t="shared" si="820"/>
        <v>0</v>
      </c>
      <c r="FZ120" s="82">
        <f t="shared" si="821"/>
        <v>8</v>
      </c>
      <c r="GA120" s="82">
        <f t="shared" si="822"/>
        <v>109664</v>
      </c>
      <c r="GB120" s="82">
        <f t="shared" si="823"/>
        <v>0</v>
      </c>
      <c r="GC120" s="82">
        <f t="shared" si="824"/>
        <v>0</v>
      </c>
      <c r="GD120" s="82">
        <f t="shared" si="825"/>
        <v>8</v>
      </c>
      <c r="GE120" s="82">
        <f t="shared" si="826"/>
        <v>109664</v>
      </c>
      <c r="GF120" s="85"/>
    </row>
    <row r="121" ht="29.25" customHeight="1">
      <c r="A121" s="76"/>
      <c r="B121" s="87"/>
      <c r="C121" s="77"/>
      <c r="D121" s="78" t="s">
        <v>190</v>
      </c>
      <c r="E121" s="86">
        <v>14430.0</v>
      </c>
      <c r="F121" s="80" t="s">
        <v>180</v>
      </c>
      <c r="G121" s="90">
        <v>8.0</v>
      </c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>
        <f t="shared" si="452"/>
        <v>8</v>
      </c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>
        <f t="shared" si="458"/>
        <v>8</v>
      </c>
      <c r="AQ121" s="82">
        <f>AP121*E120</f>
        <v>109664</v>
      </c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>
        <f t="shared" si="464"/>
        <v>8</v>
      </c>
      <c r="BD121" s="82">
        <f>BC121*E120</f>
        <v>109664</v>
      </c>
      <c r="BE121" s="82"/>
      <c r="BF121" s="82"/>
      <c r="BG121" s="82">
        <f t="shared" si="468"/>
        <v>8</v>
      </c>
      <c r="BH121" s="83">
        <v>0.0</v>
      </c>
      <c r="BI121" s="82"/>
      <c r="BJ121" s="83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>
        <f t="shared" si="474"/>
        <v>8</v>
      </c>
      <c r="BZ121" s="82">
        <f>BY121*E120</f>
        <v>109664</v>
      </c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>
        <f t="shared" si="480"/>
        <v>8</v>
      </c>
      <c r="CL121" s="82">
        <f>CK121*E120</f>
        <v>109664</v>
      </c>
      <c r="CM121" s="83">
        <v>10.0</v>
      </c>
      <c r="CN121" s="82"/>
      <c r="CO121" s="82">
        <f t="shared" si="35"/>
        <v>10</v>
      </c>
      <c r="CP121" s="82">
        <f t="shared" si="36"/>
        <v>144300</v>
      </c>
      <c r="CQ121" s="82"/>
      <c r="CR121" s="82"/>
      <c r="CS121" s="82"/>
      <c r="CT121" s="82"/>
      <c r="CU121" s="82"/>
      <c r="CV121" s="82"/>
      <c r="CW121" s="82">
        <f t="shared" si="39"/>
        <v>18</v>
      </c>
      <c r="CX121" s="82">
        <f>(CO121*E121)+(CK121*E120)</f>
        <v>253964</v>
      </c>
      <c r="CY121" s="82">
        <f t="shared" si="41"/>
        <v>10</v>
      </c>
      <c r="CZ121" s="82">
        <f t="shared" si="345"/>
        <v>0</v>
      </c>
      <c r="DA121" s="82">
        <f t="shared" si="43"/>
        <v>18</v>
      </c>
      <c r="DB121" s="82">
        <f t="shared" si="44"/>
        <v>259740</v>
      </c>
      <c r="DC121" s="91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82"/>
      <c r="DV121" s="82"/>
      <c r="DW121" s="82"/>
      <c r="DX121" s="82"/>
      <c r="DY121" s="82"/>
      <c r="DZ121" s="82"/>
      <c r="EA121" s="82"/>
      <c r="EB121" s="82"/>
      <c r="EC121" s="82"/>
      <c r="ED121" s="82"/>
      <c r="EE121" s="82"/>
      <c r="EF121" s="82"/>
      <c r="EG121" s="82"/>
      <c r="EH121" s="82"/>
      <c r="EI121" s="82"/>
      <c r="EJ121" s="82"/>
      <c r="EK121" s="82"/>
      <c r="EL121" s="82"/>
      <c r="EM121" s="82"/>
      <c r="EN121" s="82"/>
      <c r="EO121" s="82"/>
      <c r="EP121" s="82"/>
      <c r="EQ121" s="82"/>
      <c r="ER121" s="82"/>
      <c r="ES121" s="82"/>
      <c r="ET121" s="82"/>
      <c r="EU121" s="82"/>
      <c r="EV121" s="82"/>
      <c r="EW121" s="82"/>
      <c r="EX121" s="82"/>
      <c r="EY121" s="82"/>
      <c r="EZ121" s="82"/>
      <c r="FA121" s="82"/>
      <c r="FB121" s="82"/>
      <c r="FC121" s="82"/>
      <c r="FD121" s="82"/>
      <c r="FE121" s="82"/>
      <c r="FF121" s="82"/>
      <c r="FG121" s="82"/>
      <c r="FH121" s="82"/>
      <c r="FI121" s="82"/>
      <c r="FJ121" s="82"/>
      <c r="FK121" s="82"/>
      <c r="FL121" s="82"/>
      <c r="FM121" s="82"/>
      <c r="FN121" s="82"/>
      <c r="FO121" s="82"/>
      <c r="FP121" s="82"/>
      <c r="FQ121" s="82"/>
      <c r="FR121" s="82"/>
      <c r="FS121" s="82"/>
      <c r="FT121" s="82"/>
      <c r="FU121" s="82"/>
      <c r="FV121" s="82"/>
      <c r="FW121" s="82"/>
      <c r="FX121" s="82"/>
      <c r="FY121" s="82"/>
      <c r="FZ121" s="82"/>
      <c r="GA121" s="82"/>
      <c r="GB121" s="82"/>
      <c r="GC121" s="82"/>
      <c r="GD121" s="82"/>
      <c r="GE121" s="82"/>
      <c r="GF121" s="85"/>
    </row>
    <row r="122" ht="29.25" customHeight="1">
      <c r="A122" s="76">
        <v>67.0</v>
      </c>
      <c r="B122" s="87"/>
      <c r="C122" s="77" t="s">
        <v>192</v>
      </c>
      <c r="D122" s="78" t="s">
        <v>118</v>
      </c>
      <c r="E122" s="79">
        <v>1108890.0</v>
      </c>
      <c r="F122" s="61" t="s">
        <v>97</v>
      </c>
      <c r="G122" s="81">
        <v>1.0</v>
      </c>
      <c r="H122" s="82">
        <v>1108890.0</v>
      </c>
      <c r="I122" s="82"/>
      <c r="J122" s="82"/>
      <c r="K122" s="82">
        <f t="shared" ref="K122:K140" si="827">SUM(I122:J122)</f>
        <v>0</v>
      </c>
      <c r="L122" s="82">
        <f t="shared" ref="L122:L140" si="828">K122*E122</f>
        <v>0</v>
      </c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>
        <f t="shared" ref="AB122:AB140" si="829">SUM(M122:AA122)</f>
        <v>0</v>
      </c>
      <c r="AC122" s="82">
        <f t="shared" ref="AC122:AC140" si="830">AB122*E122</f>
        <v>0</v>
      </c>
      <c r="AD122" s="82">
        <f t="shared" si="452"/>
        <v>1</v>
      </c>
      <c r="AE122" s="82">
        <f t="shared" ref="AE122:AE140" si="831">AD122*E122</f>
        <v>1108890</v>
      </c>
      <c r="AF122" s="82"/>
      <c r="AG122" s="82"/>
      <c r="AH122" s="82">
        <f t="shared" ref="AH122:AH140" si="832">SUM(AF122:AG122)</f>
        <v>0</v>
      </c>
      <c r="AI122" s="82">
        <f t="shared" ref="AI122:AI140" si="833">AH122*E122</f>
        <v>0</v>
      </c>
      <c r="AJ122" s="82"/>
      <c r="AK122" s="82"/>
      <c r="AL122" s="82"/>
      <c r="AM122" s="82"/>
      <c r="AN122" s="82">
        <f t="shared" ref="AN122:AN140" si="834">SUM(AJ122:AM122)</f>
        <v>0</v>
      </c>
      <c r="AO122" s="82">
        <f t="shared" ref="AO122:AO140" si="835">AN122*E122</f>
        <v>0</v>
      </c>
      <c r="AP122" s="82">
        <f t="shared" si="458"/>
        <v>1</v>
      </c>
      <c r="AQ122" s="82">
        <f t="shared" ref="AQ122:AQ140" si="836">AP122*E122</f>
        <v>1108890</v>
      </c>
      <c r="AR122" s="82"/>
      <c r="AS122" s="82"/>
      <c r="AT122" s="82"/>
      <c r="AU122" s="82">
        <f t="shared" ref="AU122:AU140" si="837">SUM(AS122:AT122)</f>
        <v>0</v>
      </c>
      <c r="AV122" s="82">
        <f t="shared" ref="AV122:AV140" si="838">AU122*AB122</f>
        <v>0</v>
      </c>
      <c r="AW122" s="82"/>
      <c r="AX122" s="82"/>
      <c r="AY122" s="82"/>
      <c r="AZ122" s="82"/>
      <c r="BA122" s="82">
        <f t="shared" ref="BA122:BA140" si="839">SUM(AW122:AZ122)</f>
        <v>0</v>
      </c>
      <c r="BB122" s="82">
        <f t="shared" ref="BB122:BB140" si="840">BA122*AB122</f>
        <v>0</v>
      </c>
      <c r="BC122" s="82">
        <f t="shared" si="464"/>
        <v>1</v>
      </c>
      <c r="BD122" s="82">
        <f t="shared" ref="BD122:BD140" si="841">BC122*E122</f>
        <v>1108890</v>
      </c>
      <c r="BE122" s="82">
        <f t="shared" ref="BE122:BE140" si="842">K122+AH122+AU122</f>
        <v>0</v>
      </c>
      <c r="BF122" s="82">
        <f t="shared" ref="BF122:BF140" si="843">AB122+AN122+BA122</f>
        <v>0</v>
      </c>
      <c r="BG122" s="82">
        <f t="shared" si="468"/>
        <v>1</v>
      </c>
      <c r="BH122" s="82">
        <f t="shared" ref="BH122:BH140" si="844">BG122*E122</f>
        <v>1108890</v>
      </c>
      <c r="BI122" s="82"/>
      <c r="BJ122" s="83"/>
      <c r="BK122" s="82">
        <f t="shared" ref="BK122:BK140" si="845">SUM(BI122:BJ122)</f>
        <v>0</v>
      </c>
      <c r="BL122" s="82">
        <f t="shared" ref="BL122:BL140" si="846">BK122*E122</f>
        <v>0</v>
      </c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>
        <f t="shared" ref="BW122:BW140" si="847">SUM(BM122:BV122)</f>
        <v>0</v>
      </c>
      <c r="BX122" s="82">
        <f t="shared" ref="BX122:BX140" si="848">BW122*E122</f>
        <v>0</v>
      </c>
      <c r="BY122" s="82">
        <f t="shared" si="474"/>
        <v>1</v>
      </c>
      <c r="BZ122" s="82">
        <f t="shared" ref="BZ122:BZ140" si="849">BY122*E122</f>
        <v>1108890</v>
      </c>
      <c r="CA122" s="82"/>
      <c r="CB122" s="82"/>
      <c r="CC122" s="82">
        <f t="shared" ref="CC122:CC140" si="850">sum(CA122:CB122)</f>
        <v>0</v>
      </c>
      <c r="CD122" s="82">
        <f t="shared" ref="CD122:CD140" si="851">CC122*E122</f>
        <v>0</v>
      </c>
      <c r="CE122" s="82"/>
      <c r="CF122" s="82"/>
      <c r="CG122" s="82"/>
      <c r="CH122" s="82"/>
      <c r="CI122" s="82">
        <f t="shared" ref="CI122:CI140" si="852">sum(CE122:CH122)</f>
        <v>0</v>
      </c>
      <c r="CJ122" s="82">
        <f t="shared" ref="CJ122:CJ140" si="853">CI122*E122</f>
        <v>0</v>
      </c>
      <c r="CK122" s="82">
        <f t="shared" si="480"/>
        <v>1</v>
      </c>
      <c r="CL122" s="82">
        <f t="shared" ref="CL122:CL140" si="854">CK122*E122</f>
        <v>1108890</v>
      </c>
      <c r="CM122" s="82"/>
      <c r="CN122" s="82"/>
      <c r="CO122" s="82">
        <f t="shared" si="35"/>
        <v>0</v>
      </c>
      <c r="CP122" s="82">
        <f t="shared" si="36"/>
        <v>0</v>
      </c>
      <c r="CQ122" s="82"/>
      <c r="CR122" s="82"/>
      <c r="CS122" s="82"/>
      <c r="CT122" s="82"/>
      <c r="CU122" s="82">
        <f t="shared" ref="CU122:CU140" si="855">sum(CQ122:CT122)</f>
        <v>0</v>
      </c>
      <c r="CV122" s="82">
        <f t="shared" ref="CV122:CV140" si="856">CU122*E122</f>
        <v>0</v>
      </c>
      <c r="CW122" s="82">
        <f t="shared" si="39"/>
        <v>1</v>
      </c>
      <c r="CX122" s="82">
        <f t="shared" ref="CX122:CX140" si="857">CW122*E122</f>
        <v>1108890</v>
      </c>
      <c r="CY122" s="82">
        <f t="shared" si="41"/>
        <v>0</v>
      </c>
      <c r="CZ122" s="82">
        <f t="shared" si="345"/>
        <v>0</v>
      </c>
      <c r="DA122" s="82">
        <f t="shared" si="43"/>
        <v>1</v>
      </c>
      <c r="DB122" s="82">
        <f t="shared" si="44"/>
        <v>1108890</v>
      </c>
      <c r="DC122" s="84">
        <v>2.0</v>
      </c>
      <c r="DD122" s="82"/>
      <c r="DE122" s="82"/>
      <c r="DF122" s="82">
        <f t="shared" ref="DF122:DF140" si="858">sum(DD122:DE122)</f>
        <v>0</v>
      </c>
      <c r="DG122" s="82">
        <f t="shared" ref="DG122:DG140" si="859">DF122*E122</f>
        <v>0</v>
      </c>
      <c r="DH122" s="82"/>
      <c r="DI122" s="82"/>
      <c r="DJ122" s="82"/>
      <c r="DK122" s="82"/>
      <c r="DL122" s="82">
        <f t="shared" ref="DL122:DL140" si="860">sum(DH122:DK122)</f>
        <v>0</v>
      </c>
      <c r="DM122" s="82">
        <f t="shared" ref="DM122:DM140" si="861">DL122*E122</f>
        <v>0</v>
      </c>
      <c r="DN122" s="82">
        <f t="shared" ref="DN122:DN140" si="862">DA122+DF122-DL122</f>
        <v>1</v>
      </c>
      <c r="DO122" s="82">
        <f t="shared" ref="DO122:DO140" si="863">DN122*E122</f>
        <v>1108890</v>
      </c>
      <c r="DP122" s="82"/>
      <c r="DQ122" s="82"/>
      <c r="DR122" s="82">
        <f t="shared" ref="DR122:DR140" si="864">sum(DP122:DQ122)</f>
        <v>0</v>
      </c>
      <c r="DS122" s="82">
        <f t="shared" ref="DS122:DS140" si="865">DR122*AB122</f>
        <v>0</v>
      </c>
      <c r="DT122" s="82"/>
      <c r="DU122" s="82"/>
      <c r="DV122" s="82"/>
      <c r="DW122" s="82"/>
      <c r="DX122" s="82">
        <f t="shared" ref="DX122:DX140" si="866">sum(DT122:DW122)</f>
        <v>0</v>
      </c>
      <c r="DY122" s="82">
        <f t="shared" ref="DY122:DY140" si="867">DX122*AB122</f>
        <v>0</v>
      </c>
      <c r="DZ122" s="82">
        <f t="shared" ref="DZ122:DZ140" si="868">DN122+DR122-DX122</f>
        <v>1</v>
      </c>
      <c r="EA122" s="82">
        <f t="shared" ref="EA122:EA140" si="869">DZ122*E122</f>
        <v>1108890</v>
      </c>
      <c r="EB122" s="82"/>
      <c r="EC122" s="82"/>
      <c r="ED122" s="82">
        <f t="shared" ref="ED122:ED140" si="870">sum(EB122:EC122)</f>
        <v>0</v>
      </c>
      <c r="EE122" s="82">
        <f t="shared" ref="EE122:EE140" si="871">ED122*AN122</f>
        <v>0</v>
      </c>
      <c r="EF122" s="82"/>
      <c r="EG122" s="82"/>
      <c r="EH122" s="82"/>
      <c r="EI122" s="82"/>
      <c r="EJ122" s="82">
        <f t="shared" ref="EJ122:EJ140" si="872">sum(EF122:EI122)</f>
        <v>0</v>
      </c>
      <c r="EK122" s="82">
        <f t="shared" ref="EK122:EK140" si="873">EJ122*AN122</f>
        <v>0</v>
      </c>
      <c r="EL122" s="82">
        <f t="shared" ref="EL122:EL140" si="874">DZ122+ED122-EJ122</f>
        <v>1</v>
      </c>
      <c r="EM122" s="82">
        <f t="shared" ref="EM122:EM140" si="875">EL122*E122</f>
        <v>1108890</v>
      </c>
      <c r="EN122" s="82">
        <f t="shared" ref="EN122:EN140" si="876">DF122+DR122+ED122</f>
        <v>0</v>
      </c>
      <c r="EO122" s="82">
        <f t="shared" ref="EO122:EO140" si="877">DL122+DX122+EJ122</f>
        <v>0</v>
      </c>
      <c r="EP122" s="82">
        <f t="shared" ref="EP122:EP140" si="878">DA122+EN122-EO122</f>
        <v>1</v>
      </c>
      <c r="EQ122" s="82">
        <f t="shared" ref="EQ122:EQ140" si="879">EP122*E122</f>
        <v>1108890</v>
      </c>
      <c r="ER122" s="82"/>
      <c r="ES122" s="82"/>
      <c r="ET122" s="82">
        <f t="shared" ref="ET122:ET140" si="880">sum(ER122:ES122)</f>
        <v>0</v>
      </c>
      <c r="EU122" s="82">
        <f t="shared" ref="EU122:EU140" si="881">ET122*BE122</f>
        <v>0</v>
      </c>
      <c r="EV122" s="82"/>
      <c r="EW122" s="82"/>
      <c r="EX122" s="82"/>
      <c r="EY122" s="82"/>
      <c r="EZ122" s="82">
        <f t="shared" ref="EZ122:EZ140" si="882">sum(EV122:EY122)</f>
        <v>0</v>
      </c>
      <c r="FA122" s="82">
        <f t="shared" ref="FA122:FA140" si="883">EZ122*BE122</f>
        <v>0</v>
      </c>
      <c r="FB122" s="82">
        <f t="shared" ref="FB122:FB140" si="884">EP122+ET122-EZ122</f>
        <v>1</v>
      </c>
      <c r="FC122" s="82">
        <f t="shared" ref="FC122:FC140" si="885">FB122*E122</f>
        <v>1108890</v>
      </c>
      <c r="FD122" s="82"/>
      <c r="FE122" s="82"/>
      <c r="FF122" s="82">
        <f t="shared" ref="FF122:FF140" si="886">sum(FD122:FE122)</f>
        <v>0</v>
      </c>
      <c r="FG122" s="82">
        <f t="shared" ref="FG122:FG140" si="887">FF122*BW122</f>
        <v>0</v>
      </c>
      <c r="FH122" s="82"/>
      <c r="FI122" s="82"/>
      <c r="FJ122" s="82"/>
      <c r="FK122" s="82"/>
      <c r="FL122" s="82">
        <f t="shared" ref="FL122:FL140" si="888">sum(FH122:FK122)</f>
        <v>0</v>
      </c>
      <c r="FM122" s="82">
        <f t="shared" ref="FM122:FM140" si="889">FL122*BW122</f>
        <v>0</v>
      </c>
      <c r="FN122" s="82">
        <f t="shared" ref="FN122:FN140" si="890">FB122+FF122-FL122</f>
        <v>1</v>
      </c>
      <c r="FO122" s="82">
        <f t="shared" ref="FO122:FO140" si="891">FN122*E122</f>
        <v>1108890</v>
      </c>
      <c r="FP122" s="82"/>
      <c r="FQ122" s="82"/>
      <c r="FR122" s="82">
        <f t="shared" ref="FR122:FR140" si="892">sum(FP122:FQ122)</f>
        <v>0</v>
      </c>
      <c r="FS122" s="82">
        <f t="shared" ref="FS122:FS140" si="893">FR122*CI122</f>
        <v>0</v>
      </c>
      <c r="FT122" s="82"/>
      <c r="FU122" s="82"/>
      <c r="FV122" s="82"/>
      <c r="FW122" s="82"/>
      <c r="FX122" s="82">
        <f t="shared" ref="FX122:FX140" si="894">sum(FT122:FW122)</f>
        <v>0</v>
      </c>
      <c r="FY122" s="82">
        <f t="shared" ref="FY122:FY140" si="895">FX122*CI122</f>
        <v>0</v>
      </c>
      <c r="FZ122" s="82">
        <f t="shared" ref="FZ122:FZ140" si="896">FN122+FR122-FX122</f>
        <v>1</v>
      </c>
      <c r="GA122" s="82">
        <f t="shared" ref="GA122:GA140" si="897">FZ122*E122</f>
        <v>1108890</v>
      </c>
      <c r="GB122" s="82">
        <f t="shared" ref="GB122:GB140" si="898">ET122+FF122+FR122</f>
        <v>0</v>
      </c>
      <c r="GC122" s="82">
        <f t="shared" ref="GC122:GC140" si="899">EZ122+FL122+FX122</f>
        <v>0</v>
      </c>
      <c r="GD122" s="82">
        <f t="shared" ref="GD122:GD140" si="900">EP122+GB122-GC122</f>
        <v>1</v>
      </c>
      <c r="GE122" s="82">
        <f t="shared" ref="GE122:GE140" si="901">GD122*E122</f>
        <v>1108890</v>
      </c>
      <c r="GF122" s="85"/>
    </row>
    <row r="123" ht="29.25" customHeight="1">
      <c r="A123" s="50"/>
      <c r="B123" s="50"/>
      <c r="C123" s="50"/>
      <c r="D123" s="78" t="s">
        <v>118</v>
      </c>
      <c r="E123" s="79">
        <v>1268730.0</v>
      </c>
      <c r="F123" s="61"/>
      <c r="G123" s="81">
        <v>1.0</v>
      </c>
      <c r="H123" s="82">
        <v>1268730.0</v>
      </c>
      <c r="I123" s="82"/>
      <c r="J123" s="82"/>
      <c r="K123" s="82">
        <f t="shared" si="827"/>
        <v>0</v>
      </c>
      <c r="L123" s="82">
        <f t="shared" si="828"/>
        <v>0</v>
      </c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>
        <f t="shared" si="829"/>
        <v>0</v>
      </c>
      <c r="AC123" s="82">
        <f t="shared" si="830"/>
        <v>0</v>
      </c>
      <c r="AD123" s="82">
        <f t="shared" si="452"/>
        <v>1</v>
      </c>
      <c r="AE123" s="82">
        <f t="shared" si="831"/>
        <v>1268730</v>
      </c>
      <c r="AF123" s="82"/>
      <c r="AG123" s="82"/>
      <c r="AH123" s="82">
        <f t="shared" si="832"/>
        <v>0</v>
      </c>
      <c r="AI123" s="82">
        <f t="shared" si="833"/>
        <v>0</v>
      </c>
      <c r="AJ123" s="82"/>
      <c r="AK123" s="82"/>
      <c r="AL123" s="82"/>
      <c r="AM123" s="82"/>
      <c r="AN123" s="82">
        <f t="shared" si="834"/>
        <v>0</v>
      </c>
      <c r="AO123" s="82">
        <f t="shared" si="835"/>
        <v>0</v>
      </c>
      <c r="AP123" s="82">
        <f t="shared" si="458"/>
        <v>1</v>
      </c>
      <c r="AQ123" s="82">
        <f t="shared" si="836"/>
        <v>1268730</v>
      </c>
      <c r="AR123" s="82"/>
      <c r="AS123" s="82"/>
      <c r="AT123" s="82"/>
      <c r="AU123" s="82">
        <f t="shared" si="837"/>
        <v>0</v>
      </c>
      <c r="AV123" s="82">
        <f t="shared" si="838"/>
        <v>0</v>
      </c>
      <c r="AW123" s="82"/>
      <c r="AX123" s="82"/>
      <c r="AY123" s="82"/>
      <c r="AZ123" s="82"/>
      <c r="BA123" s="82">
        <f t="shared" si="839"/>
        <v>0</v>
      </c>
      <c r="BB123" s="82">
        <f t="shared" si="840"/>
        <v>0</v>
      </c>
      <c r="BC123" s="82">
        <f t="shared" si="464"/>
        <v>1</v>
      </c>
      <c r="BD123" s="82">
        <f t="shared" si="841"/>
        <v>1268730</v>
      </c>
      <c r="BE123" s="82">
        <f t="shared" si="842"/>
        <v>0</v>
      </c>
      <c r="BF123" s="82">
        <f t="shared" si="843"/>
        <v>0</v>
      </c>
      <c r="BG123" s="82">
        <f t="shared" si="468"/>
        <v>1</v>
      </c>
      <c r="BH123" s="82">
        <f t="shared" si="844"/>
        <v>1268730</v>
      </c>
      <c r="BI123" s="82"/>
      <c r="BJ123" s="83"/>
      <c r="BK123" s="82">
        <f t="shared" si="845"/>
        <v>0</v>
      </c>
      <c r="BL123" s="82">
        <f t="shared" si="846"/>
        <v>0</v>
      </c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>
        <f t="shared" si="847"/>
        <v>0</v>
      </c>
      <c r="BX123" s="82">
        <f t="shared" si="848"/>
        <v>0</v>
      </c>
      <c r="BY123" s="82">
        <f t="shared" si="474"/>
        <v>1</v>
      </c>
      <c r="BZ123" s="82">
        <f t="shared" si="849"/>
        <v>1268730</v>
      </c>
      <c r="CA123" s="82"/>
      <c r="CB123" s="82"/>
      <c r="CC123" s="82">
        <f t="shared" si="850"/>
        <v>0</v>
      </c>
      <c r="CD123" s="82">
        <f t="shared" si="851"/>
        <v>0</v>
      </c>
      <c r="CE123" s="82"/>
      <c r="CF123" s="82"/>
      <c r="CG123" s="82"/>
      <c r="CH123" s="82"/>
      <c r="CI123" s="82">
        <f t="shared" si="852"/>
        <v>0</v>
      </c>
      <c r="CJ123" s="82">
        <f t="shared" si="853"/>
        <v>0</v>
      </c>
      <c r="CK123" s="82">
        <f t="shared" si="480"/>
        <v>1</v>
      </c>
      <c r="CL123" s="82">
        <f t="shared" si="854"/>
        <v>1268730</v>
      </c>
      <c r="CM123" s="82"/>
      <c r="CN123" s="82"/>
      <c r="CO123" s="82">
        <f t="shared" si="35"/>
        <v>0</v>
      </c>
      <c r="CP123" s="82">
        <f t="shared" si="36"/>
        <v>0</v>
      </c>
      <c r="CQ123" s="82"/>
      <c r="CR123" s="82"/>
      <c r="CS123" s="82"/>
      <c r="CT123" s="82"/>
      <c r="CU123" s="82">
        <f t="shared" si="855"/>
        <v>0</v>
      </c>
      <c r="CV123" s="82">
        <f t="shared" si="856"/>
        <v>0</v>
      </c>
      <c r="CW123" s="82">
        <f t="shared" si="39"/>
        <v>1</v>
      </c>
      <c r="CX123" s="82">
        <f t="shared" si="857"/>
        <v>1268730</v>
      </c>
      <c r="CY123" s="82">
        <f t="shared" si="41"/>
        <v>0</v>
      </c>
      <c r="CZ123" s="82">
        <f t="shared" si="345"/>
        <v>0</v>
      </c>
      <c r="DA123" s="82">
        <f t="shared" si="43"/>
        <v>1</v>
      </c>
      <c r="DB123" s="82">
        <f t="shared" si="44"/>
        <v>1268730</v>
      </c>
      <c r="DC123" s="91"/>
      <c r="DD123" s="82"/>
      <c r="DE123" s="82"/>
      <c r="DF123" s="82">
        <f t="shared" si="858"/>
        <v>0</v>
      </c>
      <c r="DG123" s="82">
        <f t="shared" si="859"/>
        <v>0</v>
      </c>
      <c r="DH123" s="82"/>
      <c r="DI123" s="82"/>
      <c r="DJ123" s="82"/>
      <c r="DK123" s="82"/>
      <c r="DL123" s="82">
        <f t="shared" si="860"/>
        <v>0</v>
      </c>
      <c r="DM123" s="82">
        <f t="shared" si="861"/>
        <v>0</v>
      </c>
      <c r="DN123" s="82">
        <f t="shared" si="862"/>
        <v>1</v>
      </c>
      <c r="DO123" s="82">
        <f t="shared" si="863"/>
        <v>1268730</v>
      </c>
      <c r="DP123" s="82"/>
      <c r="DQ123" s="82"/>
      <c r="DR123" s="82">
        <f t="shared" si="864"/>
        <v>0</v>
      </c>
      <c r="DS123" s="82">
        <f t="shared" si="865"/>
        <v>0</v>
      </c>
      <c r="DT123" s="82"/>
      <c r="DU123" s="82"/>
      <c r="DV123" s="82"/>
      <c r="DW123" s="82"/>
      <c r="DX123" s="82">
        <f t="shared" si="866"/>
        <v>0</v>
      </c>
      <c r="DY123" s="82">
        <f t="shared" si="867"/>
        <v>0</v>
      </c>
      <c r="DZ123" s="82">
        <f t="shared" si="868"/>
        <v>1</v>
      </c>
      <c r="EA123" s="82">
        <f t="shared" si="869"/>
        <v>1268730</v>
      </c>
      <c r="EB123" s="82"/>
      <c r="EC123" s="82"/>
      <c r="ED123" s="82">
        <f t="shared" si="870"/>
        <v>0</v>
      </c>
      <c r="EE123" s="82">
        <f t="shared" si="871"/>
        <v>0</v>
      </c>
      <c r="EF123" s="82"/>
      <c r="EG123" s="82"/>
      <c r="EH123" s="82"/>
      <c r="EI123" s="82"/>
      <c r="EJ123" s="82">
        <f t="shared" si="872"/>
        <v>0</v>
      </c>
      <c r="EK123" s="82">
        <f t="shared" si="873"/>
        <v>0</v>
      </c>
      <c r="EL123" s="82">
        <f t="shared" si="874"/>
        <v>1</v>
      </c>
      <c r="EM123" s="82">
        <f t="shared" si="875"/>
        <v>1268730</v>
      </c>
      <c r="EN123" s="82">
        <f t="shared" si="876"/>
        <v>0</v>
      </c>
      <c r="EO123" s="82">
        <f t="shared" si="877"/>
        <v>0</v>
      </c>
      <c r="EP123" s="82">
        <f t="shared" si="878"/>
        <v>1</v>
      </c>
      <c r="EQ123" s="82">
        <f t="shared" si="879"/>
        <v>1268730</v>
      </c>
      <c r="ER123" s="82"/>
      <c r="ES123" s="82"/>
      <c r="ET123" s="82">
        <f t="shared" si="880"/>
        <v>0</v>
      </c>
      <c r="EU123" s="82">
        <f t="shared" si="881"/>
        <v>0</v>
      </c>
      <c r="EV123" s="82"/>
      <c r="EW123" s="82"/>
      <c r="EX123" s="82"/>
      <c r="EY123" s="82"/>
      <c r="EZ123" s="82">
        <f t="shared" si="882"/>
        <v>0</v>
      </c>
      <c r="FA123" s="82">
        <f t="shared" si="883"/>
        <v>0</v>
      </c>
      <c r="FB123" s="82">
        <f t="shared" si="884"/>
        <v>1</v>
      </c>
      <c r="FC123" s="82">
        <f t="shared" si="885"/>
        <v>1268730</v>
      </c>
      <c r="FD123" s="82"/>
      <c r="FE123" s="82"/>
      <c r="FF123" s="82">
        <f t="shared" si="886"/>
        <v>0</v>
      </c>
      <c r="FG123" s="82">
        <f t="shared" si="887"/>
        <v>0</v>
      </c>
      <c r="FH123" s="82"/>
      <c r="FI123" s="82"/>
      <c r="FJ123" s="82"/>
      <c r="FK123" s="82"/>
      <c r="FL123" s="82">
        <f t="shared" si="888"/>
        <v>0</v>
      </c>
      <c r="FM123" s="82">
        <f t="shared" si="889"/>
        <v>0</v>
      </c>
      <c r="FN123" s="82">
        <f t="shared" si="890"/>
        <v>1</v>
      </c>
      <c r="FO123" s="82">
        <f t="shared" si="891"/>
        <v>1268730</v>
      </c>
      <c r="FP123" s="82"/>
      <c r="FQ123" s="82"/>
      <c r="FR123" s="82">
        <f t="shared" si="892"/>
        <v>0</v>
      </c>
      <c r="FS123" s="82">
        <f t="shared" si="893"/>
        <v>0</v>
      </c>
      <c r="FT123" s="82"/>
      <c r="FU123" s="82"/>
      <c r="FV123" s="82"/>
      <c r="FW123" s="82"/>
      <c r="FX123" s="82">
        <f t="shared" si="894"/>
        <v>0</v>
      </c>
      <c r="FY123" s="82">
        <f t="shared" si="895"/>
        <v>0</v>
      </c>
      <c r="FZ123" s="82">
        <f t="shared" si="896"/>
        <v>1</v>
      </c>
      <c r="GA123" s="82">
        <f t="shared" si="897"/>
        <v>1268730</v>
      </c>
      <c r="GB123" s="82">
        <f t="shared" si="898"/>
        <v>0</v>
      </c>
      <c r="GC123" s="82">
        <f t="shared" si="899"/>
        <v>0</v>
      </c>
      <c r="GD123" s="82">
        <f t="shared" si="900"/>
        <v>1</v>
      </c>
      <c r="GE123" s="82">
        <f t="shared" si="901"/>
        <v>1268730</v>
      </c>
      <c r="GF123" s="85"/>
    </row>
    <row r="124" ht="29.25" customHeight="1">
      <c r="A124" s="76">
        <v>68.0</v>
      </c>
      <c r="B124" s="87"/>
      <c r="C124" s="77" t="s">
        <v>193</v>
      </c>
      <c r="D124" s="78" t="s">
        <v>118</v>
      </c>
      <c r="E124" s="79">
        <v>1232100.0</v>
      </c>
      <c r="F124" s="61" t="s">
        <v>97</v>
      </c>
      <c r="G124" s="81">
        <v>2.0</v>
      </c>
      <c r="H124" s="82">
        <v>2464200.0</v>
      </c>
      <c r="I124" s="82"/>
      <c r="J124" s="82"/>
      <c r="K124" s="82">
        <f t="shared" si="827"/>
        <v>0</v>
      </c>
      <c r="L124" s="82">
        <f t="shared" si="828"/>
        <v>0</v>
      </c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>
        <f t="shared" si="829"/>
        <v>0</v>
      </c>
      <c r="AC124" s="82">
        <f t="shared" si="830"/>
        <v>0</v>
      </c>
      <c r="AD124" s="82">
        <f t="shared" si="452"/>
        <v>2</v>
      </c>
      <c r="AE124" s="82">
        <f t="shared" si="831"/>
        <v>2464200</v>
      </c>
      <c r="AF124" s="82"/>
      <c r="AG124" s="82"/>
      <c r="AH124" s="82">
        <f t="shared" si="832"/>
        <v>0</v>
      </c>
      <c r="AI124" s="82">
        <f t="shared" si="833"/>
        <v>0</v>
      </c>
      <c r="AJ124" s="82"/>
      <c r="AK124" s="82"/>
      <c r="AL124" s="82"/>
      <c r="AM124" s="82"/>
      <c r="AN124" s="82">
        <f t="shared" si="834"/>
        <v>0</v>
      </c>
      <c r="AO124" s="82">
        <f t="shared" si="835"/>
        <v>0</v>
      </c>
      <c r="AP124" s="82">
        <f t="shared" si="458"/>
        <v>2</v>
      </c>
      <c r="AQ124" s="82">
        <f t="shared" si="836"/>
        <v>2464200</v>
      </c>
      <c r="AR124" s="82"/>
      <c r="AS124" s="82"/>
      <c r="AT124" s="82"/>
      <c r="AU124" s="82">
        <f t="shared" si="837"/>
        <v>0</v>
      </c>
      <c r="AV124" s="82">
        <f t="shared" si="838"/>
        <v>0</v>
      </c>
      <c r="AW124" s="82"/>
      <c r="AX124" s="82"/>
      <c r="AY124" s="82"/>
      <c r="AZ124" s="82"/>
      <c r="BA124" s="82">
        <f t="shared" si="839"/>
        <v>0</v>
      </c>
      <c r="BB124" s="82">
        <f t="shared" si="840"/>
        <v>0</v>
      </c>
      <c r="BC124" s="82">
        <f t="shared" si="464"/>
        <v>2</v>
      </c>
      <c r="BD124" s="82">
        <f t="shared" si="841"/>
        <v>2464200</v>
      </c>
      <c r="BE124" s="82">
        <f t="shared" si="842"/>
        <v>0</v>
      </c>
      <c r="BF124" s="82">
        <f t="shared" si="843"/>
        <v>0</v>
      </c>
      <c r="BG124" s="82">
        <f t="shared" si="468"/>
        <v>2</v>
      </c>
      <c r="BH124" s="82">
        <f t="shared" si="844"/>
        <v>2464200</v>
      </c>
      <c r="BI124" s="82"/>
      <c r="BJ124" s="83"/>
      <c r="BK124" s="82">
        <f t="shared" si="845"/>
        <v>0</v>
      </c>
      <c r="BL124" s="82">
        <f t="shared" si="846"/>
        <v>0</v>
      </c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>
        <f t="shared" si="847"/>
        <v>0</v>
      </c>
      <c r="BX124" s="82">
        <f t="shared" si="848"/>
        <v>0</v>
      </c>
      <c r="BY124" s="82">
        <f t="shared" si="474"/>
        <v>2</v>
      </c>
      <c r="BZ124" s="82">
        <f t="shared" si="849"/>
        <v>2464200</v>
      </c>
      <c r="CA124" s="82"/>
      <c r="CB124" s="82"/>
      <c r="CC124" s="82">
        <f t="shared" si="850"/>
        <v>0</v>
      </c>
      <c r="CD124" s="82">
        <f t="shared" si="851"/>
        <v>0</v>
      </c>
      <c r="CE124" s="82"/>
      <c r="CF124" s="82"/>
      <c r="CG124" s="82"/>
      <c r="CH124" s="82"/>
      <c r="CI124" s="82">
        <f t="shared" si="852"/>
        <v>0</v>
      </c>
      <c r="CJ124" s="82">
        <f t="shared" si="853"/>
        <v>0</v>
      </c>
      <c r="CK124" s="82">
        <f t="shared" si="480"/>
        <v>2</v>
      </c>
      <c r="CL124" s="82">
        <f t="shared" si="854"/>
        <v>2464200</v>
      </c>
      <c r="CM124" s="82"/>
      <c r="CN124" s="82"/>
      <c r="CO124" s="82">
        <f t="shared" si="35"/>
        <v>0</v>
      </c>
      <c r="CP124" s="82">
        <f t="shared" si="36"/>
        <v>0</v>
      </c>
      <c r="CQ124" s="82"/>
      <c r="CR124" s="82"/>
      <c r="CS124" s="82"/>
      <c r="CT124" s="82"/>
      <c r="CU124" s="82">
        <f t="shared" si="855"/>
        <v>0</v>
      </c>
      <c r="CV124" s="82">
        <f t="shared" si="856"/>
        <v>0</v>
      </c>
      <c r="CW124" s="82">
        <f t="shared" si="39"/>
        <v>2</v>
      </c>
      <c r="CX124" s="82">
        <f t="shared" si="857"/>
        <v>2464200</v>
      </c>
      <c r="CY124" s="82">
        <f t="shared" si="41"/>
        <v>0</v>
      </c>
      <c r="CZ124" s="82">
        <f t="shared" si="345"/>
        <v>0</v>
      </c>
      <c r="DA124" s="82">
        <f t="shared" si="43"/>
        <v>2</v>
      </c>
      <c r="DB124" s="82">
        <f t="shared" si="44"/>
        <v>2464200</v>
      </c>
      <c r="DC124" s="84">
        <v>5.0</v>
      </c>
      <c r="DD124" s="82"/>
      <c r="DE124" s="82"/>
      <c r="DF124" s="82">
        <f t="shared" si="858"/>
        <v>0</v>
      </c>
      <c r="DG124" s="82">
        <f t="shared" si="859"/>
        <v>0</v>
      </c>
      <c r="DH124" s="82"/>
      <c r="DI124" s="82"/>
      <c r="DJ124" s="82"/>
      <c r="DK124" s="82"/>
      <c r="DL124" s="82">
        <f t="shared" si="860"/>
        <v>0</v>
      </c>
      <c r="DM124" s="82">
        <f t="shared" si="861"/>
        <v>0</v>
      </c>
      <c r="DN124" s="82">
        <f t="shared" si="862"/>
        <v>2</v>
      </c>
      <c r="DO124" s="82">
        <f t="shared" si="863"/>
        <v>2464200</v>
      </c>
      <c r="DP124" s="82"/>
      <c r="DQ124" s="82"/>
      <c r="DR124" s="82">
        <f t="shared" si="864"/>
        <v>0</v>
      </c>
      <c r="DS124" s="82">
        <f t="shared" si="865"/>
        <v>0</v>
      </c>
      <c r="DT124" s="82"/>
      <c r="DU124" s="82"/>
      <c r="DV124" s="82"/>
      <c r="DW124" s="82"/>
      <c r="DX124" s="82">
        <f t="shared" si="866"/>
        <v>0</v>
      </c>
      <c r="DY124" s="82">
        <f t="shared" si="867"/>
        <v>0</v>
      </c>
      <c r="DZ124" s="82">
        <f t="shared" si="868"/>
        <v>2</v>
      </c>
      <c r="EA124" s="82">
        <f t="shared" si="869"/>
        <v>2464200</v>
      </c>
      <c r="EB124" s="82"/>
      <c r="EC124" s="82"/>
      <c r="ED124" s="82">
        <f t="shared" si="870"/>
        <v>0</v>
      </c>
      <c r="EE124" s="82">
        <f t="shared" si="871"/>
        <v>0</v>
      </c>
      <c r="EF124" s="82"/>
      <c r="EG124" s="82"/>
      <c r="EH124" s="82"/>
      <c r="EI124" s="82"/>
      <c r="EJ124" s="82">
        <f t="shared" si="872"/>
        <v>0</v>
      </c>
      <c r="EK124" s="82">
        <f t="shared" si="873"/>
        <v>0</v>
      </c>
      <c r="EL124" s="82">
        <f t="shared" si="874"/>
        <v>2</v>
      </c>
      <c r="EM124" s="82">
        <f t="shared" si="875"/>
        <v>2464200</v>
      </c>
      <c r="EN124" s="82">
        <f t="shared" si="876"/>
        <v>0</v>
      </c>
      <c r="EO124" s="82">
        <f t="shared" si="877"/>
        <v>0</v>
      </c>
      <c r="EP124" s="82">
        <f t="shared" si="878"/>
        <v>2</v>
      </c>
      <c r="EQ124" s="82">
        <f t="shared" si="879"/>
        <v>2464200</v>
      </c>
      <c r="ER124" s="82"/>
      <c r="ES124" s="82"/>
      <c r="ET124" s="82">
        <f t="shared" si="880"/>
        <v>0</v>
      </c>
      <c r="EU124" s="82">
        <f t="shared" si="881"/>
        <v>0</v>
      </c>
      <c r="EV124" s="82"/>
      <c r="EW124" s="82"/>
      <c r="EX124" s="82"/>
      <c r="EY124" s="82"/>
      <c r="EZ124" s="82">
        <f t="shared" si="882"/>
        <v>0</v>
      </c>
      <c r="FA124" s="82">
        <f t="shared" si="883"/>
        <v>0</v>
      </c>
      <c r="FB124" s="82">
        <f t="shared" si="884"/>
        <v>2</v>
      </c>
      <c r="FC124" s="82">
        <f t="shared" si="885"/>
        <v>2464200</v>
      </c>
      <c r="FD124" s="82"/>
      <c r="FE124" s="82"/>
      <c r="FF124" s="82">
        <f t="shared" si="886"/>
        <v>0</v>
      </c>
      <c r="FG124" s="82">
        <f t="shared" si="887"/>
        <v>0</v>
      </c>
      <c r="FH124" s="82"/>
      <c r="FI124" s="82"/>
      <c r="FJ124" s="82"/>
      <c r="FK124" s="82"/>
      <c r="FL124" s="82">
        <f t="shared" si="888"/>
        <v>0</v>
      </c>
      <c r="FM124" s="82">
        <f t="shared" si="889"/>
        <v>0</v>
      </c>
      <c r="FN124" s="82">
        <f t="shared" si="890"/>
        <v>2</v>
      </c>
      <c r="FO124" s="82">
        <f t="shared" si="891"/>
        <v>2464200</v>
      </c>
      <c r="FP124" s="82"/>
      <c r="FQ124" s="82"/>
      <c r="FR124" s="82">
        <f t="shared" si="892"/>
        <v>0</v>
      </c>
      <c r="FS124" s="82">
        <f t="shared" si="893"/>
        <v>0</v>
      </c>
      <c r="FT124" s="82"/>
      <c r="FU124" s="82"/>
      <c r="FV124" s="82"/>
      <c r="FW124" s="82"/>
      <c r="FX124" s="82">
        <f t="shared" si="894"/>
        <v>0</v>
      </c>
      <c r="FY124" s="82">
        <f t="shared" si="895"/>
        <v>0</v>
      </c>
      <c r="FZ124" s="82">
        <f t="shared" si="896"/>
        <v>2</v>
      </c>
      <c r="GA124" s="82">
        <f t="shared" si="897"/>
        <v>2464200</v>
      </c>
      <c r="GB124" s="82">
        <f t="shared" si="898"/>
        <v>0</v>
      </c>
      <c r="GC124" s="82">
        <f t="shared" si="899"/>
        <v>0</v>
      </c>
      <c r="GD124" s="82">
        <f t="shared" si="900"/>
        <v>2</v>
      </c>
      <c r="GE124" s="82">
        <f t="shared" si="901"/>
        <v>2464200</v>
      </c>
      <c r="GF124" s="85"/>
    </row>
    <row r="125" ht="29.25" customHeight="1">
      <c r="A125" s="50"/>
      <c r="B125" s="50"/>
      <c r="C125" s="50"/>
      <c r="D125" s="78" t="s">
        <v>118</v>
      </c>
      <c r="E125" s="79">
        <v>1411920.0</v>
      </c>
      <c r="F125" s="61"/>
      <c r="G125" s="81">
        <v>1.0</v>
      </c>
      <c r="H125" s="82">
        <v>1411920.0</v>
      </c>
      <c r="I125" s="82"/>
      <c r="J125" s="82"/>
      <c r="K125" s="82">
        <f t="shared" si="827"/>
        <v>0</v>
      </c>
      <c r="L125" s="82">
        <f t="shared" si="828"/>
        <v>0</v>
      </c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>
        <f t="shared" si="829"/>
        <v>0</v>
      </c>
      <c r="AC125" s="82">
        <f t="shared" si="830"/>
        <v>0</v>
      </c>
      <c r="AD125" s="82">
        <f t="shared" si="452"/>
        <v>1</v>
      </c>
      <c r="AE125" s="82">
        <f t="shared" si="831"/>
        <v>1411920</v>
      </c>
      <c r="AF125" s="82"/>
      <c r="AG125" s="82"/>
      <c r="AH125" s="82">
        <f t="shared" si="832"/>
        <v>0</v>
      </c>
      <c r="AI125" s="82">
        <f t="shared" si="833"/>
        <v>0</v>
      </c>
      <c r="AJ125" s="82"/>
      <c r="AK125" s="82"/>
      <c r="AL125" s="82"/>
      <c r="AM125" s="82"/>
      <c r="AN125" s="82">
        <f t="shared" si="834"/>
        <v>0</v>
      </c>
      <c r="AO125" s="82">
        <f t="shared" si="835"/>
        <v>0</v>
      </c>
      <c r="AP125" s="82">
        <f t="shared" si="458"/>
        <v>1</v>
      </c>
      <c r="AQ125" s="82">
        <f t="shared" si="836"/>
        <v>1411920</v>
      </c>
      <c r="AR125" s="82"/>
      <c r="AS125" s="82"/>
      <c r="AT125" s="82"/>
      <c r="AU125" s="82">
        <f t="shared" si="837"/>
        <v>0</v>
      </c>
      <c r="AV125" s="82">
        <f t="shared" si="838"/>
        <v>0</v>
      </c>
      <c r="AW125" s="82"/>
      <c r="AX125" s="82"/>
      <c r="AY125" s="82"/>
      <c r="AZ125" s="82"/>
      <c r="BA125" s="82">
        <f t="shared" si="839"/>
        <v>0</v>
      </c>
      <c r="BB125" s="82">
        <f t="shared" si="840"/>
        <v>0</v>
      </c>
      <c r="BC125" s="82">
        <f t="shared" si="464"/>
        <v>1</v>
      </c>
      <c r="BD125" s="82">
        <f t="shared" si="841"/>
        <v>1411920</v>
      </c>
      <c r="BE125" s="82">
        <f t="shared" si="842"/>
        <v>0</v>
      </c>
      <c r="BF125" s="82">
        <f t="shared" si="843"/>
        <v>0</v>
      </c>
      <c r="BG125" s="82">
        <f t="shared" si="468"/>
        <v>1</v>
      </c>
      <c r="BH125" s="82">
        <f t="shared" si="844"/>
        <v>1411920</v>
      </c>
      <c r="BI125" s="82"/>
      <c r="BJ125" s="83"/>
      <c r="BK125" s="82">
        <f t="shared" si="845"/>
        <v>0</v>
      </c>
      <c r="BL125" s="82">
        <f t="shared" si="846"/>
        <v>0</v>
      </c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>
        <f t="shared" si="847"/>
        <v>0</v>
      </c>
      <c r="BX125" s="82">
        <f t="shared" si="848"/>
        <v>0</v>
      </c>
      <c r="BY125" s="82">
        <f t="shared" si="474"/>
        <v>1</v>
      </c>
      <c r="BZ125" s="82">
        <f t="shared" si="849"/>
        <v>1411920</v>
      </c>
      <c r="CA125" s="82"/>
      <c r="CB125" s="82"/>
      <c r="CC125" s="82">
        <f t="shared" si="850"/>
        <v>0</v>
      </c>
      <c r="CD125" s="82">
        <f t="shared" si="851"/>
        <v>0</v>
      </c>
      <c r="CE125" s="82"/>
      <c r="CF125" s="82"/>
      <c r="CG125" s="82"/>
      <c r="CH125" s="82"/>
      <c r="CI125" s="82">
        <f t="shared" si="852"/>
        <v>0</v>
      </c>
      <c r="CJ125" s="82">
        <f t="shared" si="853"/>
        <v>0</v>
      </c>
      <c r="CK125" s="82">
        <f t="shared" si="480"/>
        <v>1</v>
      </c>
      <c r="CL125" s="82">
        <f t="shared" si="854"/>
        <v>1411920</v>
      </c>
      <c r="CM125" s="82"/>
      <c r="CN125" s="82"/>
      <c r="CO125" s="82">
        <f t="shared" si="35"/>
        <v>0</v>
      </c>
      <c r="CP125" s="82">
        <f t="shared" si="36"/>
        <v>0</v>
      </c>
      <c r="CQ125" s="82"/>
      <c r="CR125" s="82"/>
      <c r="CS125" s="82"/>
      <c r="CT125" s="82"/>
      <c r="CU125" s="82">
        <f t="shared" si="855"/>
        <v>0</v>
      </c>
      <c r="CV125" s="82">
        <f t="shared" si="856"/>
        <v>0</v>
      </c>
      <c r="CW125" s="82">
        <f t="shared" si="39"/>
        <v>1</v>
      </c>
      <c r="CX125" s="82">
        <f t="shared" si="857"/>
        <v>1411920</v>
      </c>
      <c r="CY125" s="82">
        <f t="shared" si="41"/>
        <v>0</v>
      </c>
      <c r="CZ125" s="82">
        <f t="shared" si="345"/>
        <v>0</v>
      </c>
      <c r="DA125" s="82">
        <f t="shared" si="43"/>
        <v>1</v>
      </c>
      <c r="DB125" s="82">
        <f t="shared" si="44"/>
        <v>1411920</v>
      </c>
      <c r="DC125" s="91"/>
      <c r="DD125" s="82"/>
      <c r="DE125" s="82"/>
      <c r="DF125" s="82">
        <f t="shared" si="858"/>
        <v>0</v>
      </c>
      <c r="DG125" s="82">
        <f t="shared" si="859"/>
        <v>0</v>
      </c>
      <c r="DH125" s="82"/>
      <c r="DI125" s="82"/>
      <c r="DJ125" s="82"/>
      <c r="DK125" s="82"/>
      <c r="DL125" s="82">
        <f t="shared" si="860"/>
        <v>0</v>
      </c>
      <c r="DM125" s="82">
        <f t="shared" si="861"/>
        <v>0</v>
      </c>
      <c r="DN125" s="82">
        <f t="shared" si="862"/>
        <v>1</v>
      </c>
      <c r="DO125" s="82">
        <f t="shared" si="863"/>
        <v>1411920</v>
      </c>
      <c r="DP125" s="82"/>
      <c r="DQ125" s="82"/>
      <c r="DR125" s="82">
        <f t="shared" si="864"/>
        <v>0</v>
      </c>
      <c r="DS125" s="82">
        <f t="shared" si="865"/>
        <v>0</v>
      </c>
      <c r="DT125" s="82"/>
      <c r="DU125" s="82"/>
      <c r="DV125" s="82"/>
      <c r="DW125" s="82"/>
      <c r="DX125" s="82">
        <f t="shared" si="866"/>
        <v>0</v>
      </c>
      <c r="DY125" s="82">
        <f t="shared" si="867"/>
        <v>0</v>
      </c>
      <c r="DZ125" s="82">
        <f t="shared" si="868"/>
        <v>1</v>
      </c>
      <c r="EA125" s="82">
        <f t="shared" si="869"/>
        <v>1411920</v>
      </c>
      <c r="EB125" s="82"/>
      <c r="EC125" s="82"/>
      <c r="ED125" s="82">
        <f t="shared" si="870"/>
        <v>0</v>
      </c>
      <c r="EE125" s="82">
        <f t="shared" si="871"/>
        <v>0</v>
      </c>
      <c r="EF125" s="82"/>
      <c r="EG125" s="82"/>
      <c r="EH125" s="82"/>
      <c r="EI125" s="82"/>
      <c r="EJ125" s="82">
        <f t="shared" si="872"/>
        <v>0</v>
      </c>
      <c r="EK125" s="82">
        <f t="shared" si="873"/>
        <v>0</v>
      </c>
      <c r="EL125" s="82">
        <f t="shared" si="874"/>
        <v>1</v>
      </c>
      <c r="EM125" s="82">
        <f t="shared" si="875"/>
        <v>1411920</v>
      </c>
      <c r="EN125" s="82">
        <f t="shared" si="876"/>
        <v>0</v>
      </c>
      <c r="EO125" s="82">
        <f t="shared" si="877"/>
        <v>0</v>
      </c>
      <c r="EP125" s="82">
        <f t="shared" si="878"/>
        <v>1</v>
      </c>
      <c r="EQ125" s="82">
        <f t="shared" si="879"/>
        <v>1411920</v>
      </c>
      <c r="ER125" s="82"/>
      <c r="ES125" s="82"/>
      <c r="ET125" s="82">
        <f t="shared" si="880"/>
        <v>0</v>
      </c>
      <c r="EU125" s="82">
        <f t="shared" si="881"/>
        <v>0</v>
      </c>
      <c r="EV125" s="82"/>
      <c r="EW125" s="82"/>
      <c r="EX125" s="82"/>
      <c r="EY125" s="82"/>
      <c r="EZ125" s="82">
        <f t="shared" si="882"/>
        <v>0</v>
      </c>
      <c r="FA125" s="82">
        <f t="shared" si="883"/>
        <v>0</v>
      </c>
      <c r="FB125" s="82">
        <f t="shared" si="884"/>
        <v>1</v>
      </c>
      <c r="FC125" s="82">
        <f t="shared" si="885"/>
        <v>1411920</v>
      </c>
      <c r="FD125" s="82"/>
      <c r="FE125" s="82"/>
      <c r="FF125" s="82">
        <f t="shared" si="886"/>
        <v>0</v>
      </c>
      <c r="FG125" s="82">
        <f t="shared" si="887"/>
        <v>0</v>
      </c>
      <c r="FH125" s="82"/>
      <c r="FI125" s="82"/>
      <c r="FJ125" s="82"/>
      <c r="FK125" s="82"/>
      <c r="FL125" s="82">
        <f t="shared" si="888"/>
        <v>0</v>
      </c>
      <c r="FM125" s="82">
        <f t="shared" si="889"/>
        <v>0</v>
      </c>
      <c r="FN125" s="82">
        <f t="shared" si="890"/>
        <v>1</v>
      </c>
      <c r="FO125" s="82">
        <f t="shared" si="891"/>
        <v>1411920</v>
      </c>
      <c r="FP125" s="82"/>
      <c r="FQ125" s="82"/>
      <c r="FR125" s="82">
        <f t="shared" si="892"/>
        <v>0</v>
      </c>
      <c r="FS125" s="82">
        <f t="shared" si="893"/>
        <v>0</v>
      </c>
      <c r="FT125" s="82"/>
      <c r="FU125" s="82"/>
      <c r="FV125" s="82"/>
      <c r="FW125" s="82"/>
      <c r="FX125" s="82">
        <f t="shared" si="894"/>
        <v>0</v>
      </c>
      <c r="FY125" s="82">
        <f t="shared" si="895"/>
        <v>0</v>
      </c>
      <c r="FZ125" s="82">
        <f t="shared" si="896"/>
        <v>1</v>
      </c>
      <c r="GA125" s="82">
        <f t="shared" si="897"/>
        <v>1411920</v>
      </c>
      <c r="GB125" s="82">
        <f t="shared" si="898"/>
        <v>0</v>
      </c>
      <c r="GC125" s="82">
        <f t="shared" si="899"/>
        <v>0</v>
      </c>
      <c r="GD125" s="82">
        <f t="shared" si="900"/>
        <v>1</v>
      </c>
      <c r="GE125" s="82">
        <f t="shared" si="901"/>
        <v>1411920</v>
      </c>
      <c r="GF125" s="85"/>
    </row>
    <row r="126" ht="29.25" customHeight="1">
      <c r="A126" s="76">
        <v>69.0</v>
      </c>
      <c r="B126" s="87"/>
      <c r="C126" s="77" t="s">
        <v>194</v>
      </c>
      <c r="D126" s="78" t="s">
        <v>118</v>
      </c>
      <c r="E126" s="79">
        <v>1232100.0</v>
      </c>
      <c r="F126" s="61" t="s">
        <v>97</v>
      </c>
      <c r="G126" s="81">
        <v>2.0</v>
      </c>
      <c r="H126" s="82">
        <v>2464200.0</v>
      </c>
      <c r="I126" s="82"/>
      <c r="J126" s="82"/>
      <c r="K126" s="82">
        <f t="shared" si="827"/>
        <v>0</v>
      </c>
      <c r="L126" s="82">
        <f t="shared" si="828"/>
        <v>0</v>
      </c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>
        <f t="shared" si="829"/>
        <v>0</v>
      </c>
      <c r="AC126" s="82">
        <f t="shared" si="830"/>
        <v>0</v>
      </c>
      <c r="AD126" s="82">
        <f t="shared" si="452"/>
        <v>2</v>
      </c>
      <c r="AE126" s="82">
        <f t="shared" si="831"/>
        <v>2464200</v>
      </c>
      <c r="AF126" s="82"/>
      <c r="AG126" s="82"/>
      <c r="AH126" s="82">
        <f t="shared" si="832"/>
        <v>0</v>
      </c>
      <c r="AI126" s="82">
        <f t="shared" si="833"/>
        <v>0</v>
      </c>
      <c r="AJ126" s="82"/>
      <c r="AK126" s="82"/>
      <c r="AL126" s="82"/>
      <c r="AM126" s="82"/>
      <c r="AN126" s="82">
        <f t="shared" si="834"/>
        <v>0</v>
      </c>
      <c r="AO126" s="82">
        <f t="shared" si="835"/>
        <v>0</v>
      </c>
      <c r="AP126" s="82">
        <f t="shared" si="458"/>
        <v>2</v>
      </c>
      <c r="AQ126" s="82">
        <f t="shared" si="836"/>
        <v>2464200</v>
      </c>
      <c r="AR126" s="82"/>
      <c r="AS126" s="82"/>
      <c r="AT126" s="82"/>
      <c r="AU126" s="82">
        <f t="shared" si="837"/>
        <v>0</v>
      </c>
      <c r="AV126" s="82">
        <f t="shared" si="838"/>
        <v>0</v>
      </c>
      <c r="AW126" s="82"/>
      <c r="AX126" s="82"/>
      <c r="AY126" s="82"/>
      <c r="AZ126" s="82"/>
      <c r="BA126" s="82">
        <f t="shared" si="839"/>
        <v>0</v>
      </c>
      <c r="BB126" s="82">
        <f t="shared" si="840"/>
        <v>0</v>
      </c>
      <c r="BC126" s="82">
        <f t="shared" si="464"/>
        <v>2</v>
      </c>
      <c r="BD126" s="82">
        <f t="shared" si="841"/>
        <v>2464200</v>
      </c>
      <c r="BE126" s="82">
        <f t="shared" si="842"/>
        <v>0</v>
      </c>
      <c r="BF126" s="82">
        <f t="shared" si="843"/>
        <v>0</v>
      </c>
      <c r="BG126" s="82">
        <f t="shared" si="468"/>
        <v>2</v>
      </c>
      <c r="BH126" s="82">
        <f t="shared" si="844"/>
        <v>2464200</v>
      </c>
      <c r="BI126" s="82"/>
      <c r="BJ126" s="83"/>
      <c r="BK126" s="82">
        <f t="shared" si="845"/>
        <v>0</v>
      </c>
      <c r="BL126" s="82">
        <f t="shared" si="846"/>
        <v>0</v>
      </c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>
        <f t="shared" si="847"/>
        <v>0</v>
      </c>
      <c r="BX126" s="82">
        <f t="shared" si="848"/>
        <v>0</v>
      </c>
      <c r="BY126" s="82">
        <f t="shared" si="474"/>
        <v>2</v>
      </c>
      <c r="BZ126" s="82">
        <f t="shared" si="849"/>
        <v>2464200</v>
      </c>
      <c r="CA126" s="82"/>
      <c r="CB126" s="82"/>
      <c r="CC126" s="82">
        <f t="shared" si="850"/>
        <v>0</v>
      </c>
      <c r="CD126" s="82">
        <f t="shared" si="851"/>
        <v>0</v>
      </c>
      <c r="CE126" s="82"/>
      <c r="CF126" s="82"/>
      <c r="CG126" s="82"/>
      <c r="CH126" s="82"/>
      <c r="CI126" s="82">
        <f t="shared" si="852"/>
        <v>0</v>
      </c>
      <c r="CJ126" s="82">
        <f t="shared" si="853"/>
        <v>0</v>
      </c>
      <c r="CK126" s="82">
        <f t="shared" si="480"/>
        <v>2</v>
      </c>
      <c r="CL126" s="82">
        <f t="shared" si="854"/>
        <v>2464200</v>
      </c>
      <c r="CM126" s="82"/>
      <c r="CN126" s="82"/>
      <c r="CO126" s="82">
        <f t="shared" si="35"/>
        <v>0</v>
      </c>
      <c r="CP126" s="82">
        <f t="shared" si="36"/>
        <v>0</v>
      </c>
      <c r="CQ126" s="82"/>
      <c r="CR126" s="82"/>
      <c r="CS126" s="82"/>
      <c r="CT126" s="82"/>
      <c r="CU126" s="82">
        <f t="shared" si="855"/>
        <v>0</v>
      </c>
      <c r="CV126" s="82">
        <f t="shared" si="856"/>
        <v>0</v>
      </c>
      <c r="CW126" s="82">
        <f t="shared" si="39"/>
        <v>2</v>
      </c>
      <c r="CX126" s="82">
        <f t="shared" si="857"/>
        <v>2464200</v>
      </c>
      <c r="CY126" s="82">
        <f t="shared" si="41"/>
        <v>0</v>
      </c>
      <c r="CZ126" s="82">
        <f t="shared" si="345"/>
        <v>0</v>
      </c>
      <c r="DA126" s="82">
        <f t="shared" si="43"/>
        <v>2</v>
      </c>
      <c r="DB126" s="82">
        <f t="shared" si="44"/>
        <v>2464200</v>
      </c>
      <c r="DC126" s="84">
        <v>3.0</v>
      </c>
      <c r="DD126" s="82"/>
      <c r="DE126" s="82"/>
      <c r="DF126" s="82">
        <f t="shared" si="858"/>
        <v>0</v>
      </c>
      <c r="DG126" s="82">
        <f t="shared" si="859"/>
        <v>0</v>
      </c>
      <c r="DH126" s="82"/>
      <c r="DI126" s="82"/>
      <c r="DJ126" s="82"/>
      <c r="DK126" s="82"/>
      <c r="DL126" s="82">
        <f t="shared" si="860"/>
        <v>0</v>
      </c>
      <c r="DM126" s="82">
        <f t="shared" si="861"/>
        <v>0</v>
      </c>
      <c r="DN126" s="82">
        <f t="shared" si="862"/>
        <v>2</v>
      </c>
      <c r="DO126" s="82">
        <f t="shared" si="863"/>
        <v>2464200</v>
      </c>
      <c r="DP126" s="82"/>
      <c r="DQ126" s="82"/>
      <c r="DR126" s="82">
        <f t="shared" si="864"/>
        <v>0</v>
      </c>
      <c r="DS126" s="82">
        <f t="shared" si="865"/>
        <v>0</v>
      </c>
      <c r="DT126" s="82"/>
      <c r="DU126" s="82"/>
      <c r="DV126" s="82"/>
      <c r="DW126" s="82"/>
      <c r="DX126" s="82">
        <f t="shared" si="866"/>
        <v>0</v>
      </c>
      <c r="DY126" s="82">
        <f t="shared" si="867"/>
        <v>0</v>
      </c>
      <c r="DZ126" s="82">
        <f t="shared" si="868"/>
        <v>2</v>
      </c>
      <c r="EA126" s="82">
        <f t="shared" si="869"/>
        <v>2464200</v>
      </c>
      <c r="EB126" s="82"/>
      <c r="EC126" s="82"/>
      <c r="ED126" s="82">
        <f t="shared" si="870"/>
        <v>0</v>
      </c>
      <c r="EE126" s="82">
        <f t="shared" si="871"/>
        <v>0</v>
      </c>
      <c r="EF126" s="82"/>
      <c r="EG126" s="82"/>
      <c r="EH126" s="82"/>
      <c r="EI126" s="82"/>
      <c r="EJ126" s="82">
        <f t="shared" si="872"/>
        <v>0</v>
      </c>
      <c r="EK126" s="82">
        <f t="shared" si="873"/>
        <v>0</v>
      </c>
      <c r="EL126" s="82">
        <f t="shared" si="874"/>
        <v>2</v>
      </c>
      <c r="EM126" s="82">
        <f t="shared" si="875"/>
        <v>2464200</v>
      </c>
      <c r="EN126" s="82">
        <f t="shared" si="876"/>
        <v>0</v>
      </c>
      <c r="EO126" s="82">
        <f t="shared" si="877"/>
        <v>0</v>
      </c>
      <c r="EP126" s="82">
        <f t="shared" si="878"/>
        <v>2</v>
      </c>
      <c r="EQ126" s="82">
        <f t="shared" si="879"/>
        <v>2464200</v>
      </c>
      <c r="ER126" s="82"/>
      <c r="ES126" s="82"/>
      <c r="ET126" s="82">
        <f t="shared" si="880"/>
        <v>0</v>
      </c>
      <c r="EU126" s="82">
        <f t="shared" si="881"/>
        <v>0</v>
      </c>
      <c r="EV126" s="82"/>
      <c r="EW126" s="82"/>
      <c r="EX126" s="82"/>
      <c r="EY126" s="82"/>
      <c r="EZ126" s="82">
        <f t="shared" si="882"/>
        <v>0</v>
      </c>
      <c r="FA126" s="82">
        <f t="shared" si="883"/>
        <v>0</v>
      </c>
      <c r="FB126" s="82">
        <f t="shared" si="884"/>
        <v>2</v>
      </c>
      <c r="FC126" s="82">
        <f t="shared" si="885"/>
        <v>2464200</v>
      </c>
      <c r="FD126" s="82"/>
      <c r="FE126" s="82"/>
      <c r="FF126" s="82">
        <f t="shared" si="886"/>
        <v>0</v>
      </c>
      <c r="FG126" s="82">
        <f t="shared" si="887"/>
        <v>0</v>
      </c>
      <c r="FH126" s="82"/>
      <c r="FI126" s="82"/>
      <c r="FJ126" s="82"/>
      <c r="FK126" s="82"/>
      <c r="FL126" s="82">
        <f t="shared" si="888"/>
        <v>0</v>
      </c>
      <c r="FM126" s="82">
        <f t="shared" si="889"/>
        <v>0</v>
      </c>
      <c r="FN126" s="82">
        <f t="shared" si="890"/>
        <v>2</v>
      </c>
      <c r="FO126" s="82">
        <f t="shared" si="891"/>
        <v>2464200</v>
      </c>
      <c r="FP126" s="82"/>
      <c r="FQ126" s="82"/>
      <c r="FR126" s="82">
        <f t="shared" si="892"/>
        <v>0</v>
      </c>
      <c r="FS126" s="82">
        <f t="shared" si="893"/>
        <v>0</v>
      </c>
      <c r="FT126" s="82"/>
      <c r="FU126" s="82"/>
      <c r="FV126" s="82"/>
      <c r="FW126" s="82"/>
      <c r="FX126" s="82">
        <f t="shared" si="894"/>
        <v>0</v>
      </c>
      <c r="FY126" s="82">
        <f t="shared" si="895"/>
        <v>0</v>
      </c>
      <c r="FZ126" s="82">
        <f t="shared" si="896"/>
        <v>2</v>
      </c>
      <c r="GA126" s="82">
        <f t="shared" si="897"/>
        <v>2464200</v>
      </c>
      <c r="GB126" s="82">
        <f t="shared" si="898"/>
        <v>0</v>
      </c>
      <c r="GC126" s="82">
        <f t="shared" si="899"/>
        <v>0</v>
      </c>
      <c r="GD126" s="82">
        <f t="shared" si="900"/>
        <v>2</v>
      </c>
      <c r="GE126" s="82">
        <f t="shared" si="901"/>
        <v>2464200</v>
      </c>
      <c r="GF126" s="85"/>
    </row>
    <row r="127" ht="29.25" customHeight="1">
      <c r="A127" s="50"/>
      <c r="B127" s="50"/>
      <c r="C127" s="50"/>
      <c r="D127" s="78" t="s">
        <v>118</v>
      </c>
      <c r="E127" s="79">
        <v>1411920.0</v>
      </c>
      <c r="F127" s="61"/>
      <c r="G127" s="81">
        <v>1.0</v>
      </c>
      <c r="H127" s="82">
        <v>1411920.0</v>
      </c>
      <c r="I127" s="82"/>
      <c r="J127" s="82"/>
      <c r="K127" s="82">
        <f t="shared" si="827"/>
        <v>0</v>
      </c>
      <c r="L127" s="82">
        <f t="shared" si="828"/>
        <v>0</v>
      </c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>
        <f t="shared" si="829"/>
        <v>0</v>
      </c>
      <c r="AC127" s="82">
        <f t="shared" si="830"/>
        <v>0</v>
      </c>
      <c r="AD127" s="82">
        <f t="shared" si="452"/>
        <v>1</v>
      </c>
      <c r="AE127" s="82">
        <f t="shared" si="831"/>
        <v>1411920</v>
      </c>
      <c r="AF127" s="82"/>
      <c r="AG127" s="82"/>
      <c r="AH127" s="82">
        <f t="shared" si="832"/>
        <v>0</v>
      </c>
      <c r="AI127" s="82">
        <f t="shared" si="833"/>
        <v>0</v>
      </c>
      <c r="AJ127" s="82"/>
      <c r="AK127" s="82"/>
      <c r="AL127" s="82"/>
      <c r="AM127" s="82"/>
      <c r="AN127" s="82">
        <f t="shared" si="834"/>
        <v>0</v>
      </c>
      <c r="AO127" s="82">
        <f t="shared" si="835"/>
        <v>0</v>
      </c>
      <c r="AP127" s="82">
        <f t="shared" si="458"/>
        <v>1</v>
      </c>
      <c r="AQ127" s="82">
        <f t="shared" si="836"/>
        <v>1411920</v>
      </c>
      <c r="AR127" s="82"/>
      <c r="AS127" s="82"/>
      <c r="AT127" s="82"/>
      <c r="AU127" s="82">
        <f t="shared" si="837"/>
        <v>0</v>
      </c>
      <c r="AV127" s="82">
        <f t="shared" si="838"/>
        <v>0</v>
      </c>
      <c r="AW127" s="82"/>
      <c r="AX127" s="82"/>
      <c r="AY127" s="82"/>
      <c r="AZ127" s="82"/>
      <c r="BA127" s="82">
        <f t="shared" si="839"/>
        <v>0</v>
      </c>
      <c r="BB127" s="82">
        <f t="shared" si="840"/>
        <v>0</v>
      </c>
      <c r="BC127" s="82">
        <f t="shared" si="464"/>
        <v>1</v>
      </c>
      <c r="BD127" s="82">
        <f t="shared" si="841"/>
        <v>1411920</v>
      </c>
      <c r="BE127" s="82">
        <f t="shared" si="842"/>
        <v>0</v>
      </c>
      <c r="BF127" s="82">
        <f t="shared" si="843"/>
        <v>0</v>
      </c>
      <c r="BG127" s="82">
        <f t="shared" si="468"/>
        <v>1</v>
      </c>
      <c r="BH127" s="82">
        <f t="shared" si="844"/>
        <v>1411920</v>
      </c>
      <c r="BI127" s="82"/>
      <c r="BJ127" s="83"/>
      <c r="BK127" s="82">
        <f t="shared" si="845"/>
        <v>0</v>
      </c>
      <c r="BL127" s="82">
        <f t="shared" si="846"/>
        <v>0</v>
      </c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>
        <f t="shared" si="847"/>
        <v>0</v>
      </c>
      <c r="BX127" s="82">
        <f t="shared" si="848"/>
        <v>0</v>
      </c>
      <c r="BY127" s="82">
        <f t="shared" si="474"/>
        <v>1</v>
      </c>
      <c r="BZ127" s="82">
        <f t="shared" si="849"/>
        <v>1411920</v>
      </c>
      <c r="CA127" s="82"/>
      <c r="CB127" s="82"/>
      <c r="CC127" s="82">
        <f t="shared" si="850"/>
        <v>0</v>
      </c>
      <c r="CD127" s="82">
        <f t="shared" si="851"/>
        <v>0</v>
      </c>
      <c r="CE127" s="82"/>
      <c r="CF127" s="82"/>
      <c r="CG127" s="82"/>
      <c r="CH127" s="82"/>
      <c r="CI127" s="82">
        <f t="shared" si="852"/>
        <v>0</v>
      </c>
      <c r="CJ127" s="82">
        <f t="shared" si="853"/>
        <v>0</v>
      </c>
      <c r="CK127" s="82">
        <f t="shared" si="480"/>
        <v>1</v>
      </c>
      <c r="CL127" s="82">
        <f t="shared" si="854"/>
        <v>1411920</v>
      </c>
      <c r="CM127" s="82"/>
      <c r="CN127" s="82"/>
      <c r="CO127" s="82">
        <f t="shared" si="35"/>
        <v>0</v>
      </c>
      <c r="CP127" s="82">
        <f t="shared" si="36"/>
        <v>0</v>
      </c>
      <c r="CQ127" s="82"/>
      <c r="CR127" s="82"/>
      <c r="CS127" s="82"/>
      <c r="CT127" s="82"/>
      <c r="CU127" s="82">
        <f t="shared" si="855"/>
        <v>0</v>
      </c>
      <c r="CV127" s="82">
        <f t="shared" si="856"/>
        <v>0</v>
      </c>
      <c r="CW127" s="82">
        <f t="shared" si="39"/>
        <v>1</v>
      </c>
      <c r="CX127" s="82">
        <f t="shared" si="857"/>
        <v>1411920</v>
      </c>
      <c r="CY127" s="82">
        <f t="shared" si="41"/>
        <v>0</v>
      </c>
      <c r="CZ127" s="82">
        <f t="shared" si="345"/>
        <v>0</v>
      </c>
      <c r="DA127" s="82">
        <f t="shared" si="43"/>
        <v>1</v>
      </c>
      <c r="DB127" s="82">
        <f t="shared" si="44"/>
        <v>1411920</v>
      </c>
      <c r="DC127" s="91"/>
      <c r="DD127" s="82"/>
      <c r="DE127" s="82"/>
      <c r="DF127" s="82">
        <f t="shared" si="858"/>
        <v>0</v>
      </c>
      <c r="DG127" s="82">
        <f t="shared" si="859"/>
        <v>0</v>
      </c>
      <c r="DH127" s="82"/>
      <c r="DI127" s="82"/>
      <c r="DJ127" s="82"/>
      <c r="DK127" s="82"/>
      <c r="DL127" s="82">
        <f t="shared" si="860"/>
        <v>0</v>
      </c>
      <c r="DM127" s="82">
        <f t="shared" si="861"/>
        <v>0</v>
      </c>
      <c r="DN127" s="82">
        <f t="shared" si="862"/>
        <v>1</v>
      </c>
      <c r="DO127" s="82">
        <f t="shared" si="863"/>
        <v>1411920</v>
      </c>
      <c r="DP127" s="82"/>
      <c r="DQ127" s="82"/>
      <c r="DR127" s="82">
        <f t="shared" si="864"/>
        <v>0</v>
      </c>
      <c r="DS127" s="82">
        <f t="shared" si="865"/>
        <v>0</v>
      </c>
      <c r="DT127" s="82"/>
      <c r="DU127" s="82"/>
      <c r="DV127" s="82"/>
      <c r="DW127" s="82"/>
      <c r="DX127" s="82">
        <f t="shared" si="866"/>
        <v>0</v>
      </c>
      <c r="DY127" s="82">
        <f t="shared" si="867"/>
        <v>0</v>
      </c>
      <c r="DZ127" s="82">
        <f t="shared" si="868"/>
        <v>1</v>
      </c>
      <c r="EA127" s="82">
        <f t="shared" si="869"/>
        <v>1411920</v>
      </c>
      <c r="EB127" s="82"/>
      <c r="EC127" s="82"/>
      <c r="ED127" s="82">
        <f t="shared" si="870"/>
        <v>0</v>
      </c>
      <c r="EE127" s="82">
        <f t="shared" si="871"/>
        <v>0</v>
      </c>
      <c r="EF127" s="82"/>
      <c r="EG127" s="82"/>
      <c r="EH127" s="82"/>
      <c r="EI127" s="82"/>
      <c r="EJ127" s="82">
        <f t="shared" si="872"/>
        <v>0</v>
      </c>
      <c r="EK127" s="82">
        <f t="shared" si="873"/>
        <v>0</v>
      </c>
      <c r="EL127" s="82">
        <f t="shared" si="874"/>
        <v>1</v>
      </c>
      <c r="EM127" s="82">
        <f t="shared" si="875"/>
        <v>1411920</v>
      </c>
      <c r="EN127" s="82">
        <f t="shared" si="876"/>
        <v>0</v>
      </c>
      <c r="EO127" s="82">
        <f t="shared" si="877"/>
        <v>0</v>
      </c>
      <c r="EP127" s="82">
        <f t="shared" si="878"/>
        <v>1</v>
      </c>
      <c r="EQ127" s="82">
        <f t="shared" si="879"/>
        <v>1411920</v>
      </c>
      <c r="ER127" s="82"/>
      <c r="ES127" s="82"/>
      <c r="ET127" s="82">
        <f t="shared" si="880"/>
        <v>0</v>
      </c>
      <c r="EU127" s="82">
        <f t="shared" si="881"/>
        <v>0</v>
      </c>
      <c r="EV127" s="82"/>
      <c r="EW127" s="82"/>
      <c r="EX127" s="82"/>
      <c r="EY127" s="82"/>
      <c r="EZ127" s="82">
        <f t="shared" si="882"/>
        <v>0</v>
      </c>
      <c r="FA127" s="82">
        <f t="shared" si="883"/>
        <v>0</v>
      </c>
      <c r="FB127" s="82">
        <f t="shared" si="884"/>
        <v>1</v>
      </c>
      <c r="FC127" s="82">
        <f t="shared" si="885"/>
        <v>1411920</v>
      </c>
      <c r="FD127" s="82"/>
      <c r="FE127" s="82"/>
      <c r="FF127" s="82">
        <f t="shared" si="886"/>
        <v>0</v>
      </c>
      <c r="FG127" s="82">
        <f t="shared" si="887"/>
        <v>0</v>
      </c>
      <c r="FH127" s="82"/>
      <c r="FI127" s="82"/>
      <c r="FJ127" s="82"/>
      <c r="FK127" s="82"/>
      <c r="FL127" s="82">
        <f t="shared" si="888"/>
        <v>0</v>
      </c>
      <c r="FM127" s="82">
        <f t="shared" si="889"/>
        <v>0</v>
      </c>
      <c r="FN127" s="82">
        <f t="shared" si="890"/>
        <v>1</v>
      </c>
      <c r="FO127" s="82">
        <f t="shared" si="891"/>
        <v>1411920</v>
      </c>
      <c r="FP127" s="82"/>
      <c r="FQ127" s="82"/>
      <c r="FR127" s="82">
        <f t="shared" si="892"/>
        <v>0</v>
      </c>
      <c r="FS127" s="82">
        <f t="shared" si="893"/>
        <v>0</v>
      </c>
      <c r="FT127" s="82"/>
      <c r="FU127" s="82"/>
      <c r="FV127" s="82"/>
      <c r="FW127" s="82"/>
      <c r="FX127" s="82">
        <f t="shared" si="894"/>
        <v>0</v>
      </c>
      <c r="FY127" s="82">
        <f t="shared" si="895"/>
        <v>0</v>
      </c>
      <c r="FZ127" s="82">
        <f t="shared" si="896"/>
        <v>1</v>
      </c>
      <c r="GA127" s="82">
        <f t="shared" si="897"/>
        <v>1411920</v>
      </c>
      <c r="GB127" s="82">
        <f t="shared" si="898"/>
        <v>0</v>
      </c>
      <c r="GC127" s="82">
        <f t="shared" si="899"/>
        <v>0</v>
      </c>
      <c r="GD127" s="82">
        <f t="shared" si="900"/>
        <v>1</v>
      </c>
      <c r="GE127" s="82">
        <f t="shared" si="901"/>
        <v>1411920</v>
      </c>
      <c r="GF127" s="85"/>
    </row>
    <row r="128" ht="29.25" customHeight="1">
      <c r="A128" s="76">
        <v>70.0</v>
      </c>
      <c r="B128" s="87"/>
      <c r="C128" s="77" t="s">
        <v>195</v>
      </c>
      <c r="D128" s="78" t="s">
        <v>118</v>
      </c>
      <c r="E128" s="79">
        <v>1232100.0</v>
      </c>
      <c r="F128" s="61" t="s">
        <v>97</v>
      </c>
      <c r="G128" s="81">
        <v>1.0</v>
      </c>
      <c r="H128" s="82">
        <v>1232100.0</v>
      </c>
      <c r="I128" s="82"/>
      <c r="J128" s="82"/>
      <c r="K128" s="82">
        <f t="shared" si="827"/>
        <v>0</v>
      </c>
      <c r="L128" s="82">
        <f t="shared" si="828"/>
        <v>0</v>
      </c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>
        <f t="shared" si="829"/>
        <v>0</v>
      </c>
      <c r="AC128" s="82">
        <f t="shared" si="830"/>
        <v>0</v>
      </c>
      <c r="AD128" s="82">
        <f t="shared" si="452"/>
        <v>1</v>
      </c>
      <c r="AE128" s="82">
        <f t="shared" si="831"/>
        <v>1232100</v>
      </c>
      <c r="AF128" s="82"/>
      <c r="AG128" s="82"/>
      <c r="AH128" s="82">
        <f t="shared" si="832"/>
        <v>0</v>
      </c>
      <c r="AI128" s="82">
        <f t="shared" si="833"/>
        <v>0</v>
      </c>
      <c r="AJ128" s="82"/>
      <c r="AK128" s="82"/>
      <c r="AL128" s="82"/>
      <c r="AM128" s="82"/>
      <c r="AN128" s="82">
        <f t="shared" si="834"/>
        <v>0</v>
      </c>
      <c r="AO128" s="82">
        <f t="shared" si="835"/>
        <v>0</v>
      </c>
      <c r="AP128" s="82">
        <f t="shared" si="458"/>
        <v>1</v>
      </c>
      <c r="AQ128" s="82">
        <f t="shared" si="836"/>
        <v>1232100</v>
      </c>
      <c r="AR128" s="82"/>
      <c r="AS128" s="82"/>
      <c r="AT128" s="82"/>
      <c r="AU128" s="82">
        <f t="shared" si="837"/>
        <v>0</v>
      </c>
      <c r="AV128" s="82">
        <f t="shared" si="838"/>
        <v>0</v>
      </c>
      <c r="AW128" s="82"/>
      <c r="AX128" s="82"/>
      <c r="AY128" s="82"/>
      <c r="AZ128" s="82"/>
      <c r="BA128" s="82">
        <f t="shared" si="839"/>
        <v>0</v>
      </c>
      <c r="BB128" s="82">
        <f t="shared" si="840"/>
        <v>0</v>
      </c>
      <c r="BC128" s="82">
        <f t="shared" si="464"/>
        <v>1</v>
      </c>
      <c r="BD128" s="82">
        <f t="shared" si="841"/>
        <v>1232100</v>
      </c>
      <c r="BE128" s="82">
        <f t="shared" si="842"/>
        <v>0</v>
      </c>
      <c r="BF128" s="82">
        <f t="shared" si="843"/>
        <v>0</v>
      </c>
      <c r="BG128" s="82">
        <f t="shared" si="468"/>
        <v>1</v>
      </c>
      <c r="BH128" s="82">
        <f t="shared" si="844"/>
        <v>1232100</v>
      </c>
      <c r="BI128" s="82"/>
      <c r="BJ128" s="83"/>
      <c r="BK128" s="82">
        <f t="shared" si="845"/>
        <v>0</v>
      </c>
      <c r="BL128" s="82">
        <f t="shared" si="846"/>
        <v>0</v>
      </c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>
        <f t="shared" si="847"/>
        <v>0</v>
      </c>
      <c r="BX128" s="82">
        <f t="shared" si="848"/>
        <v>0</v>
      </c>
      <c r="BY128" s="82">
        <f t="shared" si="474"/>
        <v>1</v>
      </c>
      <c r="BZ128" s="82">
        <f t="shared" si="849"/>
        <v>1232100</v>
      </c>
      <c r="CA128" s="82"/>
      <c r="CB128" s="82"/>
      <c r="CC128" s="82">
        <f t="shared" si="850"/>
        <v>0</v>
      </c>
      <c r="CD128" s="82">
        <f t="shared" si="851"/>
        <v>0</v>
      </c>
      <c r="CE128" s="82"/>
      <c r="CF128" s="82"/>
      <c r="CG128" s="82"/>
      <c r="CH128" s="82"/>
      <c r="CI128" s="82">
        <f t="shared" si="852"/>
        <v>0</v>
      </c>
      <c r="CJ128" s="82">
        <f t="shared" si="853"/>
        <v>0</v>
      </c>
      <c r="CK128" s="82">
        <f t="shared" si="480"/>
        <v>1</v>
      </c>
      <c r="CL128" s="82">
        <f t="shared" si="854"/>
        <v>1232100</v>
      </c>
      <c r="CM128" s="82"/>
      <c r="CN128" s="82"/>
      <c r="CO128" s="82">
        <f t="shared" si="35"/>
        <v>0</v>
      </c>
      <c r="CP128" s="82">
        <f t="shared" si="36"/>
        <v>0</v>
      </c>
      <c r="CQ128" s="82"/>
      <c r="CR128" s="82"/>
      <c r="CS128" s="82"/>
      <c r="CT128" s="82"/>
      <c r="CU128" s="82">
        <f t="shared" si="855"/>
        <v>0</v>
      </c>
      <c r="CV128" s="82">
        <f t="shared" si="856"/>
        <v>0</v>
      </c>
      <c r="CW128" s="82">
        <f t="shared" si="39"/>
        <v>1</v>
      </c>
      <c r="CX128" s="82">
        <f t="shared" si="857"/>
        <v>1232100</v>
      </c>
      <c r="CY128" s="82">
        <f t="shared" si="41"/>
        <v>0</v>
      </c>
      <c r="CZ128" s="82">
        <f t="shared" si="345"/>
        <v>0</v>
      </c>
      <c r="DA128" s="82">
        <f t="shared" si="43"/>
        <v>1</v>
      </c>
      <c r="DB128" s="82">
        <f t="shared" si="44"/>
        <v>1232100</v>
      </c>
      <c r="DC128" s="84">
        <v>2.0</v>
      </c>
      <c r="DD128" s="82"/>
      <c r="DE128" s="82"/>
      <c r="DF128" s="82">
        <f t="shared" si="858"/>
        <v>0</v>
      </c>
      <c r="DG128" s="82">
        <f t="shared" si="859"/>
        <v>0</v>
      </c>
      <c r="DH128" s="82"/>
      <c r="DI128" s="82"/>
      <c r="DJ128" s="82"/>
      <c r="DK128" s="82"/>
      <c r="DL128" s="82">
        <f t="shared" si="860"/>
        <v>0</v>
      </c>
      <c r="DM128" s="82">
        <f t="shared" si="861"/>
        <v>0</v>
      </c>
      <c r="DN128" s="82">
        <f t="shared" si="862"/>
        <v>1</v>
      </c>
      <c r="DO128" s="82">
        <f t="shared" si="863"/>
        <v>1232100</v>
      </c>
      <c r="DP128" s="82"/>
      <c r="DQ128" s="82"/>
      <c r="DR128" s="82">
        <f t="shared" si="864"/>
        <v>0</v>
      </c>
      <c r="DS128" s="82">
        <f t="shared" si="865"/>
        <v>0</v>
      </c>
      <c r="DT128" s="82"/>
      <c r="DU128" s="82"/>
      <c r="DV128" s="82"/>
      <c r="DW128" s="82"/>
      <c r="DX128" s="82">
        <f t="shared" si="866"/>
        <v>0</v>
      </c>
      <c r="DY128" s="82">
        <f t="shared" si="867"/>
        <v>0</v>
      </c>
      <c r="DZ128" s="82">
        <f t="shared" si="868"/>
        <v>1</v>
      </c>
      <c r="EA128" s="82">
        <f t="shared" si="869"/>
        <v>1232100</v>
      </c>
      <c r="EB128" s="82"/>
      <c r="EC128" s="82"/>
      <c r="ED128" s="82">
        <f t="shared" si="870"/>
        <v>0</v>
      </c>
      <c r="EE128" s="82">
        <f t="shared" si="871"/>
        <v>0</v>
      </c>
      <c r="EF128" s="82"/>
      <c r="EG128" s="82"/>
      <c r="EH128" s="82"/>
      <c r="EI128" s="82"/>
      <c r="EJ128" s="82">
        <f t="shared" si="872"/>
        <v>0</v>
      </c>
      <c r="EK128" s="82">
        <f t="shared" si="873"/>
        <v>0</v>
      </c>
      <c r="EL128" s="82">
        <f t="shared" si="874"/>
        <v>1</v>
      </c>
      <c r="EM128" s="82">
        <f t="shared" si="875"/>
        <v>1232100</v>
      </c>
      <c r="EN128" s="82">
        <f t="shared" si="876"/>
        <v>0</v>
      </c>
      <c r="EO128" s="82">
        <f t="shared" si="877"/>
        <v>0</v>
      </c>
      <c r="EP128" s="82">
        <f t="shared" si="878"/>
        <v>1</v>
      </c>
      <c r="EQ128" s="82">
        <f t="shared" si="879"/>
        <v>1232100</v>
      </c>
      <c r="ER128" s="82"/>
      <c r="ES128" s="82"/>
      <c r="ET128" s="82">
        <f t="shared" si="880"/>
        <v>0</v>
      </c>
      <c r="EU128" s="82">
        <f t="shared" si="881"/>
        <v>0</v>
      </c>
      <c r="EV128" s="82"/>
      <c r="EW128" s="82"/>
      <c r="EX128" s="82"/>
      <c r="EY128" s="82"/>
      <c r="EZ128" s="82">
        <f t="shared" si="882"/>
        <v>0</v>
      </c>
      <c r="FA128" s="82">
        <f t="shared" si="883"/>
        <v>0</v>
      </c>
      <c r="FB128" s="82">
        <f t="shared" si="884"/>
        <v>1</v>
      </c>
      <c r="FC128" s="82">
        <f t="shared" si="885"/>
        <v>1232100</v>
      </c>
      <c r="FD128" s="82"/>
      <c r="FE128" s="82"/>
      <c r="FF128" s="82">
        <f t="shared" si="886"/>
        <v>0</v>
      </c>
      <c r="FG128" s="82">
        <f t="shared" si="887"/>
        <v>0</v>
      </c>
      <c r="FH128" s="82"/>
      <c r="FI128" s="82"/>
      <c r="FJ128" s="82"/>
      <c r="FK128" s="82"/>
      <c r="FL128" s="82">
        <f t="shared" si="888"/>
        <v>0</v>
      </c>
      <c r="FM128" s="82">
        <f t="shared" si="889"/>
        <v>0</v>
      </c>
      <c r="FN128" s="82">
        <f t="shared" si="890"/>
        <v>1</v>
      </c>
      <c r="FO128" s="82">
        <f t="shared" si="891"/>
        <v>1232100</v>
      </c>
      <c r="FP128" s="82"/>
      <c r="FQ128" s="82"/>
      <c r="FR128" s="82">
        <f t="shared" si="892"/>
        <v>0</v>
      </c>
      <c r="FS128" s="82">
        <f t="shared" si="893"/>
        <v>0</v>
      </c>
      <c r="FT128" s="82"/>
      <c r="FU128" s="82"/>
      <c r="FV128" s="82"/>
      <c r="FW128" s="82"/>
      <c r="FX128" s="82">
        <f t="shared" si="894"/>
        <v>0</v>
      </c>
      <c r="FY128" s="82">
        <f t="shared" si="895"/>
        <v>0</v>
      </c>
      <c r="FZ128" s="82">
        <f t="shared" si="896"/>
        <v>1</v>
      </c>
      <c r="GA128" s="82">
        <f t="shared" si="897"/>
        <v>1232100</v>
      </c>
      <c r="GB128" s="82">
        <f t="shared" si="898"/>
        <v>0</v>
      </c>
      <c r="GC128" s="82">
        <f t="shared" si="899"/>
        <v>0</v>
      </c>
      <c r="GD128" s="82">
        <f t="shared" si="900"/>
        <v>1</v>
      </c>
      <c r="GE128" s="82">
        <f t="shared" si="901"/>
        <v>1232100</v>
      </c>
      <c r="GF128" s="85"/>
    </row>
    <row r="129" ht="29.25" customHeight="1">
      <c r="A129" s="50"/>
      <c r="B129" s="50"/>
      <c r="C129" s="50"/>
      <c r="D129" s="78" t="s">
        <v>118</v>
      </c>
      <c r="E129" s="79">
        <v>1411920.0</v>
      </c>
      <c r="F129" s="61"/>
      <c r="G129" s="81">
        <v>1.0</v>
      </c>
      <c r="H129" s="82">
        <v>1411920.0</v>
      </c>
      <c r="I129" s="82"/>
      <c r="J129" s="82"/>
      <c r="K129" s="82">
        <f t="shared" si="827"/>
        <v>0</v>
      </c>
      <c r="L129" s="82">
        <f t="shared" si="828"/>
        <v>0</v>
      </c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>
        <f t="shared" si="829"/>
        <v>0</v>
      </c>
      <c r="AC129" s="82">
        <f t="shared" si="830"/>
        <v>0</v>
      </c>
      <c r="AD129" s="82">
        <f t="shared" si="452"/>
        <v>1</v>
      </c>
      <c r="AE129" s="82">
        <f t="shared" si="831"/>
        <v>1411920</v>
      </c>
      <c r="AF129" s="82"/>
      <c r="AG129" s="82"/>
      <c r="AH129" s="82">
        <f t="shared" si="832"/>
        <v>0</v>
      </c>
      <c r="AI129" s="82">
        <f t="shared" si="833"/>
        <v>0</v>
      </c>
      <c r="AJ129" s="82"/>
      <c r="AK129" s="82"/>
      <c r="AL129" s="82"/>
      <c r="AM129" s="82"/>
      <c r="AN129" s="82">
        <f t="shared" si="834"/>
        <v>0</v>
      </c>
      <c r="AO129" s="82">
        <f t="shared" si="835"/>
        <v>0</v>
      </c>
      <c r="AP129" s="82">
        <f t="shared" si="458"/>
        <v>1</v>
      </c>
      <c r="AQ129" s="82">
        <f t="shared" si="836"/>
        <v>1411920</v>
      </c>
      <c r="AR129" s="82"/>
      <c r="AS129" s="82"/>
      <c r="AT129" s="82"/>
      <c r="AU129" s="82">
        <f t="shared" si="837"/>
        <v>0</v>
      </c>
      <c r="AV129" s="82">
        <f t="shared" si="838"/>
        <v>0</v>
      </c>
      <c r="AW129" s="82"/>
      <c r="AX129" s="82"/>
      <c r="AY129" s="82"/>
      <c r="AZ129" s="82"/>
      <c r="BA129" s="82">
        <f t="shared" si="839"/>
        <v>0</v>
      </c>
      <c r="BB129" s="82">
        <f t="shared" si="840"/>
        <v>0</v>
      </c>
      <c r="BC129" s="82">
        <f t="shared" si="464"/>
        <v>1</v>
      </c>
      <c r="BD129" s="82">
        <f t="shared" si="841"/>
        <v>1411920</v>
      </c>
      <c r="BE129" s="82">
        <f t="shared" si="842"/>
        <v>0</v>
      </c>
      <c r="BF129" s="82">
        <f t="shared" si="843"/>
        <v>0</v>
      </c>
      <c r="BG129" s="82">
        <f t="shared" si="468"/>
        <v>1</v>
      </c>
      <c r="BH129" s="82">
        <f t="shared" si="844"/>
        <v>1411920</v>
      </c>
      <c r="BI129" s="82"/>
      <c r="BJ129" s="83"/>
      <c r="BK129" s="82">
        <f t="shared" si="845"/>
        <v>0</v>
      </c>
      <c r="BL129" s="82">
        <f t="shared" si="846"/>
        <v>0</v>
      </c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>
        <f t="shared" si="847"/>
        <v>0</v>
      </c>
      <c r="BX129" s="82">
        <f t="shared" si="848"/>
        <v>0</v>
      </c>
      <c r="BY129" s="82">
        <f t="shared" si="474"/>
        <v>1</v>
      </c>
      <c r="BZ129" s="82">
        <f t="shared" si="849"/>
        <v>1411920</v>
      </c>
      <c r="CA129" s="82"/>
      <c r="CB129" s="82"/>
      <c r="CC129" s="82">
        <f t="shared" si="850"/>
        <v>0</v>
      </c>
      <c r="CD129" s="82">
        <f t="shared" si="851"/>
        <v>0</v>
      </c>
      <c r="CE129" s="82"/>
      <c r="CF129" s="82"/>
      <c r="CG129" s="82"/>
      <c r="CH129" s="82"/>
      <c r="CI129" s="82">
        <f t="shared" si="852"/>
        <v>0</v>
      </c>
      <c r="CJ129" s="82">
        <f t="shared" si="853"/>
        <v>0</v>
      </c>
      <c r="CK129" s="82">
        <f t="shared" si="480"/>
        <v>1</v>
      </c>
      <c r="CL129" s="82">
        <f t="shared" si="854"/>
        <v>1411920</v>
      </c>
      <c r="CM129" s="82"/>
      <c r="CN129" s="82"/>
      <c r="CO129" s="82">
        <f t="shared" si="35"/>
        <v>0</v>
      </c>
      <c r="CP129" s="82">
        <f t="shared" si="36"/>
        <v>0</v>
      </c>
      <c r="CQ129" s="82"/>
      <c r="CR129" s="82"/>
      <c r="CS129" s="82"/>
      <c r="CT129" s="82"/>
      <c r="CU129" s="82">
        <f t="shared" si="855"/>
        <v>0</v>
      </c>
      <c r="CV129" s="82">
        <f t="shared" si="856"/>
        <v>0</v>
      </c>
      <c r="CW129" s="82">
        <f t="shared" si="39"/>
        <v>1</v>
      </c>
      <c r="CX129" s="82">
        <f t="shared" si="857"/>
        <v>1411920</v>
      </c>
      <c r="CY129" s="82">
        <f t="shared" si="41"/>
        <v>0</v>
      </c>
      <c r="CZ129" s="82">
        <f t="shared" si="345"/>
        <v>0</v>
      </c>
      <c r="DA129" s="82">
        <f t="shared" si="43"/>
        <v>1</v>
      </c>
      <c r="DB129" s="82">
        <f t="shared" si="44"/>
        <v>1411920</v>
      </c>
      <c r="DC129" s="91"/>
      <c r="DD129" s="82"/>
      <c r="DE129" s="82"/>
      <c r="DF129" s="82">
        <f t="shared" si="858"/>
        <v>0</v>
      </c>
      <c r="DG129" s="82">
        <f t="shared" si="859"/>
        <v>0</v>
      </c>
      <c r="DH129" s="82"/>
      <c r="DI129" s="82"/>
      <c r="DJ129" s="82"/>
      <c r="DK129" s="82"/>
      <c r="DL129" s="82">
        <f t="shared" si="860"/>
        <v>0</v>
      </c>
      <c r="DM129" s="82">
        <f t="shared" si="861"/>
        <v>0</v>
      </c>
      <c r="DN129" s="82">
        <f t="shared" si="862"/>
        <v>1</v>
      </c>
      <c r="DO129" s="82">
        <f t="shared" si="863"/>
        <v>1411920</v>
      </c>
      <c r="DP129" s="82"/>
      <c r="DQ129" s="82"/>
      <c r="DR129" s="82">
        <f t="shared" si="864"/>
        <v>0</v>
      </c>
      <c r="DS129" s="82">
        <f t="shared" si="865"/>
        <v>0</v>
      </c>
      <c r="DT129" s="82"/>
      <c r="DU129" s="82"/>
      <c r="DV129" s="82"/>
      <c r="DW129" s="82"/>
      <c r="DX129" s="82">
        <f t="shared" si="866"/>
        <v>0</v>
      </c>
      <c r="DY129" s="82">
        <f t="shared" si="867"/>
        <v>0</v>
      </c>
      <c r="DZ129" s="82">
        <f t="shared" si="868"/>
        <v>1</v>
      </c>
      <c r="EA129" s="82">
        <f t="shared" si="869"/>
        <v>1411920</v>
      </c>
      <c r="EB129" s="82"/>
      <c r="EC129" s="82"/>
      <c r="ED129" s="82">
        <f t="shared" si="870"/>
        <v>0</v>
      </c>
      <c r="EE129" s="82">
        <f t="shared" si="871"/>
        <v>0</v>
      </c>
      <c r="EF129" s="82"/>
      <c r="EG129" s="82"/>
      <c r="EH129" s="82"/>
      <c r="EI129" s="82"/>
      <c r="EJ129" s="82">
        <f t="shared" si="872"/>
        <v>0</v>
      </c>
      <c r="EK129" s="82">
        <f t="shared" si="873"/>
        <v>0</v>
      </c>
      <c r="EL129" s="82">
        <f t="shared" si="874"/>
        <v>1</v>
      </c>
      <c r="EM129" s="82">
        <f t="shared" si="875"/>
        <v>1411920</v>
      </c>
      <c r="EN129" s="82">
        <f t="shared" si="876"/>
        <v>0</v>
      </c>
      <c r="EO129" s="82">
        <f t="shared" si="877"/>
        <v>0</v>
      </c>
      <c r="EP129" s="82">
        <f t="shared" si="878"/>
        <v>1</v>
      </c>
      <c r="EQ129" s="82">
        <f t="shared" si="879"/>
        <v>1411920</v>
      </c>
      <c r="ER129" s="82"/>
      <c r="ES129" s="82"/>
      <c r="ET129" s="82">
        <f t="shared" si="880"/>
        <v>0</v>
      </c>
      <c r="EU129" s="82">
        <f t="shared" si="881"/>
        <v>0</v>
      </c>
      <c r="EV129" s="82"/>
      <c r="EW129" s="82"/>
      <c r="EX129" s="82"/>
      <c r="EY129" s="82"/>
      <c r="EZ129" s="82">
        <f t="shared" si="882"/>
        <v>0</v>
      </c>
      <c r="FA129" s="82">
        <f t="shared" si="883"/>
        <v>0</v>
      </c>
      <c r="FB129" s="82">
        <f t="shared" si="884"/>
        <v>1</v>
      </c>
      <c r="FC129" s="82">
        <f t="shared" si="885"/>
        <v>1411920</v>
      </c>
      <c r="FD129" s="82"/>
      <c r="FE129" s="82"/>
      <c r="FF129" s="82">
        <f t="shared" si="886"/>
        <v>0</v>
      </c>
      <c r="FG129" s="82">
        <f t="shared" si="887"/>
        <v>0</v>
      </c>
      <c r="FH129" s="82"/>
      <c r="FI129" s="82"/>
      <c r="FJ129" s="82"/>
      <c r="FK129" s="82"/>
      <c r="FL129" s="82">
        <f t="shared" si="888"/>
        <v>0</v>
      </c>
      <c r="FM129" s="82">
        <f t="shared" si="889"/>
        <v>0</v>
      </c>
      <c r="FN129" s="82">
        <f t="shared" si="890"/>
        <v>1</v>
      </c>
      <c r="FO129" s="82">
        <f t="shared" si="891"/>
        <v>1411920</v>
      </c>
      <c r="FP129" s="82"/>
      <c r="FQ129" s="82"/>
      <c r="FR129" s="82">
        <f t="shared" si="892"/>
        <v>0</v>
      </c>
      <c r="FS129" s="82">
        <f t="shared" si="893"/>
        <v>0</v>
      </c>
      <c r="FT129" s="82"/>
      <c r="FU129" s="82"/>
      <c r="FV129" s="82"/>
      <c r="FW129" s="82"/>
      <c r="FX129" s="82">
        <f t="shared" si="894"/>
        <v>0</v>
      </c>
      <c r="FY129" s="82">
        <f t="shared" si="895"/>
        <v>0</v>
      </c>
      <c r="FZ129" s="82">
        <f t="shared" si="896"/>
        <v>1</v>
      </c>
      <c r="GA129" s="82">
        <f t="shared" si="897"/>
        <v>1411920</v>
      </c>
      <c r="GB129" s="82">
        <f t="shared" si="898"/>
        <v>0</v>
      </c>
      <c r="GC129" s="82">
        <f t="shared" si="899"/>
        <v>0</v>
      </c>
      <c r="GD129" s="82">
        <f t="shared" si="900"/>
        <v>1</v>
      </c>
      <c r="GE129" s="82">
        <f t="shared" si="901"/>
        <v>1411920</v>
      </c>
      <c r="GF129" s="85"/>
    </row>
    <row r="130" ht="29.25" customHeight="1">
      <c r="A130" s="76">
        <v>72.0</v>
      </c>
      <c r="B130" s="87"/>
      <c r="C130" s="77" t="s">
        <v>196</v>
      </c>
      <c r="D130" s="78" t="s">
        <v>118</v>
      </c>
      <c r="E130" s="86">
        <v>1276500.0</v>
      </c>
      <c r="F130" s="80" t="s">
        <v>94</v>
      </c>
      <c r="G130" s="93">
        <v>34.0</v>
      </c>
      <c r="H130" s="94">
        <v>4.3401E7</v>
      </c>
      <c r="I130" s="82"/>
      <c r="J130" s="82"/>
      <c r="K130" s="82">
        <f t="shared" si="827"/>
        <v>0</v>
      </c>
      <c r="L130" s="82">
        <f t="shared" si="828"/>
        <v>0</v>
      </c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>
        <f t="shared" si="829"/>
        <v>0</v>
      </c>
      <c r="AC130" s="82">
        <f t="shared" si="830"/>
        <v>0</v>
      </c>
      <c r="AD130" s="82">
        <f t="shared" si="452"/>
        <v>34</v>
      </c>
      <c r="AE130" s="82">
        <f t="shared" si="831"/>
        <v>43401000</v>
      </c>
      <c r="AF130" s="82"/>
      <c r="AG130" s="82"/>
      <c r="AH130" s="82">
        <f t="shared" si="832"/>
        <v>0</v>
      </c>
      <c r="AI130" s="82">
        <f t="shared" si="833"/>
        <v>0</v>
      </c>
      <c r="AJ130" s="83">
        <v>2.0</v>
      </c>
      <c r="AK130" s="83">
        <v>1.0</v>
      </c>
      <c r="AL130" s="82"/>
      <c r="AM130" s="82"/>
      <c r="AN130" s="82">
        <f t="shared" si="834"/>
        <v>3</v>
      </c>
      <c r="AO130" s="82">
        <f t="shared" si="835"/>
        <v>3829500</v>
      </c>
      <c r="AP130" s="82">
        <f t="shared" si="458"/>
        <v>31</v>
      </c>
      <c r="AQ130" s="82">
        <f t="shared" si="836"/>
        <v>39571500</v>
      </c>
      <c r="AR130" s="82"/>
      <c r="AS130" s="82"/>
      <c r="AT130" s="82"/>
      <c r="AU130" s="82">
        <f t="shared" si="837"/>
        <v>0</v>
      </c>
      <c r="AV130" s="82">
        <f t="shared" si="838"/>
        <v>0</v>
      </c>
      <c r="AW130" s="82"/>
      <c r="AX130" s="82"/>
      <c r="AY130" s="82"/>
      <c r="AZ130" s="82"/>
      <c r="BA130" s="82">
        <f t="shared" si="839"/>
        <v>0</v>
      </c>
      <c r="BB130" s="82">
        <f t="shared" si="840"/>
        <v>0</v>
      </c>
      <c r="BC130" s="82">
        <f t="shared" si="464"/>
        <v>31</v>
      </c>
      <c r="BD130" s="82">
        <f t="shared" si="841"/>
        <v>39571500</v>
      </c>
      <c r="BE130" s="82">
        <f t="shared" si="842"/>
        <v>0</v>
      </c>
      <c r="BF130" s="82">
        <f t="shared" si="843"/>
        <v>3</v>
      </c>
      <c r="BG130" s="82">
        <f t="shared" si="468"/>
        <v>31</v>
      </c>
      <c r="BH130" s="82">
        <f t="shared" si="844"/>
        <v>39571500</v>
      </c>
      <c r="BI130" s="82"/>
      <c r="BJ130" s="83"/>
      <c r="BK130" s="82">
        <f t="shared" si="845"/>
        <v>0</v>
      </c>
      <c r="BL130" s="82">
        <f t="shared" si="846"/>
        <v>0</v>
      </c>
      <c r="BM130" s="82"/>
      <c r="BN130" s="82"/>
      <c r="BO130" s="82"/>
      <c r="BP130" s="82"/>
      <c r="BQ130" s="82"/>
      <c r="BR130" s="82"/>
      <c r="BS130" s="83">
        <v>2.0</v>
      </c>
      <c r="BT130" s="83">
        <v>2.0</v>
      </c>
      <c r="BU130" s="83"/>
      <c r="BV130" s="82"/>
      <c r="BW130" s="82">
        <f t="shared" si="847"/>
        <v>4</v>
      </c>
      <c r="BX130" s="82">
        <f t="shared" si="848"/>
        <v>5106000</v>
      </c>
      <c r="BY130" s="82">
        <f t="shared" si="474"/>
        <v>27</v>
      </c>
      <c r="BZ130" s="82">
        <f t="shared" si="849"/>
        <v>34465500</v>
      </c>
      <c r="CA130" s="82"/>
      <c r="CB130" s="82"/>
      <c r="CC130" s="82">
        <f t="shared" si="850"/>
        <v>0</v>
      </c>
      <c r="CD130" s="82">
        <f t="shared" si="851"/>
        <v>0</v>
      </c>
      <c r="CE130" s="82"/>
      <c r="CF130" s="83">
        <v>2.0</v>
      </c>
      <c r="CG130" s="82"/>
      <c r="CH130" s="82"/>
      <c r="CI130" s="82">
        <f t="shared" si="852"/>
        <v>2</v>
      </c>
      <c r="CJ130" s="82">
        <f t="shared" si="853"/>
        <v>2553000</v>
      </c>
      <c r="CK130" s="82">
        <f t="shared" si="480"/>
        <v>25</v>
      </c>
      <c r="CL130" s="82">
        <f t="shared" si="854"/>
        <v>31912500</v>
      </c>
      <c r="CM130" s="82"/>
      <c r="CN130" s="82"/>
      <c r="CO130" s="82">
        <f t="shared" si="35"/>
        <v>0</v>
      </c>
      <c r="CP130" s="82">
        <f t="shared" si="36"/>
        <v>0</v>
      </c>
      <c r="CQ130" s="83">
        <v>1.0</v>
      </c>
      <c r="CR130" s="83">
        <v>2.0</v>
      </c>
      <c r="CS130" s="82"/>
      <c r="CT130" s="82"/>
      <c r="CU130" s="82">
        <f t="shared" si="855"/>
        <v>3</v>
      </c>
      <c r="CV130" s="82">
        <f t="shared" si="856"/>
        <v>3829500</v>
      </c>
      <c r="CW130" s="82">
        <f t="shared" si="39"/>
        <v>22</v>
      </c>
      <c r="CX130" s="82">
        <f t="shared" si="857"/>
        <v>28083000</v>
      </c>
      <c r="CY130" s="82">
        <f t="shared" si="41"/>
        <v>0</v>
      </c>
      <c r="CZ130" s="82">
        <f t="shared" si="345"/>
        <v>9</v>
      </c>
      <c r="DA130" s="82">
        <f t="shared" si="43"/>
        <v>22</v>
      </c>
      <c r="DB130" s="82">
        <f t="shared" si="44"/>
        <v>28083000</v>
      </c>
      <c r="DC130" s="84">
        <v>21.0</v>
      </c>
      <c r="DD130" s="82"/>
      <c r="DE130" s="82"/>
      <c r="DF130" s="82">
        <f t="shared" si="858"/>
        <v>0</v>
      </c>
      <c r="DG130" s="82">
        <f t="shared" si="859"/>
        <v>0</v>
      </c>
      <c r="DH130" s="83">
        <v>2.0</v>
      </c>
      <c r="DI130" s="82"/>
      <c r="DJ130" s="82"/>
      <c r="DK130" s="82"/>
      <c r="DL130" s="82">
        <f t="shared" si="860"/>
        <v>2</v>
      </c>
      <c r="DM130" s="82">
        <f t="shared" si="861"/>
        <v>2553000</v>
      </c>
      <c r="DN130" s="82">
        <f t="shared" si="862"/>
        <v>20</v>
      </c>
      <c r="DO130" s="82">
        <f t="shared" si="863"/>
        <v>25530000</v>
      </c>
      <c r="DP130" s="82"/>
      <c r="DQ130" s="82"/>
      <c r="DR130" s="82">
        <f t="shared" si="864"/>
        <v>0</v>
      </c>
      <c r="DS130" s="82">
        <f t="shared" si="865"/>
        <v>0</v>
      </c>
      <c r="DT130" s="82"/>
      <c r="DU130" s="82"/>
      <c r="DV130" s="82"/>
      <c r="DW130" s="82"/>
      <c r="DX130" s="82">
        <f t="shared" si="866"/>
        <v>0</v>
      </c>
      <c r="DY130" s="82">
        <f t="shared" si="867"/>
        <v>0</v>
      </c>
      <c r="DZ130" s="82">
        <f t="shared" si="868"/>
        <v>20</v>
      </c>
      <c r="EA130" s="82">
        <f t="shared" si="869"/>
        <v>25530000</v>
      </c>
      <c r="EB130" s="82"/>
      <c r="EC130" s="82"/>
      <c r="ED130" s="82">
        <f t="shared" si="870"/>
        <v>0</v>
      </c>
      <c r="EE130" s="82">
        <f t="shared" si="871"/>
        <v>0</v>
      </c>
      <c r="EF130" s="82"/>
      <c r="EG130" s="82"/>
      <c r="EH130" s="82"/>
      <c r="EI130" s="82"/>
      <c r="EJ130" s="82">
        <f t="shared" si="872"/>
        <v>0</v>
      </c>
      <c r="EK130" s="82">
        <f t="shared" si="873"/>
        <v>0</v>
      </c>
      <c r="EL130" s="82">
        <f t="shared" si="874"/>
        <v>20</v>
      </c>
      <c r="EM130" s="82">
        <f t="shared" si="875"/>
        <v>25530000</v>
      </c>
      <c r="EN130" s="82">
        <f t="shared" si="876"/>
        <v>0</v>
      </c>
      <c r="EO130" s="82">
        <f t="shared" si="877"/>
        <v>2</v>
      </c>
      <c r="EP130" s="82">
        <f t="shared" si="878"/>
        <v>20</v>
      </c>
      <c r="EQ130" s="82">
        <f t="shared" si="879"/>
        <v>25530000</v>
      </c>
      <c r="ER130" s="82"/>
      <c r="ES130" s="82"/>
      <c r="ET130" s="82">
        <f t="shared" si="880"/>
        <v>0</v>
      </c>
      <c r="EU130" s="82">
        <f t="shared" si="881"/>
        <v>0</v>
      </c>
      <c r="EV130" s="82"/>
      <c r="EW130" s="82"/>
      <c r="EX130" s="82"/>
      <c r="EY130" s="82"/>
      <c r="EZ130" s="82">
        <f t="shared" si="882"/>
        <v>0</v>
      </c>
      <c r="FA130" s="82">
        <f t="shared" si="883"/>
        <v>0</v>
      </c>
      <c r="FB130" s="82">
        <f t="shared" si="884"/>
        <v>20</v>
      </c>
      <c r="FC130" s="82">
        <f t="shared" si="885"/>
        <v>25530000</v>
      </c>
      <c r="FD130" s="82"/>
      <c r="FE130" s="82"/>
      <c r="FF130" s="82">
        <f t="shared" si="886"/>
        <v>0</v>
      </c>
      <c r="FG130" s="82">
        <f t="shared" si="887"/>
        <v>0</v>
      </c>
      <c r="FH130" s="82"/>
      <c r="FI130" s="82"/>
      <c r="FJ130" s="82"/>
      <c r="FK130" s="82"/>
      <c r="FL130" s="82">
        <f t="shared" si="888"/>
        <v>0</v>
      </c>
      <c r="FM130" s="82">
        <f t="shared" si="889"/>
        <v>0</v>
      </c>
      <c r="FN130" s="82">
        <f t="shared" si="890"/>
        <v>20</v>
      </c>
      <c r="FO130" s="82">
        <f t="shared" si="891"/>
        <v>25530000</v>
      </c>
      <c r="FP130" s="82"/>
      <c r="FQ130" s="82"/>
      <c r="FR130" s="82">
        <f t="shared" si="892"/>
        <v>0</v>
      </c>
      <c r="FS130" s="82">
        <f t="shared" si="893"/>
        <v>0</v>
      </c>
      <c r="FT130" s="82"/>
      <c r="FU130" s="82"/>
      <c r="FV130" s="82"/>
      <c r="FW130" s="82"/>
      <c r="FX130" s="82">
        <f t="shared" si="894"/>
        <v>0</v>
      </c>
      <c r="FY130" s="82">
        <f t="shared" si="895"/>
        <v>0</v>
      </c>
      <c r="FZ130" s="82">
        <f t="shared" si="896"/>
        <v>20</v>
      </c>
      <c r="GA130" s="82">
        <f t="shared" si="897"/>
        <v>25530000</v>
      </c>
      <c r="GB130" s="82">
        <f t="shared" si="898"/>
        <v>0</v>
      </c>
      <c r="GC130" s="82">
        <f t="shared" si="899"/>
        <v>0</v>
      </c>
      <c r="GD130" s="82">
        <f t="shared" si="900"/>
        <v>20</v>
      </c>
      <c r="GE130" s="82">
        <f t="shared" si="901"/>
        <v>25530000</v>
      </c>
      <c r="GF130" s="95"/>
    </row>
    <row r="131" ht="29.25" customHeight="1">
      <c r="A131" s="76">
        <v>73.0</v>
      </c>
      <c r="B131" s="87"/>
      <c r="C131" s="77" t="s">
        <v>197</v>
      </c>
      <c r="D131" s="78" t="s">
        <v>118</v>
      </c>
      <c r="E131" s="86">
        <v>110990.0</v>
      </c>
      <c r="F131" s="80" t="s">
        <v>85</v>
      </c>
      <c r="G131" s="81">
        <v>9.0</v>
      </c>
      <c r="H131" s="82">
        <v>998910.0</v>
      </c>
      <c r="I131" s="82"/>
      <c r="J131" s="82"/>
      <c r="K131" s="82">
        <f t="shared" si="827"/>
        <v>0</v>
      </c>
      <c r="L131" s="82">
        <f t="shared" si="828"/>
        <v>0</v>
      </c>
      <c r="M131" s="82"/>
      <c r="N131" s="83">
        <v>1.0</v>
      </c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>
        <f t="shared" si="829"/>
        <v>1</v>
      </c>
      <c r="AC131" s="82">
        <f t="shared" si="830"/>
        <v>110990</v>
      </c>
      <c r="AD131" s="82">
        <f t="shared" si="452"/>
        <v>8</v>
      </c>
      <c r="AE131" s="82">
        <f t="shared" si="831"/>
        <v>887920</v>
      </c>
      <c r="AF131" s="82"/>
      <c r="AG131" s="82"/>
      <c r="AH131" s="82">
        <f t="shared" si="832"/>
        <v>0</v>
      </c>
      <c r="AI131" s="82">
        <f t="shared" si="833"/>
        <v>0</v>
      </c>
      <c r="AJ131" s="82"/>
      <c r="AK131" s="82"/>
      <c r="AL131" s="82"/>
      <c r="AM131" s="82"/>
      <c r="AN131" s="82">
        <f t="shared" si="834"/>
        <v>0</v>
      </c>
      <c r="AO131" s="82">
        <f t="shared" si="835"/>
        <v>0</v>
      </c>
      <c r="AP131" s="82">
        <f t="shared" si="458"/>
        <v>8</v>
      </c>
      <c r="AQ131" s="82">
        <f t="shared" si="836"/>
        <v>887920</v>
      </c>
      <c r="AR131" s="82"/>
      <c r="AS131" s="82"/>
      <c r="AT131" s="82"/>
      <c r="AU131" s="82">
        <f t="shared" si="837"/>
        <v>0</v>
      </c>
      <c r="AV131" s="82">
        <f t="shared" si="838"/>
        <v>0</v>
      </c>
      <c r="AW131" s="82"/>
      <c r="AX131" s="82"/>
      <c r="AY131" s="82"/>
      <c r="AZ131" s="82"/>
      <c r="BA131" s="82">
        <f t="shared" si="839"/>
        <v>0</v>
      </c>
      <c r="BB131" s="82">
        <f t="shared" si="840"/>
        <v>0</v>
      </c>
      <c r="BC131" s="82">
        <f t="shared" si="464"/>
        <v>8</v>
      </c>
      <c r="BD131" s="82">
        <f t="shared" si="841"/>
        <v>887920</v>
      </c>
      <c r="BE131" s="82">
        <f t="shared" si="842"/>
        <v>0</v>
      </c>
      <c r="BF131" s="82">
        <f t="shared" si="843"/>
        <v>1</v>
      </c>
      <c r="BG131" s="82">
        <f t="shared" si="468"/>
        <v>8</v>
      </c>
      <c r="BH131" s="82">
        <f t="shared" si="844"/>
        <v>887920</v>
      </c>
      <c r="BI131" s="82"/>
      <c r="BJ131" s="83"/>
      <c r="BK131" s="82">
        <f t="shared" si="845"/>
        <v>0</v>
      </c>
      <c r="BL131" s="82">
        <f t="shared" si="846"/>
        <v>0</v>
      </c>
      <c r="BM131" s="82"/>
      <c r="BN131" s="82"/>
      <c r="BO131" s="83">
        <v>2.0</v>
      </c>
      <c r="BP131" s="83">
        <v>2.0</v>
      </c>
      <c r="BQ131" s="82"/>
      <c r="BR131" s="82"/>
      <c r="BS131" s="83">
        <v>1.0</v>
      </c>
      <c r="BT131" s="82"/>
      <c r="BU131" s="82"/>
      <c r="BV131" s="82"/>
      <c r="BW131" s="82">
        <f t="shared" si="847"/>
        <v>5</v>
      </c>
      <c r="BX131" s="82">
        <f t="shared" si="848"/>
        <v>554950</v>
      </c>
      <c r="BY131" s="82">
        <f t="shared" si="474"/>
        <v>3</v>
      </c>
      <c r="BZ131" s="82">
        <f t="shared" si="849"/>
        <v>332970</v>
      </c>
      <c r="CA131" s="82"/>
      <c r="CB131" s="82"/>
      <c r="CC131" s="82">
        <f t="shared" si="850"/>
        <v>0</v>
      </c>
      <c r="CD131" s="82">
        <f t="shared" si="851"/>
        <v>0</v>
      </c>
      <c r="CE131" s="82"/>
      <c r="CF131" s="82"/>
      <c r="CG131" s="82"/>
      <c r="CH131" s="82"/>
      <c r="CI131" s="82">
        <f t="shared" si="852"/>
        <v>0</v>
      </c>
      <c r="CJ131" s="82">
        <f t="shared" si="853"/>
        <v>0</v>
      </c>
      <c r="CK131" s="82">
        <f t="shared" si="480"/>
        <v>3</v>
      </c>
      <c r="CL131" s="82">
        <f t="shared" si="854"/>
        <v>332970</v>
      </c>
      <c r="CM131" s="82"/>
      <c r="CN131" s="82"/>
      <c r="CO131" s="82">
        <f t="shared" si="35"/>
        <v>0</v>
      </c>
      <c r="CP131" s="82">
        <f t="shared" si="36"/>
        <v>0</v>
      </c>
      <c r="CQ131" s="82"/>
      <c r="CR131" s="82"/>
      <c r="CS131" s="82"/>
      <c r="CT131" s="82"/>
      <c r="CU131" s="82">
        <f t="shared" si="855"/>
        <v>0</v>
      </c>
      <c r="CV131" s="82">
        <f t="shared" si="856"/>
        <v>0</v>
      </c>
      <c r="CW131" s="82">
        <f t="shared" si="39"/>
        <v>3</v>
      </c>
      <c r="CX131" s="82">
        <f t="shared" si="857"/>
        <v>332970</v>
      </c>
      <c r="CY131" s="82">
        <f t="shared" si="41"/>
        <v>0</v>
      </c>
      <c r="CZ131" s="82">
        <f t="shared" si="345"/>
        <v>5</v>
      </c>
      <c r="DA131" s="82">
        <f t="shared" si="43"/>
        <v>3</v>
      </c>
      <c r="DB131" s="82">
        <f t="shared" si="44"/>
        <v>332970</v>
      </c>
      <c r="DC131" s="84">
        <v>8.0</v>
      </c>
      <c r="DD131" s="82"/>
      <c r="DE131" s="82"/>
      <c r="DF131" s="82">
        <f t="shared" si="858"/>
        <v>0</v>
      </c>
      <c r="DG131" s="82">
        <f t="shared" si="859"/>
        <v>0</v>
      </c>
      <c r="DH131" s="82"/>
      <c r="DI131" s="82"/>
      <c r="DJ131" s="82"/>
      <c r="DK131" s="82"/>
      <c r="DL131" s="82">
        <f t="shared" si="860"/>
        <v>0</v>
      </c>
      <c r="DM131" s="82">
        <f t="shared" si="861"/>
        <v>0</v>
      </c>
      <c r="DN131" s="82">
        <f t="shared" si="862"/>
        <v>3</v>
      </c>
      <c r="DO131" s="82">
        <f t="shared" si="863"/>
        <v>332970</v>
      </c>
      <c r="DP131" s="82"/>
      <c r="DQ131" s="82"/>
      <c r="DR131" s="82">
        <f t="shared" si="864"/>
        <v>0</v>
      </c>
      <c r="DS131" s="82">
        <f t="shared" si="865"/>
        <v>0</v>
      </c>
      <c r="DT131" s="82"/>
      <c r="DU131" s="82"/>
      <c r="DV131" s="82"/>
      <c r="DW131" s="82"/>
      <c r="DX131" s="82">
        <f t="shared" si="866"/>
        <v>0</v>
      </c>
      <c r="DY131" s="82">
        <f t="shared" si="867"/>
        <v>0</v>
      </c>
      <c r="DZ131" s="82">
        <f t="shared" si="868"/>
        <v>3</v>
      </c>
      <c r="EA131" s="82">
        <f t="shared" si="869"/>
        <v>332970</v>
      </c>
      <c r="EB131" s="82"/>
      <c r="EC131" s="82"/>
      <c r="ED131" s="82">
        <f t="shared" si="870"/>
        <v>0</v>
      </c>
      <c r="EE131" s="82">
        <f t="shared" si="871"/>
        <v>0</v>
      </c>
      <c r="EF131" s="82"/>
      <c r="EG131" s="82"/>
      <c r="EH131" s="82"/>
      <c r="EI131" s="82"/>
      <c r="EJ131" s="82">
        <f t="shared" si="872"/>
        <v>0</v>
      </c>
      <c r="EK131" s="82">
        <f t="shared" si="873"/>
        <v>0</v>
      </c>
      <c r="EL131" s="82">
        <f t="shared" si="874"/>
        <v>3</v>
      </c>
      <c r="EM131" s="82">
        <f t="shared" si="875"/>
        <v>332970</v>
      </c>
      <c r="EN131" s="82">
        <f t="shared" si="876"/>
        <v>0</v>
      </c>
      <c r="EO131" s="82">
        <f t="shared" si="877"/>
        <v>0</v>
      </c>
      <c r="EP131" s="82">
        <f t="shared" si="878"/>
        <v>3</v>
      </c>
      <c r="EQ131" s="82">
        <f t="shared" si="879"/>
        <v>332970</v>
      </c>
      <c r="ER131" s="82"/>
      <c r="ES131" s="82"/>
      <c r="ET131" s="82">
        <f t="shared" si="880"/>
        <v>0</v>
      </c>
      <c r="EU131" s="82">
        <f t="shared" si="881"/>
        <v>0</v>
      </c>
      <c r="EV131" s="82"/>
      <c r="EW131" s="82"/>
      <c r="EX131" s="82"/>
      <c r="EY131" s="82"/>
      <c r="EZ131" s="82">
        <f t="shared" si="882"/>
        <v>0</v>
      </c>
      <c r="FA131" s="82">
        <f t="shared" si="883"/>
        <v>0</v>
      </c>
      <c r="FB131" s="82">
        <f t="shared" si="884"/>
        <v>3</v>
      </c>
      <c r="FC131" s="82">
        <f t="shared" si="885"/>
        <v>332970</v>
      </c>
      <c r="FD131" s="82"/>
      <c r="FE131" s="82"/>
      <c r="FF131" s="82">
        <f t="shared" si="886"/>
        <v>0</v>
      </c>
      <c r="FG131" s="82">
        <f t="shared" si="887"/>
        <v>0</v>
      </c>
      <c r="FH131" s="82"/>
      <c r="FI131" s="82"/>
      <c r="FJ131" s="82"/>
      <c r="FK131" s="82"/>
      <c r="FL131" s="82">
        <f t="shared" si="888"/>
        <v>0</v>
      </c>
      <c r="FM131" s="82">
        <f t="shared" si="889"/>
        <v>0</v>
      </c>
      <c r="FN131" s="82">
        <f t="shared" si="890"/>
        <v>3</v>
      </c>
      <c r="FO131" s="82">
        <f t="shared" si="891"/>
        <v>332970</v>
      </c>
      <c r="FP131" s="82"/>
      <c r="FQ131" s="82"/>
      <c r="FR131" s="82">
        <f t="shared" si="892"/>
        <v>0</v>
      </c>
      <c r="FS131" s="82">
        <f t="shared" si="893"/>
        <v>0</v>
      </c>
      <c r="FT131" s="82"/>
      <c r="FU131" s="82"/>
      <c r="FV131" s="82"/>
      <c r="FW131" s="82"/>
      <c r="FX131" s="82">
        <f t="shared" si="894"/>
        <v>0</v>
      </c>
      <c r="FY131" s="82">
        <f t="shared" si="895"/>
        <v>0</v>
      </c>
      <c r="FZ131" s="82">
        <f t="shared" si="896"/>
        <v>3</v>
      </c>
      <c r="GA131" s="82">
        <f t="shared" si="897"/>
        <v>332970</v>
      </c>
      <c r="GB131" s="82">
        <f t="shared" si="898"/>
        <v>0</v>
      </c>
      <c r="GC131" s="82">
        <f t="shared" si="899"/>
        <v>0</v>
      </c>
      <c r="GD131" s="82">
        <f t="shared" si="900"/>
        <v>3</v>
      </c>
      <c r="GE131" s="82">
        <f t="shared" si="901"/>
        <v>332970</v>
      </c>
      <c r="GF131" s="85"/>
    </row>
    <row r="132" ht="29.25" customHeight="1">
      <c r="A132" s="50"/>
      <c r="B132" s="50"/>
      <c r="C132" s="16"/>
      <c r="D132" s="78" t="s">
        <v>118</v>
      </c>
      <c r="E132" s="86">
        <v>81081.0</v>
      </c>
      <c r="F132" s="80" t="s">
        <v>86</v>
      </c>
      <c r="G132" s="81">
        <v>10.0</v>
      </c>
      <c r="H132" s="82">
        <v>810810.0</v>
      </c>
      <c r="I132" s="82"/>
      <c r="J132" s="82"/>
      <c r="K132" s="82">
        <f t="shared" si="827"/>
        <v>0</v>
      </c>
      <c r="L132" s="82">
        <f t="shared" si="828"/>
        <v>0</v>
      </c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>
        <f t="shared" si="829"/>
        <v>0</v>
      </c>
      <c r="AC132" s="82">
        <f t="shared" si="830"/>
        <v>0</v>
      </c>
      <c r="AD132" s="82">
        <f t="shared" si="452"/>
        <v>10</v>
      </c>
      <c r="AE132" s="82">
        <f t="shared" si="831"/>
        <v>810810</v>
      </c>
      <c r="AF132" s="82"/>
      <c r="AG132" s="82"/>
      <c r="AH132" s="82">
        <f t="shared" si="832"/>
        <v>0</v>
      </c>
      <c r="AI132" s="82">
        <f t="shared" si="833"/>
        <v>0</v>
      </c>
      <c r="AJ132" s="82"/>
      <c r="AK132" s="82"/>
      <c r="AL132" s="82"/>
      <c r="AM132" s="82"/>
      <c r="AN132" s="82">
        <f t="shared" si="834"/>
        <v>0</v>
      </c>
      <c r="AO132" s="82">
        <f t="shared" si="835"/>
        <v>0</v>
      </c>
      <c r="AP132" s="82">
        <f t="shared" si="458"/>
        <v>10</v>
      </c>
      <c r="AQ132" s="82">
        <f t="shared" si="836"/>
        <v>810810</v>
      </c>
      <c r="AR132" s="82"/>
      <c r="AS132" s="82"/>
      <c r="AT132" s="82"/>
      <c r="AU132" s="82">
        <f t="shared" si="837"/>
        <v>0</v>
      </c>
      <c r="AV132" s="82">
        <f t="shared" si="838"/>
        <v>0</v>
      </c>
      <c r="AW132" s="82"/>
      <c r="AX132" s="82"/>
      <c r="AY132" s="82"/>
      <c r="AZ132" s="82"/>
      <c r="BA132" s="82">
        <f t="shared" si="839"/>
        <v>0</v>
      </c>
      <c r="BB132" s="82">
        <f t="shared" si="840"/>
        <v>0</v>
      </c>
      <c r="BC132" s="82">
        <f t="shared" si="464"/>
        <v>10</v>
      </c>
      <c r="BD132" s="82">
        <f t="shared" si="841"/>
        <v>810810</v>
      </c>
      <c r="BE132" s="82">
        <f t="shared" si="842"/>
        <v>0</v>
      </c>
      <c r="BF132" s="82">
        <f t="shared" si="843"/>
        <v>0</v>
      </c>
      <c r="BG132" s="82">
        <f t="shared" si="468"/>
        <v>10</v>
      </c>
      <c r="BH132" s="82">
        <f t="shared" si="844"/>
        <v>810810</v>
      </c>
      <c r="BI132" s="82"/>
      <c r="BJ132" s="83"/>
      <c r="BK132" s="82">
        <f t="shared" si="845"/>
        <v>0</v>
      </c>
      <c r="BL132" s="82">
        <f t="shared" si="846"/>
        <v>0</v>
      </c>
      <c r="BM132" s="82"/>
      <c r="BN132" s="82"/>
      <c r="BO132" s="82"/>
      <c r="BP132" s="83"/>
      <c r="BQ132" s="82"/>
      <c r="BR132" s="82"/>
      <c r="BS132" s="82"/>
      <c r="BT132" s="82"/>
      <c r="BU132" s="82"/>
      <c r="BV132" s="82"/>
      <c r="BW132" s="82">
        <f t="shared" si="847"/>
        <v>0</v>
      </c>
      <c r="BX132" s="82">
        <f t="shared" si="848"/>
        <v>0</v>
      </c>
      <c r="BY132" s="82">
        <f t="shared" si="474"/>
        <v>10</v>
      </c>
      <c r="BZ132" s="82">
        <f t="shared" si="849"/>
        <v>810810</v>
      </c>
      <c r="CA132" s="82"/>
      <c r="CB132" s="82"/>
      <c r="CC132" s="82">
        <f t="shared" si="850"/>
        <v>0</v>
      </c>
      <c r="CD132" s="82">
        <f t="shared" si="851"/>
        <v>0</v>
      </c>
      <c r="CE132" s="82"/>
      <c r="CF132" s="82"/>
      <c r="CG132" s="82"/>
      <c r="CH132" s="82"/>
      <c r="CI132" s="82">
        <f t="shared" si="852"/>
        <v>0</v>
      </c>
      <c r="CJ132" s="82">
        <f t="shared" si="853"/>
        <v>0</v>
      </c>
      <c r="CK132" s="82">
        <f t="shared" si="480"/>
        <v>10</v>
      </c>
      <c r="CL132" s="82">
        <f t="shared" si="854"/>
        <v>810810</v>
      </c>
      <c r="CM132" s="82"/>
      <c r="CN132" s="82"/>
      <c r="CO132" s="82">
        <f t="shared" si="35"/>
        <v>0</v>
      </c>
      <c r="CP132" s="82">
        <f t="shared" si="36"/>
        <v>0</v>
      </c>
      <c r="CQ132" s="82"/>
      <c r="CR132" s="82"/>
      <c r="CS132" s="82"/>
      <c r="CT132" s="82"/>
      <c r="CU132" s="82">
        <f t="shared" si="855"/>
        <v>0</v>
      </c>
      <c r="CV132" s="82">
        <f t="shared" si="856"/>
        <v>0</v>
      </c>
      <c r="CW132" s="82">
        <f t="shared" si="39"/>
        <v>10</v>
      </c>
      <c r="CX132" s="82">
        <f t="shared" si="857"/>
        <v>810810</v>
      </c>
      <c r="CY132" s="82">
        <f t="shared" si="41"/>
        <v>0</v>
      </c>
      <c r="CZ132" s="82">
        <f t="shared" si="345"/>
        <v>0</v>
      </c>
      <c r="DA132" s="82">
        <f t="shared" si="43"/>
        <v>10</v>
      </c>
      <c r="DB132" s="82">
        <f t="shared" si="44"/>
        <v>810810</v>
      </c>
      <c r="DC132" s="91"/>
      <c r="DD132" s="82"/>
      <c r="DE132" s="82"/>
      <c r="DF132" s="82">
        <f t="shared" si="858"/>
        <v>0</v>
      </c>
      <c r="DG132" s="82">
        <f t="shared" si="859"/>
        <v>0</v>
      </c>
      <c r="DH132" s="82"/>
      <c r="DI132" s="82"/>
      <c r="DJ132" s="82"/>
      <c r="DK132" s="82"/>
      <c r="DL132" s="82">
        <f t="shared" si="860"/>
        <v>0</v>
      </c>
      <c r="DM132" s="82">
        <f t="shared" si="861"/>
        <v>0</v>
      </c>
      <c r="DN132" s="82">
        <f t="shared" si="862"/>
        <v>10</v>
      </c>
      <c r="DO132" s="82">
        <f t="shared" si="863"/>
        <v>810810</v>
      </c>
      <c r="DP132" s="82"/>
      <c r="DQ132" s="82"/>
      <c r="DR132" s="82">
        <f t="shared" si="864"/>
        <v>0</v>
      </c>
      <c r="DS132" s="82">
        <f t="shared" si="865"/>
        <v>0</v>
      </c>
      <c r="DT132" s="82"/>
      <c r="DU132" s="82"/>
      <c r="DV132" s="82"/>
      <c r="DW132" s="82"/>
      <c r="DX132" s="82">
        <f t="shared" si="866"/>
        <v>0</v>
      </c>
      <c r="DY132" s="82">
        <f t="shared" si="867"/>
        <v>0</v>
      </c>
      <c r="DZ132" s="82">
        <f t="shared" si="868"/>
        <v>10</v>
      </c>
      <c r="EA132" s="82">
        <f t="shared" si="869"/>
        <v>810810</v>
      </c>
      <c r="EB132" s="82"/>
      <c r="EC132" s="82"/>
      <c r="ED132" s="82">
        <f t="shared" si="870"/>
        <v>0</v>
      </c>
      <c r="EE132" s="82">
        <f t="shared" si="871"/>
        <v>0</v>
      </c>
      <c r="EF132" s="82"/>
      <c r="EG132" s="82"/>
      <c r="EH132" s="82"/>
      <c r="EI132" s="82"/>
      <c r="EJ132" s="82">
        <f t="shared" si="872"/>
        <v>0</v>
      </c>
      <c r="EK132" s="82">
        <f t="shared" si="873"/>
        <v>0</v>
      </c>
      <c r="EL132" s="82">
        <f t="shared" si="874"/>
        <v>10</v>
      </c>
      <c r="EM132" s="82">
        <f t="shared" si="875"/>
        <v>810810</v>
      </c>
      <c r="EN132" s="82">
        <f t="shared" si="876"/>
        <v>0</v>
      </c>
      <c r="EO132" s="82">
        <f t="shared" si="877"/>
        <v>0</v>
      </c>
      <c r="EP132" s="82">
        <f t="shared" si="878"/>
        <v>10</v>
      </c>
      <c r="EQ132" s="82">
        <f t="shared" si="879"/>
        <v>810810</v>
      </c>
      <c r="ER132" s="82"/>
      <c r="ES132" s="82"/>
      <c r="ET132" s="82">
        <f t="shared" si="880"/>
        <v>0</v>
      </c>
      <c r="EU132" s="82">
        <f t="shared" si="881"/>
        <v>0</v>
      </c>
      <c r="EV132" s="82"/>
      <c r="EW132" s="82"/>
      <c r="EX132" s="82"/>
      <c r="EY132" s="82"/>
      <c r="EZ132" s="82">
        <f t="shared" si="882"/>
        <v>0</v>
      </c>
      <c r="FA132" s="82">
        <f t="shared" si="883"/>
        <v>0</v>
      </c>
      <c r="FB132" s="82">
        <f t="shared" si="884"/>
        <v>10</v>
      </c>
      <c r="FC132" s="82">
        <f t="shared" si="885"/>
        <v>810810</v>
      </c>
      <c r="FD132" s="82"/>
      <c r="FE132" s="82"/>
      <c r="FF132" s="82">
        <f t="shared" si="886"/>
        <v>0</v>
      </c>
      <c r="FG132" s="82">
        <f t="shared" si="887"/>
        <v>0</v>
      </c>
      <c r="FH132" s="82"/>
      <c r="FI132" s="82"/>
      <c r="FJ132" s="82"/>
      <c r="FK132" s="82"/>
      <c r="FL132" s="82">
        <f t="shared" si="888"/>
        <v>0</v>
      </c>
      <c r="FM132" s="82">
        <f t="shared" si="889"/>
        <v>0</v>
      </c>
      <c r="FN132" s="82">
        <f t="shared" si="890"/>
        <v>10</v>
      </c>
      <c r="FO132" s="82">
        <f t="shared" si="891"/>
        <v>810810</v>
      </c>
      <c r="FP132" s="82"/>
      <c r="FQ132" s="82"/>
      <c r="FR132" s="82">
        <f t="shared" si="892"/>
        <v>0</v>
      </c>
      <c r="FS132" s="82">
        <f t="shared" si="893"/>
        <v>0</v>
      </c>
      <c r="FT132" s="82"/>
      <c r="FU132" s="82"/>
      <c r="FV132" s="82"/>
      <c r="FW132" s="82"/>
      <c r="FX132" s="82">
        <f t="shared" si="894"/>
        <v>0</v>
      </c>
      <c r="FY132" s="82">
        <f t="shared" si="895"/>
        <v>0</v>
      </c>
      <c r="FZ132" s="82">
        <f t="shared" si="896"/>
        <v>10</v>
      </c>
      <c r="GA132" s="82">
        <f t="shared" si="897"/>
        <v>810810</v>
      </c>
      <c r="GB132" s="82">
        <f t="shared" si="898"/>
        <v>0</v>
      </c>
      <c r="GC132" s="82">
        <f t="shared" si="899"/>
        <v>0</v>
      </c>
      <c r="GD132" s="82">
        <f t="shared" si="900"/>
        <v>10</v>
      </c>
      <c r="GE132" s="82">
        <f t="shared" si="901"/>
        <v>810810</v>
      </c>
      <c r="GF132" s="85"/>
    </row>
    <row r="133" ht="29.25" customHeight="1">
      <c r="A133" s="76">
        <v>74.0</v>
      </c>
      <c r="B133" s="87"/>
      <c r="C133" s="88" t="s">
        <v>198</v>
      </c>
      <c r="D133" s="78" t="s">
        <v>118</v>
      </c>
      <c r="E133" s="86">
        <v>110990.0</v>
      </c>
      <c r="F133" s="80" t="s">
        <v>85</v>
      </c>
      <c r="G133" s="81">
        <v>2.0</v>
      </c>
      <c r="H133" s="82">
        <v>221980.0</v>
      </c>
      <c r="I133" s="82"/>
      <c r="J133" s="82"/>
      <c r="K133" s="82">
        <f t="shared" si="827"/>
        <v>0</v>
      </c>
      <c r="L133" s="82">
        <f t="shared" si="828"/>
        <v>0</v>
      </c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>
        <f t="shared" si="829"/>
        <v>0</v>
      </c>
      <c r="AC133" s="82">
        <f t="shared" si="830"/>
        <v>0</v>
      </c>
      <c r="AD133" s="82">
        <f t="shared" si="452"/>
        <v>2</v>
      </c>
      <c r="AE133" s="82">
        <f t="shared" si="831"/>
        <v>221980</v>
      </c>
      <c r="AF133" s="82"/>
      <c r="AG133" s="82"/>
      <c r="AH133" s="82">
        <f t="shared" si="832"/>
        <v>0</v>
      </c>
      <c r="AI133" s="82">
        <f t="shared" si="833"/>
        <v>0</v>
      </c>
      <c r="AJ133" s="82"/>
      <c r="AK133" s="82"/>
      <c r="AL133" s="82"/>
      <c r="AM133" s="82"/>
      <c r="AN133" s="82">
        <f t="shared" si="834"/>
        <v>0</v>
      </c>
      <c r="AO133" s="82">
        <f t="shared" si="835"/>
        <v>0</v>
      </c>
      <c r="AP133" s="82">
        <f t="shared" si="458"/>
        <v>2</v>
      </c>
      <c r="AQ133" s="82">
        <f t="shared" si="836"/>
        <v>221980</v>
      </c>
      <c r="AR133" s="82"/>
      <c r="AS133" s="82"/>
      <c r="AT133" s="82"/>
      <c r="AU133" s="82">
        <f t="shared" si="837"/>
        <v>0</v>
      </c>
      <c r="AV133" s="82">
        <f t="shared" si="838"/>
        <v>0</v>
      </c>
      <c r="AW133" s="82"/>
      <c r="AX133" s="82"/>
      <c r="AY133" s="82"/>
      <c r="AZ133" s="82"/>
      <c r="BA133" s="82">
        <f t="shared" si="839"/>
        <v>0</v>
      </c>
      <c r="BB133" s="82">
        <f t="shared" si="840"/>
        <v>0</v>
      </c>
      <c r="BC133" s="82">
        <f t="shared" si="464"/>
        <v>2</v>
      </c>
      <c r="BD133" s="82">
        <f t="shared" si="841"/>
        <v>221980</v>
      </c>
      <c r="BE133" s="82">
        <f t="shared" si="842"/>
        <v>0</v>
      </c>
      <c r="BF133" s="82">
        <f t="shared" si="843"/>
        <v>0</v>
      </c>
      <c r="BG133" s="82">
        <f t="shared" si="468"/>
        <v>2</v>
      </c>
      <c r="BH133" s="82">
        <f t="shared" si="844"/>
        <v>221980</v>
      </c>
      <c r="BI133" s="82"/>
      <c r="BJ133" s="83"/>
      <c r="BK133" s="82">
        <f t="shared" si="845"/>
        <v>0</v>
      </c>
      <c r="BL133" s="82">
        <f t="shared" si="846"/>
        <v>0</v>
      </c>
      <c r="BM133" s="82"/>
      <c r="BN133" s="82"/>
      <c r="BO133" s="82"/>
      <c r="BP133" s="83">
        <v>1.0</v>
      </c>
      <c r="BQ133" s="82"/>
      <c r="BR133" s="82"/>
      <c r="BS133" s="83">
        <v>1.0</v>
      </c>
      <c r="BT133" s="82"/>
      <c r="BU133" s="82"/>
      <c r="BV133" s="82"/>
      <c r="BW133" s="82">
        <f t="shared" si="847"/>
        <v>2</v>
      </c>
      <c r="BX133" s="82">
        <f t="shared" si="848"/>
        <v>221980</v>
      </c>
      <c r="BY133" s="82">
        <f t="shared" si="474"/>
        <v>0</v>
      </c>
      <c r="BZ133" s="82">
        <f t="shared" si="849"/>
        <v>0</v>
      </c>
      <c r="CA133" s="82"/>
      <c r="CB133" s="82"/>
      <c r="CC133" s="82">
        <f t="shared" si="850"/>
        <v>0</v>
      </c>
      <c r="CD133" s="82">
        <f t="shared" si="851"/>
        <v>0</v>
      </c>
      <c r="CE133" s="82"/>
      <c r="CF133" s="82"/>
      <c r="CG133" s="82"/>
      <c r="CH133" s="82"/>
      <c r="CI133" s="82">
        <f t="shared" si="852"/>
        <v>0</v>
      </c>
      <c r="CJ133" s="82">
        <f t="shared" si="853"/>
        <v>0</v>
      </c>
      <c r="CK133" s="82">
        <f t="shared" si="480"/>
        <v>0</v>
      </c>
      <c r="CL133" s="82">
        <f t="shared" si="854"/>
        <v>0</v>
      </c>
      <c r="CM133" s="82"/>
      <c r="CN133" s="82"/>
      <c r="CO133" s="82">
        <f t="shared" si="35"/>
        <v>0</v>
      </c>
      <c r="CP133" s="82">
        <f t="shared" si="36"/>
        <v>0</v>
      </c>
      <c r="CQ133" s="82"/>
      <c r="CR133" s="82"/>
      <c r="CS133" s="82"/>
      <c r="CT133" s="82"/>
      <c r="CU133" s="82">
        <f t="shared" si="855"/>
        <v>0</v>
      </c>
      <c r="CV133" s="82">
        <f t="shared" si="856"/>
        <v>0</v>
      </c>
      <c r="CW133" s="82">
        <f t="shared" si="39"/>
        <v>0</v>
      </c>
      <c r="CX133" s="82">
        <f t="shared" si="857"/>
        <v>0</v>
      </c>
      <c r="CY133" s="82">
        <f t="shared" si="41"/>
        <v>0</v>
      </c>
      <c r="CZ133" s="82">
        <f t="shared" si="345"/>
        <v>2</v>
      </c>
      <c r="DA133" s="82">
        <f t="shared" si="43"/>
        <v>0</v>
      </c>
      <c r="DB133" s="82">
        <f t="shared" si="44"/>
        <v>0</v>
      </c>
      <c r="DC133" s="84">
        <v>3.0</v>
      </c>
      <c r="DD133" s="82"/>
      <c r="DE133" s="82"/>
      <c r="DF133" s="82">
        <f t="shared" si="858"/>
        <v>0</v>
      </c>
      <c r="DG133" s="82">
        <f t="shared" si="859"/>
        <v>0</v>
      </c>
      <c r="DH133" s="82"/>
      <c r="DI133" s="82"/>
      <c r="DJ133" s="82"/>
      <c r="DK133" s="82"/>
      <c r="DL133" s="82">
        <f t="shared" si="860"/>
        <v>0</v>
      </c>
      <c r="DM133" s="82">
        <f t="shared" si="861"/>
        <v>0</v>
      </c>
      <c r="DN133" s="82">
        <f t="shared" si="862"/>
        <v>0</v>
      </c>
      <c r="DO133" s="82">
        <f t="shared" si="863"/>
        <v>0</v>
      </c>
      <c r="DP133" s="82"/>
      <c r="DQ133" s="82"/>
      <c r="DR133" s="82">
        <f t="shared" si="864"/>
        <v>0</v>
      </c>
      <c r="DS133" s="82">
        <f t="shared" si="865"/>
        <v>0</v>
      </c>
      <c r="DT133" s="82"/>
      <c r="DU133" s="82"/>
      <c r="DV133" s="82"/>
      <c r="DW133" s="82"/>
      <c r="DX133" s="82">
        <f t="shared" si="866"/>
        <v>0</v>
      </c>
      <c r="DY133" s="82">
        <f t="shared" si="867"/>
        <v>0</v>
      </c>
      <c r="DZ133" s="82">
        <f t="shared" si="868"/>
        <v>0</v>
      </c>
      <c r="EA133" s="82">
        <f t="shared" si="869"/>
        <v>0</v>
      </c>
      <c r="EB133" s="82"/>
      <c r="EC133" s="82"/>
      <c r="ED133" s="82">
        <f t="shared" si="870"/>
        <v>0</v>
      </c>
      <c r="EE133" s="82">
        <f t="shared" si="871"/>
        <v>0</v>
      </c>
      <c r="EF133" s="82"/>
      <c r="EG133" s="82"/>
      <c r="EH133" s="82"/>
      <c r="EI133" s="82"/>
      <c r="EJ133" s="82">
        <f t="shared" si="872"/>
        <v>0</v>
      </c>
      <c r="EK133" s="82">
        <f t="shared" si="873"/>
        <v>0</v>
      </c>
      <c r="EL133" s="82">
        <f t="shared" si="874"/>
        <v>0</v>
      </c>
      <c r="EM133" s="82">
        <f t="shared" si="875"/>
        <v>0</v>
      </c>
      <c r="EN133" s="82">
        <f t="shared" si="876"/>
        <v>0</v>
      </c>
      <c r="EO133" s="82">
        <f t="shared" si="877"/>
        <v>0</v>
      </c>
      <c r="EP133" s="82">
        <f t="shared" si="878"/>
        <v>0</v>
      </c>
      <c r="EQ133" s="82">
        <f t="shared" si="879"/>
        <v>0</v>
      </c>
      <c r="ER133" s="82"/>
      <c r="ES133" s="82"/>
      <c r="ET133" s="82">
        <f t="shared" si="880"/>
        <v>0</v>
      </c>
      <c r="EU133" s="82">
        <f t="shared" si="881"/>
        <v>0</v>
      </c>
      <c r="EV133" s="82"/>
      <c r="EW133" s="82"/>
      <c r="EX133" s="82"/>
      <c r="EY133" s="82"/>
      <c r="EZ133" s="82">
        <f t="shared" si="882"/>
        <v>0</v>
      </c>
      <c r="FA133" s="82">
        <f t="shared" si="883"/>
        <v>0</v>
      </c>
      <c r="FB133" s="82">
        <f t="shared" si="884"/>
        <v>0</v>
      </c>
      <c r="FC133" s="82">
        <f t="shared" si="885"/>
        <v>0</v>
      </c>
      <c r="FD133" s="82"/>
      <c r="FE133" s="82"/>
      <c r="FF133" s="82">
        <f t="shared" si="886"/>
        <v>0</v>
      </c>
      <c r="FG133" s="82">
        <f t="shared" si="887"/>
        <v>0</v>
      </c>
      <c r="FH133" s="82"/>
      <c r="FI133" s="82"/>
      <c r="FJ133" s="82"/>
      <c r="FK133" s="82"/>
      <c r="FL133" s="82">
        <f t="shared" si="888"/>
        <v>0</v>
      </c>
      <c r="FM133" s="82">
        <f t="shared" si="889"/>
        <v>0</v>
      </c>
      <c r="FN133" s="82">
        <f t="shared" si="890"/>
        <v>0</v>
      </c>
      <c r="FO133" s="82">
        <f t="shared" si="891"/>
        <v>0</v>
      </c>
      <c r="FP133" s="82"/>
      <c r="FQ133" s="82"/>
      <c r="FR133" s="82">
        <f t="shared" si="892"/>
        <v>0</v>
      </c>
      <c r="FS133" s="82">
        <f t="shared" si="893"/>
        <v>0</v>
      </c>
      <c r="FT133" s="82"/>
      <c r="FU133" s="82"/>
      <c r="FV133" s="82"/>
      <c r="FW133" s="82"/>
      <c r="FX133" s="82">
        <f t="shared" si="894"/>
        <v>0</v>
      </c>
      <c r="FY133" s="82">
        <f t="shared" si="895"/>
        <v>0</v>
      </c>
      <c r="FZ133" s="82">
        <f t="shared" si="896"/>
        <v>0</v>
      </c>
      <c r="GA133" s="82">
        <f t="shared" si="897"/>
        <v>0</v>
      </c>
      <c r="GB133" s="82">
        <f t="shared" si="898"/>
        <v>0</v>
      </c>
      <c r="GC133" s="82">
        <f t="shared" si="899"/>
        <v>0</v>
      </c>
      <c r="GD133" s="82">
        <f t="shared" si="900"/>
        <v>0</v>
      </c>
      <c r="GE133" s="82">
        <f t="shared" si="901"/>
        <v>0</v>
      </c>
      <c r="GF133" s="85"/>
    </row>
    <row r="134" ht="29.25" customHeight="1">
      <c r="A134" s="50"/>
      <c r="B134" s="50"/>
      <c r="C134" s="50"/>
      <c r="D134" s="78" t="s">
        <v>118</v>
      </c>
      <c r="E134" s="86">
        <v>81081.0</v>
      </c>
      <c r="F134" s="80" t="s">
        <v>86</v>
      </c>
      <c r="G134" s="81">
        <v>5.0</v>
      </c>
      <c r="H134" s="82">
        <v>405405.0</v>
      </c>
      <c r="I134" s="82"/>
      <c r="J134" s="82"/>
      <c r="K134" s="82">
        <f t="shared" si="827"/>
        <v>0</v>
      </c>
      <c r="L134" s="82">
        <f t="shared" si="828"/>
        <v>0</v>
      </c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>
        <f t="shared" si="829"/>
        <v>0</v>
      </c>
      <c r="AC134" s="82">
        <f t="shared" si="830"/>
        <v>0</v>
      </c>
      <c r="AD134" s="82">
        <f t="shared" si="452"/>
        <v>5</v>
      </c>
      <c r="AE134" s="82">
        <f t="shared" si="831"/>
        <v>405405</v>
      </c>
      <c r="AF134" s="82"/>
      <c r="AG134" s="82"/>
      <c r="AH134" s="82">
        <f t="shared" si="832"/>
        <v>0</v>
      </c>
      <c r="AI134" s="82">
        <f t="shared" si="833"/>
        <v>0</v>
      </c>
      <c r="AJ134" s="82"/>
      <c r="AK134" s="82"/>
      <c r="AL134" s="82"/>
      <c r="AM134" s="82"/>
      <c r="AN134" s="82">
        <f t="shared" si="834"/>
        <v>0</v>
      </c>
      <c r="AO134" s="82">
        <f t="shared" si="835"/>
        <v>0</v>
      </c>
      <c r="AP134" s="82">
        <f t="shared" si="458"/>
        <v>5</v>
      </c>
      <c r="AQ134" s="82">
        <f t="shared" si="836"/>
        <v>405405</v>
      </c>
      <c r="AR134" s="82"/>
      <c r="AS134" s="82"/>
      <c r="AT134" s="82"/>
      <c r="AU134" s="82">
        <f t="shared" si="837"/>
        <v>0</v>
      </c>
      <c r="AV134" s="82">
        <f t="shared" si="838"/>
        <v>0</v>
      </c>
      <c r="AW134" s="82"/>
      <c r="AX134" s="82"/>
      <c r="AY134" s="82"/>
      <c r="AZ134" s="82"/>
      <c r="BA134" s="82">
        <f t="shared" si="839"/>
        <v>0</v>
      </c>
      <c r="BB134" s="82">
        <f t="shared" si="840"/>
        <v>0</v>
      </c>
      <c r="BC134" s="82">
        <f t="shared" si="464"/>
        <v>5</v>
      </c>
      <c r="BD134" s="82">
        <f t="shared" si="841"/>
        <v>405405</v>
      </c>
      <c r="BE134" s="82">
        <f t="shared" si="842"/>
        <v>0</v>
      </c>
      <c r="BF134" s="82">
        <f t="shared" si="843"/>
        <v>0</v>
      </c>
      <c r="BG134" s="82">
        <f t="shared" si="468"/>
        <v>5</v>
      </c>
      <c r="BH134" s="82">
        <f t="shared" si="844"/>
        <v>405405</v>
      </c>
      <c r="BI134" s="82"/>
      <c r="BJ134" s="83"/>
      <c r="BK134" s="82">
        <f t="shared" si="845"/>
        <v>0</v>
      </c>
      <c r="BL134" s="82">
        <f t="shared" si="846"/>
        <v>0</v>
      </c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>
        <f t="shared" si="847"/>
        <v>0</v>
      </c>
      <c r="BX134" s="82">
        <f t="shared" si="848"/>
        <v>0</v>
      </c>
      <c r="BY134" s="82">
        <f t="shared" si="474"/>
        <v>5</v>
      </c>
      <c r="BZ134" s="82">
        <f t="shared" si="849"/>
        <v>405405</v>
      </c>
      <c r="CA134" s="82"/>
      <c r="CB134" s="82"/>
      <c r="CC134" s="82">
        <f t="shared" si="850"/>
        <v>0</v>
      </c>
      <c r="CD134" s="82">
        <f t="shared" si="851"/>
        <v>0</v>
      </c>
      <c r="CE134" s="82"/>
      <c r="CF134" s="82"/>
      <c r="CG134" s="82"/>
      <c r="CH134" s="82"/>
      <c r="CI134" s="82">
        <f t="shared" si="852"/>
        <v>0</v>
      </c>
      <c r="CJ134" s="82">
        <f t="shared" si="853"/>
        <v>0</v>
      </c>
      <c r="CK134" s="82">
        <f t="shared" si="480"/>
        <v>5</v>
      </c>
      <c r="CL134" s="82">
        <f t="shared" si="854"/>
        <v>405405</v>
      </c>
      <c r="CM134" s="82"/>
      <c r="CN134" s="82"/>
      <c r="CO134" s="82">
        <f t="shared" si="35"/>
        <v>0</v>
      </c>
      <c r="CP134" s="82">
        <f t="shared" si="36"/>
        <v>0</v>
      </c>
      <c r="CQ134" s="82"/>
      <c r="CR134" s="82"/>
      <c r="CS134" s="82"/>
      <c r="CT134" s="82"/>
      <c r="CU134" s="82">
        <f t="shared" si="855"/>
        <v>0</v>
      </c>
      <c r="CV134" s="82">
        <f t="shared" si="856"/>
        <v>0</v>
      </c>
      <c r="CW134" s="82">
        <f t="shared" si="39"/>
        <v>5</v>
      </c>
      <c r="CX134" s="82">
        <f t="shared" si="857"/>
        <v>405405</v>
      </c>
      <c r="CY134" s="82">
        <f t="shared" si="41"/>
        <v>0</v>
      </c>
      <c r="CZ134" s="82">
        <f t="shared" si="345"/>
        <v>0</v>
      </c>
      <c r="DA134" s="82">
        <f t="shared" si="43"/>
        <v>5</v>
      </c>
      <c r="DB134" s="82">
        <f t="shared" si="44"/>
        <v>405405</v>
      </c>
      <c r="DC134" s="91"/>
      <c r="DD134" s="82"/>
      <c r="DE134" s="82"/>
      <c r="DF134" s="82">
        <f t="shared" si="858"/>
        <v>0</v>
      </c>
      <c r="DG134" s="82">
        <f t="shared" si="859"/>
        <v>0</v>
      </c>
      <c r="DH134" s="82"/>
      <c r="DI134" s="82"/>
      <c r="DJ134" s="82"/>
      <c r="DK134" s="82"/>
      <c r="DL134" s="82">
        <f t="shared" si="860"/>
        <v>0</v>
      </c>
      <c r="DM134" s="82">
        <f t="shared" si="861"/>
        <v>0</v>
      </c>
      <c r="DN134" s="82">
        <f t="shared" si="862"/>
        <v>5</v>
      </c>
      <c r="DO134" s="82">
        <f t="shared" si="863"/>
        <v>405405</v>
      </c>
      <c r="DP134" s="82"/>
      <c r="DQ134" s="82"/>
      <c r="DR134" s="82">
        <f t="shared" si="864"/>
        <v>0</v>
      </c>
      <c r="DS134" s="82">
        <f t="shared" si="865"/>
        <v>0</v>
      </c>
      <c r="DT134" s="82"/>
      <c r="DU134" s="82"/>
      <c r="DV134" s="82"/>
      <c r="DW134" s="82"/>
      <c r="DX134" s="82">
        <f t="shared" si="866"/>
        <v>0</v>
      </c>
      <c r="DY134" s="82">
        <f t="shared" si="867"/>
        <v>0</v>
      </c>
      <c r="DZ134" s="82">
        <f t="shared" si="868"/>
        <v>5</v>
      </c>
      <c r="EA134" s="82">
        <f t="shared" si="869"/>
        <v>405405</v>
      </c>
      <c r="EB134" s="82"/>
      <c r="EC134" s="82"/>
      <c r="ED134" s="82">
        <f t="shared" si="870"/>
        <v>0</v>
      </c>
      <c r="EE134" s="82">
        <f t="shared" si="871"/>
        <v>0</v>
      </c>
      <c r="EF134" s="82"/>
      <c r="EG134" s="82"/>
      <c r="EH134" s="82"/>
      <c r="EI134" s="82"/>
      <c r="EJ134" s="82">
        <f t="shared" si="872"/>
        <v>0</v>
      </c>
      <c r="EK134" s="82">
        <f t="shared" si="873"/>
        <v>0</v>
      </c>
      <c r="EL134" s="82">
        <f t="shared" si="874"/>
        <v>5</v>
      </c>
      <c r="EM134" s="82">
        <f t="shared" si="875"/>
        <v>405405</v>
      </c>
      <c r="EN134" s="82">
        <f t="shared" si="876"/>
        <v>0</v>
      </c>
      <c r="EO134" s="82">
        <f t="shared" si="877"/>
        <v>0</v>
      </c>
      <c r="EP134" s="82">
        <f t="shared" si="878"/>
        <v>5</v>
      </c>
      <c r="EQ134" s="82">
        <f t="shared" si="879"/>
        <v>405405</v>
      </c>
      <c r="ER134" s="82"/>
      <c r="ES134" s="82"/>
      <c r="ET134" s="82">
        <f t="shared" si="880"/>
        <v>0</v>
      </c>
      <c r="EU134" s="82">
        <f t="shared" si="881"/>
        <v>0</v>
      </c>
      <c r="EV134" s="82"/>
      <c r="EW134" s="82"/>
      <c r="EX134" s="82"/>
      <c r="EY134" s="82"/>
      <c r="EZ134" s="82">
        <f t="shared" si="882"/>
        <v>0</v>
      </c>
      <c r="FA134" s="82">
        <f t="shared" si="883"/>
        <v>0</v>
      </c>
      <c r="FB134" s="82">
        <f t="shared" si="884"/>
        <v>5</v>
      </c>
      <c r="FC134" s="82">
        <f t="shared" si="885"/>
        <v>405405</v>
      </c>
      <c r="FD134" s="82"/>
      <c r="FE134" s="82"/>
      <c r="FF134" s="82">
        <f t="shared" si="886"/>
        <v>0</v>
      </c>
      <c r="FG134" s="82">
        <f t="shared" si="887"/>
        <v>0</v>
      </c>
      <c r="FH134" s="82"/>
      <c r="FI134" s="82"/>
      <c r="FJ134" s="82"/>
      <c r="FK134" s="82"/>
      <c r="FL134" s="82">
        <f t="shared" si="888"/>
        <v>0</v>
      </c>
      <c r="FM134" s="82">
        <f t="shared" si="889"/>
        <v>0</v>
      </c>
      <c r="FN134" s="82">
        <f t="shared" si="890"/>
        <v>5</v>
      </c>
      <c r="FO134" s="82">
        <f t="shared" si="891"/>
        <v>405405</v>
      </c>
      <c r="FP134" s="82"/>
      <c r="FQ134" s="82"/>
      <c r="FR134" s="82">
        <f t="shared" si="892"/>
        <v>0</v>
      </c>
      <c r="FS134" s="82">
        <f t="shared" si="893"/>
        <v>0</v>
      </c>
      <c r="FT134" s="82"/>
      <c r="FU134" s="82"/>
      <c r="FV134" s="82"/>
      <c r="FW134" s="82"/>
      <c r="FX134" s="82">
        <f t="shared" si="894"/>
        <v>0</v>
      </c>
      <c r="FY134" s="82">
        <f t="shared" si="895"/>
        <v>0</v>
      </c>
      <c r="FZ134" s="82">
        <f t="shared" si="896"/>
        <v>5</v>
      </c>
      <c r="GA134" s="82">
        <f t="shared" si="897"/>
        <v>405405</v>
      </c>
      <c r="GB134" s="82">
        <f t="shared" si="898"/>
        <v>0</v>
      </c>
      <c r="GC134" s="82">
        <f t="shared" si="899"/>
        <v>0</v>
      </c>
      <c r="GD134" s="82">
        <f t="shared" si="900"/>
        <v>5</v>
      </c>
      <c r="GE134" s="82">
        <f t="shared" si="901"/>
        <v>405405</v>
      </c>
      <c r="GF134" s="85"/>
    </row>
    <row r="135" ht="29.25" customHeight="1">
      <c r="A135" s="76">
        <v>75.0</v>
      </c>
      <c r="B135" s="87"/>
      <c r="C135" s="88" t="s">
        <v>199</v>
      </c>
      <c r="D135" s="78" t="s">
        <v>118</v>
      </c>
      <c r="E135" s="86">
        <v>110990.0</v>
      </c>
      <c r="F135" s="80" t="s">
        <v>85</v>
      </c>
      <c r="G135" s="81">
        <v>2.0</v>
      </c>
      <c r="H135" s="82">
        <v>221980.0</v>
      </c>
      <c r="I135" s="82"/>
      <c r="J135" s="82"/>
      <c r="K135" s="82">
        <f t="shared" si="827"/>
        <v>0</v>
      </c>
      <c r="L135" s="82">
        <f t="shared" si="828"/>
        <v>0</v>
      </c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>
        <f t="shared" si="829"/>
        <v>0</v>
      </c>
      <c r="AC135" s="82">
        <f t="shared" si="830"/>
        <v>0</v>
      </c>
      <c r="AD135" s="82">
        <f t="shared" si="452"/>
        <v>2</v>
      </c>
      <c r="AE135" s="82">
        <f t="shared" si="831"/>
        <v>221980</v>
      </c>
      <c r="AF135" s="82"/>
      <c r="AG135" s="82"/>
      <c r="AH135" s="82">
        <f t="shared" si="832"/>
        <v>0</v>
      </c>
      <c r="AI135" s="82">
        <f t="shared" si="833"/>
        <v>0</v>
      </c>
      <c r="AJ135" s="82"/>
      <c r="AK135" s="82"/>
      <c r="AL135" s="82"/>
      <c r="AM135" s="82"/>
      <c r="AN135" s="82">
        <f t="shared" si="834"/>
        <v>0</v>
      </c>
      <c r="AO135" s="82">
        <f t="shared" si="835"/>
        <v>0</v>
      </c>
      <c r="AP135" s="82">
        <f t="shared" si="458"/>
        <v>2</v>
      </c>
      <c r="AQ135" s="82">
        <f t="shared" si="836"/>
        <v>221980</v>
      </c>
      <c r="AR135" s="82"/>
      <c r="AS135" s="82"/>
      <c r="AT135" s="82"/>
      <c r="AU135" s="82">
        <f t="shared" si="837"/>
        <v>0</v>
      </c>
      <c r="AV135" s="82">
        <f t="shared" si="838"/>
        <v>0</v>
      </c>
      <c r="AW135" s="82"/>
      <c r="AX135" s="82"/>
      <c r="AY135" s="82"/>
      <c r="AZ135" s="82"/>
      <c r="BA135" s="82">
        <f t="shared" si="839"/>
        <v>0</v>
      </c>
      <c r="BB135" s="82">
        <f t="shared" si="840"/>
        <v>0</v>
      </c>
      <c r="BC135" s="82">
        <f t="shared" si="464"/>
        <v>2</v>
      </c>
      <c r="BD135" s="82">
        <f t="shared" si="841"/>
        <v>221980</v>
      </c>
      <c r="BE135" s="82">
        <f t="shared" si="842"/>
        <v>0</v>
      </c>
      <c r="BF135" s="82">
        <f t="shared" si="843"/>
        <v>0</v>
      </c>
      <c r="BG135" s="82">
        <f t="shared" si="468"/>
        <v>2</v>
      </c>
      <c r="BH135" s="82">
        <f t="shared" si="844"/>
        <v>221980</v>
      </c>
      <c r="BI135" s="82"/>
      <c r="BJ135" s="83"/>
      <c r="BK135" s="82">
        <f t="shared" si="845"/>
        <v>0</v>
      </c>
      <c r="BL135" s="82">
        <f t="shared" si="846"/>
        <v>0</v>
      </c>
      <c r="BM135" s="82"/>
      <c r="BN135" s="82"/>
      <c r="BO135" s="82"/>
      <c r="BP135" s="83">
        <v>1.0</v>
      </c>
      <c r="BQ135" s="82"/>
      <c r="BR135" s="82"/>
      <c r="BS135" s="83">
        <v>1.0</v>
      </c>
      <c r="BT135" s="82"/>
      <c r="BU135" s="82"/>
      <c r="BV135" s="82"/>
      <c r="BW135" s="82">
        <f t="shared" si="847"/>
        <v>2</v>
      </c>
      <c r="BX135" s="82">
        <f t="shared" si="848"/>
        <v>221980</v>
      </c>
      <c r="BY135" s="82">
        <f t="shared" si="474"/>
        <v>0</v>
      </c>
      <c r="BZ135" s="82">
        <f t="shared" si="849"/>
        <v>0</v>
      </c>
      <c r="CA135" s="82"/>
      <c r="CB135" s="82"/>
      <c r="CC135" s="82">
        <f t="shared" si="850"/>
        <v>0</v>
      </c>
      <c r="CD135" s="82">
        <f t="shared" si="851"/>
        <v>0</v>
      </c>
      <c r="CE135" s="82"/>
      <c r="CF135" s="82"/>
      <c r="CG135" s="82"/>
      <c r="CH135" s="82"/>
      <c r="CI135" s="82">
        <f t="shared" si="852"/>
        <v>0</v>
      </c>
      <c r="CJ135" s="82">
        <f t="shared" si="853"/>
        <v>0</v>
      </c>
      <c r="CK135" s="82">
        <f t="shared" si="480"/>
        <v>0</v>
      </c>
      <c r="CL135" s="82">
        <f t="shared" si="854"/>
        <v>0</v>
      </c>
      <c r="CM135" s="82"/>
      <c r="CN135" s="82"/>
      <c r="CO135" s="82">
        <f t="shared" si="35"/>
        <v>0</v>
      </c>
      <c r="CP135" s="82">
        <f t="shared" si="36"/>
        <v>0</v>
      </c>
      <c r="CQ135" s="82"/>
      <c r="CR135" s="82"/>
      <c r="CS135" s="82"/>
      <c r="CT135" s="82"/>
      <c r="CU135" s="82">
        <f t="shared" si="855"/>
        <v>0</v>
      </c>
      <c r="CV135" s="82">
        <f t="shared" si="856"/>
        <v>0</v>
      </c>
      <c r="CW135" s="82">
        <f t="shared" si="39"/>
        <v>0</v>
      </c>
      <c r="CX135" s="82">
        <f t="shared" si="857"/>
        <v>0</v>
      </c>
      <c r="CY135" s="82">
        <f t="shared" si="41"/>
        <v>0</v>
      </c>
      <c r="CZ135" s="82">
        <f t="shared" si="345"/>
        <v>2</v>
      </c>
      <c r="DA135" s="82">
        <f t="shared" si="43"/>
        <v>0</v>
      </c>
      <c r="DB135" s="82">
        <f t="shared" si="44"/>
        <v>0</v>
      </c>
      <c r="DC135" s="84">
        <v>3.0</v>
      </c>
      <c r="DD135" s="82"/>
      <c r="DE135" s="82"/>
      <c r="DF135" s="82">
        <f t="shared" si="858"/>
        <v>0</v>
      </c>
      <c r="DG135" s="82">
        <f t="shared" si="859"/>
        <v>0</v>
      </c>
      <c r="DH135" s="82"/>
      <c r="DI135" s="82"/>
      <c r="DJ135" s="82"/>
      <c r="DK135" s="82"/>
      <c r="DL135" s="82">
        <f t="shared" si="860"/>
        <v>0</v>
      </c>
      <c r="DM135" s="82">
        <f t="shared" si="861"/>
        <v>0</v>
      </c>
      <c r="DN135" s="82">
        <f t="shared" si="862"/>
        <v>0</v>
      </c>
      <c r="DO135" s="82">
        <f t="shared" si="863"/>
        <v>0</v>
      </c>
      <c r="DP135" s="82"/>
      <c r="DQ135" s="82"/>
      <c r="DR135" s="82">
        <f t="shared" si="864"/>
        <v>0</v>
      </c>
      <c r="DS135" s="82">
        <f t="shared" si="865"/>
        <v>0</v>
      </c>
      <c r="DT135" s="82"/>
      <c r="DU135" s="82"/>
      <c r="DV135" s="82"/>
      <c r="DW135" s="82"/>
      <c r="DX135" s="82">
        <f t="shared" si="866"/>
        <v>0</v>
      </c>
      <c r="DY135" s="82">
        <f t="shared" si="867"/>
        <v>0</v>
      </c>
      <c r="DZ135" s="82">
        <f t="shared" si="868"/>
        <v>0</v>
      </c>
      <c r="EA135" s="82">
        <f t="shared" si="869"/>
        <v>0</v>
      </c>
      <c r="EB135" s="82"/>
      <c r="EC135" s="82"/>
      <c r="ED135" s="82">
        <f t="shared" si="870"/>
        <v>0</v>
      </c>
      <c r="EE135" s="82">
        <f t="shared" si="871"/>
        <v>0</v>
      </c>
      <c r="EF135" s="82"/>
      <c r="EG135" s="82"/>
      <c r="EH135" s="82"/>
      <c r="EI135" s="82"/>
      <c r="EJ135" s="82">
        <f t="shared" si="872"/>
        <v>0</v>
      </c>
      <c r="EK135" s="82">
        <f t="shared" si="873"/>
        <v>0</v>
      </c>
      <c r="EL135" s="82">
        <f t="shared" si="874"/>
        <v>0</v>
      </c>
      <c r="EM135" s="82">
        <f t="shared" si="875"/>
        <v>0</v>
      </c>
      <c r="EN135" s="82">
        <f t="shared" si="876"/>
        <v>0</v>
      </c>
      <c r="EO135" s="82">
        <f t="shared" si="877"/>
        <v>0</v>
      </c>
      <c r="EP135" s="82">
        <f t="shared" si="878"/>
        <v>0</v>
      </c>
      <c r="EQ135" s="82">
        <f t="shared" si="879"/>
        <v>0</v>
      </c>
      <c r="ER135" s="82"/>
      <c r="ES135" s="82"/>
      <c r="ET135" s="82">
        <f t="shared" si="880"/>
        <v>0</v>
      </c>
      <c r="EU135" s="82">
        <f t="shared" si="881"/>
        <v>0</v>
      </c>
      <c r="EV135" s="82"/>
      <c r="EW135" s="82"/>
      <c r="EX135" s="82"/>
      <c r="EY135" s="82"/>
      <c r="EZ135" s="82">
        <f t="shared" si="882"/>
        <v>0</v>
      </c>
      <c r="FA135" s="82">
        <f t="shared" si="883"/>
        <v>0</v>
      </c>
      <c r="FB135" s="82">
        <f t="shared" si="884"/>
        <v>0</v>
      </c>
      <c r="FC135" s="82">
        <f t="shared" si="885"/>
        <v>0</v>
      </c>
      <c r="FD135" s="82"/>
      <c r="FE135" s="82"/>
      <c r="FF135" s="82">
        <f t="shared" si="886"/>
        <v>0</v>
      </c>
      <c r="FG135" s="82">
        <f t="shared" si="887"/>
        <v>0</v>
      </c>
      <c r="FH135" s="82"/>
      <c r="FI135" s="82"/>
      <c r="FJ135" s="82"/>
      <c r="FK135" s="82"/>
      <c r="FL135" s="82">
        <f t="shared" si="888"/>
        <v>0</v>
      </c>
      <c r="FM135" s="82">
        <f t="shared" si="889"/>
        <v>0</v>
      </c>
      <c r="FN135" s="82">
        <f t="shared" si="890"/>
        <v>0</v>
      </c>
      <c r="FO135" s="82">
        <f t="shared" si="891"/>
        <v>0</v>
      </c>
      <c r="FP135" s="82"/>
      <c r="FQ135" s="82"/>
      <c r="FR135" s="82">
        <f t="shared" si="892"/>
        <v>0</v>
      </c>
      <c r="FS135" s="82">
        <f t="shared" si="893"/>
        <v>0</v>
      </c>
      <c r="FT135" s="82"/>
      <c r="FU135" s="82"/>
      <c r="FV135" s="82"/>
      <c r="FW135" s="82"/>
      <c r="FX135" s="82">
        <f t="shared" si="894"/>
        <v>0</v>
      </c>
      <c r="FY135" s="82">
        <f t="shared" si="895"/>
        <v>0</v>
      </c>
      <c r="FZ135" s="82">
        <f t="shared" si="896"/>
        <v>0</v>
      </c>
      <c r="GA135" s="82">
        <f t="shared" si="897"/>
        <v>0</v>
      </c>
      <c r="GB135" s="82">
        <f t="shared" si="898"/>
        <v>0</v>
      </c>
      <c r="GC135" s="82">
        <f t="shared" si="899"/>
        <v>0</v>
      </c>
      <c r="GD135" s="82">
        <f t="shared" si="900"/>
        <v>0</v>
      </c>
      <c r="GE135" s="82">
        <f t="shared" si="901"/>
        <v>0</v>
      </c>
      <c r="GF135" s="85"/>
    </row>
    <row r="136" ht="29.25" customHeight="1">
      <c r="A136" s="50"/>
      <c r="B136" s="50"/>
      <c r="C136" s="50"/>
      <c r="D136" s="78" t="s">
        <v>118</v>
      </c>
      <c r="E136" s="86">
        <v>81081.0</v>
      </c>
      <c r="F136" s="80" t="s">
        <v>86</v>
      </c>
      <c r="G136" s="81">
        <v>5.0</v>
      </c>
      <c r="H136" s="82">
        <v>405405.0</v>
      </c>
      <c r="I136" s="82"/>
      <c r="J136" s="82"/>
      <c r="K136" s="82">
        <f t="shared" si="827"/>
        <v>0</v>
      </c>
      <c r="L136" s="82">
        <f t="shared" si="828"/>
        <v>0</v>
      </c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>
        <f t="shared" si="829"/>
        <v>0</v>
      </c>
      <c r="AC136" s="82">
        <f t="shared" si="830"/>
        <v>0</v>
      </c>
      <c r="AD136" s="82">
        <f t="shared" si="452"/>
        <v>5</v>
      </c>
      <c r="AE136" s="82">
        <f t="shared" si="831"/>
        <v>405405</v>
      </c>
      <c r="AF136" s="82"/>
      <c r="AG136" s="82"/>
      <c r="AH136" s="82">
        <f t="shared" si="832"/>
        <v>0</v>
      </c>
      <c r="AI136" s="82">
        <f t="shared" si="833"/>
        <v>0</v>
      </c>
      <c r="AJ136" s="82"/>
      <c r="AK136" s="82"/>
      <c r="AL136" s="82"/>
      <c r="AM136" s="82"/>
      <c r="AN136" s="82">
        <f t="shared" si="834"/>
        <v>0</v>
      </c>
      <c r="AO136" s="82">
        <f t="shared" si="835"/>
        <v>0</v>
      </c>
      <c r="AP136" s="82">
        <f t="shared" si="458"/>
        <v>5</v>
      </c>
      <c r="AQ136" s="82">
        <f t="shared" si="836"/>
        <v>405405</v>
      </c>
      <c r="AR136" s="82"/>
      <c r="AS136" s="82"/>
      <c r="AT136" s="82"/>
      <c r="AU136" s="82">
        <f t="shared" si="837"/>
        <v>0</v>
      </c>
      <c r="AV136" s="82">
        <f t="shared" si="838"/>
        <v>0</v>
      </c>
      <c r="AW136" s="82"/>
      <c r="AX136" s="82"/>
      <c r="AY136" s="82"/>
      <c r="AZ136" s="82"/>
      <c r="BA136" s="82">
        <f t="shared" si="839"/>
        <v>0</v>
      </c>
      <c r="BB136" s="82">
        <f t="shared" si="840"/>
        <v>0</v>
      </c>
      <c r="BC136" s="82">
        <f t="shared" si="464"/>
        <v>5</v>
      </c>
      <c r="BD136" s="82">
        <f t="shared" si="841"/>
        <v>405405</v>
      </c>
      <c r="BE136" s="82">
        <f t="shared" si="842"/>
        <v>0</v>
      </c>
      <c r="BF136" s="82">
        <f t="shared" si="843"/>
        <v>0</v>
      </c>
      <c r="BG136" s="82">
        <f t="shared" si="468"/>
        <v>5</v>
      </c>
      <c r="BH136" s="82">
        <f t="shared" si="844"/>
        <v>405405</v>
      </c>
      <c r="BI136" s="82"/>
      <c r="BJ136" s="83"/>
      <c r="BK136" s="82">
        <f t="shared" si="845"/>
        <v>0</v>
      </c>
      <c r="BL136" s="82">
        <f t="shared" si="846"/>
        <v>0</v>
      </c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>
        <f t="shared" si="847"/>
        <v>0</v>
      </c>
      <c r="BX136" s="82">
        <f t="shared" si="848"/>
        <v>0</v>
      </c>
      <c r="BY136" s="82">
        <f t="shared" si="474"/>
        <v>5</v>
      </c>
      <c r="BZ136" s="82">
        <f t="shared" si="849"/>
        <v>405405</v>
      </c>
      <c r="CA136" s="82"/>
      <c r="CB136" s="82"/>
      <c r="CC136" s="82">
        <f t="shared" si="850"/>
        <v>0</v>
      </c>
      <c r="CD136" s="82">
        <f t="shared" si="851"/>
        <v>0</v>
      </c>
      <c r="CE136" s="82"/>
      <c r="CF136" s="82"/>
      <c r="CG136" s="82"/>
      <c r="CH136" s="82"/>
      <c r="CI136" s="82">
        <f t="shared" si="852"/>
        <v>0</v>
      </c>
      <c r="CJ136" s="82">
        <f t="shared" si="853"/>
        <v>0</v>
      </c>
      <c r="CK136" s="82">
        <f t="shared" si="480"/>
        <v>5</v>
      </c>
      <c r="CL136" s="82">
        <f t="shared" si="854"/>
        <v>405405</v>
      </c>
      <c r="CM136" s="82"/>
      <c r="CN136" s="82"/>
      <c r="CO136" s="82">
        <f t="shared" si="35"/>
        <v>0</v>
      </c>
      <c r="CP136" s="82">
        <f t="shared" si="36"/>
        <v>0</v>
      </c>
      <c r="CQ136" s="82"/>
      <c r="CR136" s="82"/>
      <c r="CS136" s="82"/>
      <c r="CT136" s="82"/>
      <c r="CU136" s="82">
        <f t="shared" si="855"/>
        <v>0</v>
      </c>
      <c r="CV136" s="82">
        <f t="shared" si="856"/>
        <v>0</v>
      </c>
      <c r="CW136" s="82">
        <f t="shared" si="39"/>
        <v>5</v>
      </c>
      <c r="CX136" s="82">
        <f t="shared" si="857"/>
        <v>405405</v>
      </c>
      <c r="CY136" s="82">
        <f t="shared" si="41"/>
        <v>0</v>
      </c>
      <c r="CZ136" s="82">
        <f t="shared" si="345"/>
        <v>0</v>
      </c>
      <c r="DA136" s="82">
        <f t="shared" si="43"/>
        <v>5</v>
      </c>
      <c r="DB136" s="82">
        <f t="shared" si="44"/>
        <v>405405</v>
      </c>
      <c r="DC136" s="91"/>
      <c r="DD136" s="82"/>
      <c r="DE136" s="82"/>
      <c r="DF136" s="82">
        <f t="shared" si="858"/>
        <v>0</v>
      </c>
      <c r="DG136" s="82">
        <f t="shared" si="859"/>
        <v>0</v>
      </c>
      <c r="DH136" s="82"/>
      <c r="DI136" s="82"/>
      <c r="DJ136" s="82"/>
      <c r="DK136" s="82"/>
      <c r="DL136" s="82">
        <f t="shared" si="860"/>
        <v>0</v>
      </c>
      <c r="DM136" s="82">
        <f t="shared" si="861"/>
        <v>0</v>
      </c>
      <c r="DN136" s="82">
        <f t="shared" si="862"/>
        <v>5</v>
      </c>
      <c r="DO136" s="82">
        <f t="shared" si="863"/>
        <v>405405</v>
      </c>
      <c r="DP136" s="82"/>
      <c r="DQ136" s="82"/>
      <c r="DR136" s="82">
        <f t="shared" si="864"/>
        <v>0</v>
      </c>
      <c r="DS136" s="82">
        <f t="shared" si="865"/>
        <v>0</v>
      </c>
      <c r="DT136" s="82"/>
      <c r="DU136" s="82"/>
      <c r="DV136" s="82"/>
      <c r="DW136" s="82"/>
      <c r="DX136" s="82">
        <f t="shared" si="866"/>
        <v>0</v>
      </c>
      <c r="DY136" s="82">
        <f t="shared" si="867"/>
        <v>0</v>
      </c>
      <c r="DZ136" s="82">
        <f t="shared" si="868"/>
        <v>5</v>
      </c>
      <c r="EA136" s="82">
        <f t="shared" si="869"/>
        <v>405405</v>
      </c>
      <c r="EB136" s="82"/>
      <c r="EC136" s="82"/>
      <c r="ED136" s="82">
        <f t="shared" si="870"/>
        <v>0</v>
      </c>
      <c r="EE136" s="82">
        <f t="shared" si="871"/>
        <v>0</v>
      </c>
      <c r="EF136" s="82"/>
      <c r="EG136" s="82"/>
      <c r="EH136" s="82"/>
      <c r="EI136" s="82"/>
      <c r="EJ136" s="82">
        <f t="shared" si="872"/>
        <v>0</v>
      </c>
      <c r="EK136" s="82">
        <f t="shared" si="873"/>
        <v>0</v>
      </c>
      <c r="EL136" s="82">
        <f t="shared" si="874"/>
        <v>5</v>
      </c>
      <c r="EM136" s="82">
        <f t="shared" si="875"/>
        <v>405405</v>
      </c>
      <c r="EN136" s="82">
        <f t="shared" si="876"/>
        <v>0</v>
      </c>
      <c r="EO136" s="82">
        <f t="shared" si="877"/>
        <v>0</v>
      </c>
      <c r="EP136" s="82">
        <f t="shared" si="878"/>
        <v>5</v>
      </c>
      <c r="EQ136" s="82">
        <f t="shared" si="879"/>
        <v>405405</v>
      </c>
      <c r="ER136" s="82"/>
      <c r="ES136" s="82"/>
      <c r="ET136" s="82">
        <f t="shared" si="880"/>
        <v>0</v>
      </c>
      <c r="EU136" s="82">
        <f t="shared" si="881"/>
        <v>0</v>
      </c>
      <c r="EV136" s="82"/>
      <c r="EW136" s="82"/>
      <c r="EX136" s="82"/>
      <c r="EY136" s="82"/>
      <c r="EZ136" s="82">
        <f t="shared" si="882"/>
        <v>0</v>
      </c>
      <c r="FA136" s="82">
        <f t="shared" si="883"/>
        <v>0</v>
      </c>
      <c r="FB136" s="82">
        <f t="shared" si="884"/>
        <v>5</v>
      </c>
      <c r="FC136" s="82">
        <f t="shared" si="885"/>
        <v>405405</v>
      </c>
      <c r="FD136" s="82"/>
      <c r="FE136" s="82"/>
      <c r="FF136" s="82">
        <f t="shared" si="886"/>
        <v>0</v>
      </c>
      <c r="FG136" s="82">
        <f t="shared" si="887"/>
        <v>0</v>
      </c>
      <c r="FH136" s="82"/>
      <c r="FI136" s="82"/>
      <c r="FJ136" s="82"/>
      <c r="FK136" s="82"/>
      <c r="FL136" s="82">
        <f t="shared" si="888"/>
        <v>0</v>
      </c>
      <c r="FM136" s="82">
        <f t="shared" si="889"/>
        <v>0</v>
      </c>
      <c r="FN136" s="82">
        <f t="shared" si="890"/>
        <v>5</v>
      </c>
      <c r="FO136" s="82">
        <f t="shared" si="891"/>
        <v>405405</v>
      </c>
      <c r="FP136" s="82"/>
      <c r="FQ136" s="82"/>
      <c r="FR136" s="82">
        <f t="shared" si="892"/>
        <v>0</v>
      </c>
      <c r="FS136" s="82">
        <f t="shared" si="893"/>
        <v>0</v>
      </c>
      <c r="FT136" s="82"/>
      <c r="FU136" s="82"/>
      <c r="FV136" s="82"/>
      <c r="FW136" s="82"/>
      <c r="FX136" s="82">
        <f t="shared" si="894"/>
        <v>0</v>
      </c>
      <c r="FY136" s="82">
        <f t="shared" si="895"/>
        <v>0</v>
      </c>
      <c r="FZ136" s="82">
        <f t="shared" si="896"/>
        <v>5</v>
      </c>
      <c r="GA136" s="82">
        <f t="shared" si="897"/>
        <v>405405</v>
      </c>
      <c r="GB136" s="82">
        <f t="shared" si="898"/>
        <v>0</v>
      </c>
      <c r="GC136" s="82">
        <f t="shared" si="899"/>
        <v>0</v>
      </c>
      <c r="GD136" s="82">
        <f t="shared" si="900"/>
        <v>5</v>
      </c>
      <c r="GE136" s="82">
        <f t="shared" si="901"/>
        <v>405405</v>
      </c>
      <c r="GF136" s="85"/>
    </row>
    <row r="137" ht="29.25" customHeight="1">
      <c r="A137" s="76">
        <v>76.0</v>
      </c>
      <c r="B137" s="87"/>
      <c r="C137" s="88" t="s">
        <v>200</v>
      </c>
      <c r="D137" s="78" t="s">
        <v>118</v>
      </c>
      <c r="E137" s="86">
        <v>110990.0</v>
      </c>
      <c r="F137" s="80" t="s">
        <v>85</v>
      </c>
      <c r="G137" s="81">
        <v>2.0</v>
      </c>
      <c r="H137" s="82">
        <v>221980.0</v>
      </c>
      <c r="I137" s="82"/>
      <c r="J137" s="82"/>
      <c r="K137" s="82">
        <f t="shared" si="827"/>
        <v>0</v>
      </c>
      <c r="L137" s="82">
        <f t="shared" si="828"/>
        <v>0</v>
      </c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>
        <f t="shared" si="829"/>
        <v>0</v>
      </c>
      <c r="AC137" s="82">
        <f t="shared" si="830"/>
        <v>0</v>
      </c>
      <c r="AD137" s="82">
        <f t="shared" si="452"/>
        <v>2</v>
      </c>
      <c r="AE137" s="82">
        <f t="shared" si="831"/>
        <v>221980</v>
      </c>
      <c r="AF137" s="82"/>
      <c r="AG137" s="82"/>
      <c r="AH137" s="82">
        <f t="shared" si="832"/>
        <v>0</v>
      </c>
      <c r="AI137" s="82">
        <f t="shared" si="833"/>
        <v>0</v>
      </c>
      <c r="AJ137" s="82"/>
      <c r="AK137" s="82"/>
      <c r="AL137" s="82"/>
      <c r="AM137" s="82"/>
      <c r="AN137" s="82">
        <f t="shared" si="834"/>
        <v>0</v>
      </c>
      <c r="AO137" s="82">
        <f t="shared" si="835"/>
        <v>0</v>
      </c>
      <c r="AP137" s="82">
        <f t="shared" si="458"/>
        <v>2</v>
      </c>
      <c r="AQ137" s="82">
        <f t="shared" si="836"/>
        <v>221980</v>
      </c>
      <c r="AR137" s="82"/>
      <c r="AS137" s="82"/>
      <c r="AT137" s="82"/>
      <c r="AU137" s="82">
        <f t="shared" si="837"/>
        <v>0</v>
      </c>
      <c r="AV137" s="82">
        <f t="shared" si="838"/>
        <v>0</v>
      </c>
      <c r="AW137" s="82"/>
      <c r="AX137" s="82"/>
      <c r="AY137" s="82"/>
      <c r="AZ137" s="82"/>
      <c r="BA137" s="82">
        <f t="shared" si="839"/>
        <v>0</v>
      </c>
      <c r="BB137" s="82">
        <f t="shared" si="840"/>
        <v>0</v>
      </c>
      <c r="BC137" s="82">
        <f t="shared" si="464"/>
        <v>2</v>
      </c>
      <c r="BD137" s="82">
        <f t="shared" si="841"/>
        <v>221980</v>
      </c>
      <c r="BE137" s="82">
        <f t="shared" si="842"/>
        <v>0</v>
      </c>
      <c r="BF137" s="82">
        <f t="shared" si="843"/>
        <v>0</v>
      </c>
      <c r="BG137" s="82">
        <f t="shared" si="468"/>
        <v>2</v>
      </c>
      <c r="BH137" s="82">
        <f t="shared" si="844"/>
        <v>221980</v>
      </c>
      <c r="BI137" s="82"/>
      <c r="BJ137" s="83"/>
      <c r="BK137" s="82">
        <f t="shared" si="845"/>
        <v>0</v>
      </c>
      <c r="BL137" s="82">
        <f t="shared" si="846"/>
        <v>0</v>
      </c>
      <c r="BM137" s="82"/>
      <c r="BN137" s="82"/>
      <c r="BO137" s="82"/>
      <c r="BP137" s="83">
        <v>1.0</v>
      </c>
      <c r="BQ137" s="82"/>
      <c r="BR137" s="82"/>
      <c r="BS137" s="83">
        <v>1.0</v>
      </c>
      <c r="BT137" s="82"/>
      <c r="BU137" s="82"/>
      <c r="BV137" s="82"/>
      <c r="BW137" s="82">
        <f t="shared" si="847"/>
        <v>2</v>
      </c>
      <c r="BX137" s="82">
        <f t="shared" si="848"/>
        <v>221980</v>
      </c>
      <c r="BY137" s="82">
        <f t="shared" si="474"/>
        <v>0</v>
      </c>
      <c r="BZ137" s="82">
        <f t="shared" si="849"/>
        <v>0</v>
      </c>
      <c r="CA137" s="82"/>
      <c r="CB137" s="82"/>
      <c r="CC137" s="82">
        <f t="shared" si="850"/>
        <v>0</v>
      </c>
      <c r="CD137" s="82">
        <f t="shared" si="851"/>
        <v>0</v>
      </c>
      <c r="CE137" s="82"/>
      <c r="CF137" s="82"/>
      <c r="CG137" s="82"/>
      <c r="CH137" s="82"/>
      <c r="CI137" s="82">
        <f t="shared" si="852"/>
        <v>0</v>
      </c>
      <c r="CJ137" s="82">
        <f t="shared" si="853"/>
        <v>0</v>
      </c>
      <c r="CK137" s="82">
        <f t="shared" si="480"/>
        <v>0</v>
      </c>
      <c r="CL137" s="82">
        <f t="shared" si="854"/>
        <v>0</v>
      </c>
      <c r="CM137" s="82"/>
      <c r="CN137" s="82"/>
      <c r="CO137" s="82">
        <f t="shared" si="35"/>
        <v>0</v>
      </c>
      <c r="CP137" s="82">
        <f t="shared" si="36"/>
        <v>0</v>
      </c>
      <c r="CQ137" s="82"/>
      <c r="CR137" s="82"/>
      <c r="CS137" s="82"/>
      <c r="CT137" s="82"/>
      <c r="CU137" s="82">
        <f t="shared" si="855"/>
        <v>0</v>
      </c>
      <c r="CV137" s="82">
        <f t="shared" si="856"/>
        <v>0</v>
      </c>
      <c r="CW137" s="82">
        <f t="shared" si="39"/>
        <v>0</v>
      </c>
      <c r="CX137" s="82">
        <f t="shared" si="857"/>
        <v>0</v>
      </c>
      <c r="CY137" s="82">
        <f t="shared" si="41"/>
        <v>0</v>
      </c>
      <c r="CZ137" s="82">
        <f t="shared" si="345"/>
        <v>2</v>
      </c>
      <c r="DA137" s="82">
        <f t="shared" si="43"/>
        <v>0</v>
      </c>
      <c r="DB137" s="82">
        <f t="shared" si="44"/>
        <v>0</v>
      </c>
      <c r="DC137" s="84">
        <v>3.0</v>
      </c>
      <c r="DD137" s="82"/>
      <c r="DE137" s="82"/>
      <c r="DF137" s="82">
        <f t="shared" si="858"/>
        <v>0</v>
      </c>
      <c r="DG137" s="82">
        <f t="shared" si="859"/>
        <v>0</v>
      </c>
      <c r="DH137" s="82"/>
      <c r="DI137" s="82"/>
      <c r="DJ137" s="82"/>
      <c r="DK137" s="82"/>
      <c r="DL137" s="82">
        <f t="shared" si="860"/>
        <v>0</v>
      </c>
      <c r="DM137" s="82">
        <f t="shared" si="861"/>
        <v>0</v>
      </c>
      <c r="DN137" s="82">
        <f t="shared" si="862"/>
        <v>0</v>
      </c>
      <c r="DO137" s="82">
        <f t="shared" si="863"/>
        <v>0</v>
      </c>
      <c r="DP137" s="82"/>
      <c r="DQ137" s="82"/>
      <c r="DR137" s="82">
        <f t="shared" si="864"/>
        <v>0</v>
      </c>
      <c r="DS137" s="82">
        <f t="shared" si="865"/>
        <v>0</v>
      </c>
      <c r="DT137" s="82"/>
      <c r="DU137" s="82"/>
      <c r="DV137" s="82"/>
      <c r="DW137" s="82"/>
      <c r="DX137" s="82">
        <f t="shared" si="866"/>
        <v>0</v>
      </c>
      <c r="DY137" s="82">
        <f t="shared" si="867"/>
        <v>0</v>
      </c>
      <c r="DZ137" s="82">
        <f t="shared" si="868"/>
        <v>0</v>
      </c>
      <c r="EA137" s="82">
        <f t="shared" si="869"/>
        <v>0</v>
      </c>
      <c r="EB137" s="82"/>
      <c r="EC137" s="82"/>
      <c r="ED137" s="82">
        <f t="shared" si="870"/>
        <v>0</v>
      </c>
      <c r="EE137" s="82">
        <f t="shared" si="871"/>
        <v>0</v>
      </c>
      <c r="EF137" s="82"/>
      <c r="EG137" s="82"/>
      <c r="EH137" s="82"/>
      <c r="EI137" s="82"/>
      <c r="EJ137" s="82">
        <f t="shared" si="872"/>
        <v>0</v>
      </c>
      <c r="EK137" s="82">
        <f t="shared" si="873"/>
        <v>0</v>
      </c>
      <c r="EL137" s="82">
        <f t="shared" si="874"/>
        <v>0</v>
      </c>
      <c r="EM137" s="82">
        <f t="shared" si="875"/>
        <v>0</v>
      </c>
      <c r="EN137" s="82">
        <f t="shared" si="876"/>
        <v>0</v>
      </c>
      <c r="EO137" s="82">
        <f t="shared" si="877"/>
        <v>0</v>
      </c>
      <c r="EP137" s="82">
        <f t="shared" si="878"/>
        <v>0</v>
      </c>
      <c r="EQ137" s="82">
        <f t="shared" si="879"/>
        <v>0</v>
      </c>
      <c r="ER137" s="82"/>
      <c r="ES137" s="82"/>
      <c r="ET137" s="82">
        <f t="shared" si="880"/>
        <v>0</v>
      </c>
      <c r="EU137" s="82">
        <f t="shared" si="881"/>
        <v>0</v>
      </c>
      <c r="EV137" s="82"/>
      <c r="EW137" s="82"/>
      <c r="EX137" s="82"/>
      <c r="EY137" s="82"/>
      <c r="EZ137" s="82">
        <f t="shared" si="882"/>
        <v>0</v>
      </c>
      <c r="FA137" s="82">
        <f t="shared" si="883"/>
        <v>0</v>
      </c>
      <c r="FB137" s="82">
        <f t="shared" si="884"/>
        <v>0</v>
      </c>
      <c r="FC137" s="82">
        <f t="shared" si="885"/>
        <v>0</v>
      </c>
      <c r="FD137" s="82"/>
      <c r="FE137" s="82"/>
      <c r="FF137" s="82">
        <f t="shared" si="886"/>
        <v>0</v>
      </c>
      <c r="FG137" s="82">
        <f t="shared" si="887"/>
        <v>0</v>
      </c>
      <c r="FH137" s="82"/>
      <c r="FI137" s="82"/>
      <c r="FJ137" s="82"/>
      <c r="FK137" s="82"/>
      <c r="FL137" s="82">
        <f t="shared" si="888"/>
        <v>0</v>
      </c>
      <c r="FM137" s="82">
        <f t="shared" si="889"/>
        <v>0</v>
      </c>
      <c r="FN137" s="82">
        <f t="shared" si="890"/>
        <v>0</v>
      </c>
      <c r="FO137" s="82">
        <f t="shared" si="891"/>
        <v>0</v>
      </c>
      <c r="FP137" s="82"/>
      <c r="FQ137" s="82"/>
      <c r="FR137" s="82">
        <f t="shared" si="892"/>
        <v>0</v>
      </c>
      <c r="FS137" s="82">
        <f t="shared" si="893"/>
        <v>0</v>
      </c>
      <c r="FT137" s="82"/>
      <c r="FU137" s="82"/>
      <c r="FV137" s="82"/>
      <c r="FW137" s="82"/>
      <c r="FX137" s="82">
        <f t="shared" si="894"/>
        <v>0</v>
      </c>
      <c r="FY137" s="82">
        <f t="shared" si="895"/>
        <v>0</v>
      </c>
      <c r="FZ137" s="82">
        <f t="shared" si="896"/>
        <v>0</v>
      </c>
      <c r="GA137" s="82">
        <f t="shared" si="897"/>
        <v>0</v>
      </c>
      <c r="GB137" s="82">
        <f t="shared" si="898"/>
        <v>0</v>
      </c>
      <c r="GC137" s="82">
        <f t="shared" si="899"/>
        <v>0</v>
      </c>
      <c r="GD137" s="82">
        <f t="shared" si="900"/>
        <v>0</v>
      </c>
      <c r="GE137" s="82">
        <f t="shared" si="901"/>
        <v>0</v>
      </c>
      <c r="GF137" s="85"/>
    </row>
    <row r="138" ht="29.25" customHeight="1">
      <c r="A138" s="50"/>
      <c r="B138" s="50"/>
      <c r="C138" s="50"/>
      <c r="D138" s="78" t="s">
        <v>118</v>
      </c>
      <c r="E138" s="86">
        <v>81081.0</v>
      </c>
      <c r="F138" s="80" t="s">
        <v>86</v>
      </c>
      <c r="G138" s="81">
        <v>5.0</v>
      </c>
      <c r="H138" s="82">
        <v>405405.0</v>
      </c>
      <c r="I138" s="82"/>
      <c r="J138" s="82"/>
      <c r="K138" s="82">
        <f t="shared" si="827"/>
        <v>0</v>
      </c>
      <c r="L138" s="82">
        <f t="shared" si="828"/>
        <v>0</v>
      </c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>
        <f t="shared" si="829"/>
        <v>0</v>
      </c>
      <c r="AC138" s="82">
        <f t="shared" si="830"/>
        <v>0</v>
      </c>
      <c r="AD138" s="82">
        <f t="shared" si="452"/>
        <v>5</v>
      </c>
      <c r="AE138" s="82">
        <f t="shared" si="831"/>
        <v>405405</v>
      </c>
      <c r="AF138" s="82"/>
      <c r="AG138" s="82"/>
      <c r="AH138" s="82">
        <f t="shared" si="832"/>
        <v>0</v>
      </c>
      <c r="AI138" s="82">
        <f t="shared" si="833"/>
        <v>0</v>
      </c>
      <c r="AJ138" s="82"/>
      <c r="AK138" s="82"/>
      <c r="AL138" s="82"/>
      <c r="AM138" s="82"/>
      <c r="AN138" s="82">
        <f t="shared" si="834"/>
        <v>0</v>
      </c>
      <c r="AO138" s="82">
        <f t="shared" si="835"/>
        <v>0</v>
      </c>
      <c r="AP138" s="82">
        <f t="shared" si="458"/>
        <v>5</v>
      </c>
      <c r="AQ138" s="82">
        <f t="shared" si="836"/>
        <v>405405</v>
      </c>
      <c r="AR138" s="82"/>
      <c r="AS138" s="82"/>
      <c r="AT138" s="82"/>
      <c r="AU138" s="82">
        <f t="shared" si="837"/>
        <v>0</v>
      </c>
      <c r="AV138" s="82">
        <f t="shared" si="838"/>
        <v>0</v>
      </c>
      <c r="AW138" s="82"/>
      <c r="AX138" s="82"/>
      <c r="AY138" s="82"/>
      <c r="AZ138" s="82"/>
      <c r="BA138" s="82">
        <f t="shared" si="839"/>
        <v>0</v>
      </c>
      <c r="BB138" s="82">
        <f t="shared" si="840"/>
        <v>0</v>
      </c>
      <c r="BC138" s="82">
        <f t="shared" si="464"/>
        <v>5</v>
      </c>
      <c r="BD138" s="82">
        <f t="shared" si="841"/>
        <v>405405</v>
      </c>
      <c r="BE138" s="82">
        <f t="shared" si="842"/>
        <v>0</v>
      </c>
      <c r="BF138" s="82">
        <f t="shared" si="843"/>
        <v>0</v>
      </c>
      <c r="BG138" s="82">
        <f t="shared" si="468"/>
        <v>5</v>
      </c>
      <c r="BH138" s="82">
        <f t="shared" si="844"/>
        <v>405405</v>
      </c>
      <c r="BI138" s="82"/>
      <c r="BJ138" s="83"/>
      <c r="BK138" s="82">
        <f t="shared" si="845"/>
        <v>0</v>
      </c>
      <c r="BL138" s="82">
        <f t="shared" si="846"/>
        <v>0</v>
      </c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>
        <f t="shared" si="847"/>
        <v>0</v>
      </c>
      <c r="BX138" s="82">
        <f t="shared" si="848"/>
        <v>0</v>
      </c>
      <c r="BY138" s="82">
        <f t="shared" si="474"/>
        <v>5</v>
      </c>
      <c r="BZ138" s="82">
        <f t="shared" si="849"/>
        <v>405405</v>
      </c>
      <c r="CA138" s="82"/>
      <c r="CB138" s="82"/>
      <c r="CC138" s="82">
        <f t="shared" si="850"/>
        <v>0</v>
      </c>
      <c r="CD138" s="82">
        <f t="shared" si="851"/>
        <v>0</v>
      </c>
      <c r="CE138" s="82"/>
      <c r="CF138" s="82"/>
      <c r="CG138" s="82"/>
      <c r="CH138" s="82"/>
      <c r="CI138" s="82">
        <f t="shared" si="852"/>
        <v>0</v>
      </c>
      <c r="CJ138" s="82">
        <f t="shared" si="853"/>
        <v>0</v>
      </c>
      <c r="CK138" s="82">
        <f t="shared" si="480"/>
        <v>5</v>
      </c>
      <c r="CL138" s="82">
        <f t="shared" si="854"/>
        <v>405405</v>
      </c>
      <c r="CM138" s="82"/>
      <c r="CN138" s="82"/>
      <c r="CO138" s="82">
        <f t="shared" si="35"/>
        <v>0</v>
      </c>
      <c r="CP138" s="82">
        <f t="shared" si="36"/>
        <v>0</v>
      </c>
      <c r="CQ138" s="82"/>
      <c r="CR138" s="82"/>
      <c r="CS138" s="82"/>
      <c r="CT138" s="82"/>
      <c r="CU138" s="82">
        <f t="shared" si="855"/>
        <v>0</v>
      </c>
      <c r="CV138" s="82">
        <f t="shared" si="856"/>
        <v>0</v>
      </c>
      <c r="CW138" s="82">
        <f t="shared" si="39"/>
        <v>5</v>
      </c>
      <c r="CX138" s="82">
        <f t="shared" si="857"/>
        <v>405405</v>
      </c>
      <c r="CY138" s="82">
        <f t="shared" si="41"/>
        <v>0</v>
      </c>
      <c r="CZ138" s="82">
        <f t="shared" si="345"/>
        <v>0</v>
      </c>
      <c r="DA138" s="82">
        <f t="shared" si="43"/>
        <v>5</v>
      </c>
      <c r="DB138" s="82">
        <f t="shared" si="44"/>
        <v>405405</v>
      </c>
      <c r="DC138" s="91"/>
      <c r="DD138" s="82"/>
      <c r="DE138" s="82"/>
      <c r="DF138" s="82">
        <f t="shared" si="858"/>
        <v>0</v>
      </c>
      <c r="DG138" s="82">
        <f t="shared" si="859"/>
        <v>0</v>
      </c>
      <c r="DH138" s="82"/>
      <c r="DI138" s="82"/>
      <c r="DJ138" s="82"/>
      <c r="DK138" s="82"/>
      <c r="DL138" s="82">
        <f t="shared" si="860"/>
        <v>0</v>
      </c>
      <c r="DM138" s="82">
        <f t="shared" si="861"/>
        <v>0</v>
      </c>
      <c r="DN138" s="82">
        <f t="shared" si="862"/>
        <v>5</v>
      </c>
      <c r="DO138" s="82">
        <f t="shared" si="863"/>
        <v>405405</v>
      </c>
      <c r="DP138" s="82"/>
      <c r="DQ138" s="82"/>
      <c r="DR138" s="82">
        <f t="shared" si="864"/>
        <v>0</v>
      </c>
      <c r="DS138" s="82">
        <f t="shared" si="865"/>
        <v>0</v>
      </c>
      <c r="DT138" s="82"/>
      <c r="DU138" s="82"/>
      <c r="DV138" s="82"/>
      <c r="DW138" s="82"/>
      <c r="DX138" s="82">
        <f t="shared" si="866"/>
        <v>0</v>
      </c>
      <c r="DY138" s="82">
        <f t="shared" si="867"/>
        <v>0</v>
      </c>
      <c r="DZ138" s="82">
        <f t="shared" si="868"/>
        <v>5</v>
      </c>
      <c r="EA138" s="82">
        <f t="shared" si="869"/>
        <v>405405</v>
      </c>
      <c r="EB138" s="82"/>
      <c r="EC138" s="82"/>
      <c r="ED138" s="82">
        <f t="shared" si="870"/>
        <v>0</v>
      </c>
      <c r="EE138" s="82">
        <f t="shared" si="871"/>
        <v>0</v>
      </c>
      <c r="EF138" s="82"/>
      <c r="EG138" s="82"/>
      <c r="EH138" s="82"/>
      <c r="EI138" s="82"/>
      <c r="EJ138" s="82">
        <f t="shared" si="872"/>
        <v>0</v>
      </c>
      <c r="EK138" s="82">
        <f t="shared" si="873"/>
        <v>0</v>
      </c>
      <c r="EL138" s="82">
        <f t="shared" si="874"/>
        <v>5</v>
      </c>
      <c r="EM138" s="82">
        <f t="shared" si="875"/>
        <v>405405</v>
      </c>
      <c r="EN138" s="82">
        <f t="shared" si="876"/>
        <v>0</v>
      </c>
      <c r="EO138" s="82">
        <f t="shared" si="877"/>
        <v>0</v>
      </c>
      <c r="EP138" s="82">
        <f t="shared" si="878"/>
        <v>5</v>
      </c>
      <c r="EQ138" s="82">
        <f t="shared" si="879"/>
        <v>405405</v>
      </c>
      <c r="ER138" s="82"/>
      <c r="ES138" s="82"/>
      <c r="ET138" s="82">
        <f t="shared" si="880"/>
        <v>0</v>
      </c>
      <c r="EU138" s="82">
        <f t="shared" si="881"/>
        <v>0</v>
      </c>
      <c r="EV138" s="82"/>
      <c r="EW138" s="82"/>
      <c r="EX138" s="82"/>
      <c r="EY138" s="82"/>
      <c r="EZ138" s="82">
        <f t="shared" si="882"/>
        <v>0</v>
      </c>
      <c r="FA138" s="82">
        <f t="shared" si="883"/>
        <v>0</v>
      </c>
      <c r="FB138" s="82">
        <f t="shared" si="884"/>
        <v>5</v>
      </c>
      <c r="FC138" s="82">
        <f t="shared" si="885"/>
        <v>405405</v>
      </c>
      <c r="FD138" s="82"/>
      <c r="FE138" s="82"/>
      <c r="FF138" s="82">
        <f t="shared" si="886"/>
        <v>0</v>
      </c>
      <c r="FG138" s="82">
        <f t="shared" si="887"/>
        <v>0</v>
      </c>
      <c r="FH138" s="82"/>
      <c r="FI138" s="82"/>
      <c r="FJ138" s="82"/>
      <c r="FK138" s="82"/>
      <c r="FL138" s="82">
        <f t="shared" si="888"/>
        <v>0</v>
      </c>
      <c r="FM138" s="82">
        <f t="shared" si="889"/>
        <v>0</v>
      </c>
      <c r="FN138" s="82">
        <f t="shared" si="890"/>
        <v>5</v>
      </c>
      <c r="FO138" s="82">
        <f t="shared" si="891"/>
        <v>405405</v>
      </c>
      <c r="FP138" s="82"/>
      <c r="FQ138" s="82"/>
      <c r="FR138" s="82">
        <f t="shared" si="892"/>
        <v>0</v>
      </c>
      <c r="FS138" s="82">
        <f t="shared" si="893"/>
        <v>0</v>
      </c>
      <c r="FT138" s="82"/>
      <c r="FU138" s="82"/>
      <c r="FV138" s="82"/>
      <c r="FW138" s="82"/>
      <c r="FX138" s="82">
        <f t="shared" si="894"/>
        <v>0</v>
      </c>
      <c r="FY138" s="82">
        <f t="shared" si="895"/>
        <v>0</v>
      </c>
      <c r="FZ138" s="82">
        <f t="shared" si="896"/>
        <v>5</v>
      </c>
      <c r="GA138" s="82">
        <f t="shared" si="897"/>
        <v>405405</v>
      </c>
      <c r="GB138" s="82">
        <f t="shared" si="898"/>
        <v>0</v>
      </c>
      <c r="GC138" s="82">
        <f t="shared" si="899"/>
        <v>0</v>
      </c>
      <c r="GD138" s="82">
        <f t="shared" si="900"/>
        <v>5</v>
      </c>
      <c r="GE138" s="82">
        <f t="shared" si="901"/>
        <v>405405</v>
      </c>
      <c r="GF138" s="85"/>
    </row>
    <row r="139" ht="29.25" customHeight="1">
      <c r="A139" s="76">
        <v>77.0</v>
      </c>
      <c r="B139" s="76"/>
      <c r="C139" s="88" t="s">
        <v>201</v>
      </c>
      <c r="D139" s="78" t="s">
        <v>118</v>
      </c>
      <c r="E139" s="86">
        <v>67568.0</v>
      </c>
      <c r="F139" s="80" t="s">
        <v>85</v>
      </c>
      <c r="G139" s="81">
        <v>1.0</v>
      </c>
      <c r="H139" s="82">
        <v>67568.0</v>
      </c>
      <c r="I139" s="82"/>
      <c r="J139" s="82"/>
      <c r="K139" s="82">
        <f t="shared" si="827"/>
        <v>0</v>
      </c>
      <c r="L139" s="82">
        <f t="shared" si="828"/>
        <v>0</v>
      </c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>
        <f t="shared" si="829"/>
        <v>0</v>
      </c>
      <c r="AC139" s="82">
        <f t="shared" si="830"/>
        <v>0</v>
      </c>
      <c r="AD139" s="82">
        <f t="shared" si="452"/>
        <v>1</v>
      </c>
      <c r="AE139" s="82">
        <f t="shared" si="831"/>
        <v>67568</v>
      </c>
      <c r="AF139" s="82"/>
      <c r="AG139" s="82"/>
      <c r="AH139" s="82">
        <f t="shared" si="832"/>
        <v>0</v>
      </c>
      <c r="AI139" s="82">
        <f t="shared" si="833"/>
        <v>0</v>
      </c>
      <c r="AJ139" s="82"/>
      <c r="AK139" s="82"/>
      <c r="AL139" s="82"/>
      <c r="AM139" s="82"/>
      <c r="AN139" s="82">
        <f t="shared" si="834"/>
        <v>0</v>
      </c>
      <c r="AO139" s="82">
        <f t="shared" si="835"/>
        <v>0</v>
      </c>
      <c r="AP139" s="82">
        <f t="shared" si="458"/>
        <v>1</v>
      </c>
      <c r="AQ139" s="82">
        <f t="shared" si="836"/>
        <v>67568</v>
      </c>
      <c r="AR139" s="82"/>
      <c r="AS139" s="82"/>
      <c r="AT139" s="82"/>
      <c r="AU139" s="82">
        <f t="shared" si="837"/>
        <v>0</v>
      </c>
      <c r="AV139" s="82">
        <f t="shared" si="838"/>
        <v>0</v>
      </c>
      <c r="AW139" s="82"/>
      <c r="AX139" s="82"/>
      <c r="AY139" s="82"/>
      <c r="AZ139" s="82"/>
      <c r="BA139" s="82">
        <f t="shared" si="839"/>
        <v>0</v>
      </c>
      <c r="BB139" s="82">
        <f t="shared" si="840"/>
        <v>0</v>
      </c>
      <c r="BC139" s="82">
        <f t="shared" si="464"/>
        <v>1</v>
      </c>
      <c r="BD139" s="82">
        <f t="shared" si="841"/>
        <v>67568</v>
      </c>
      <c r="BE139" s="82">
        <f t="shared" si="842"/>
        <v>0</v>
      </c>
      <c r="BF139" s="82">
        <f t="shared" si="843"/>
        <v>0</v>
      </c>
      <c r="BG139" s="82">
        <f t="shared" si="468"/>
        <v>1</v>
      </c>
      <c r="BH139" s="82">
        <f t="shared" si="844"/>
        <v>67568</v>
      </c>
      <c r="BI139" s="82"/>
      <c r="BJ139" s="83"/>
      <c r="BK139" s="82">
        <f t="shared" si="845"/>
        <v>0</v>
      </c>
      <c r="BL139" s="82">
        <f t="shared" si="846"/>
        <v>0</v>
      </c>
      <c r="BM139" s="82"/>
      <c r="BN139" s="82"/>
      <c r="BO139" s="82"/>
      <c r="BP139" s="82"/>
      <c r="BQ139" s="82"/>
      <c r="BR139" s="82"/>
      <c r="BS139" s="83">
        <v>1.0</v>
      </c>
      <c r="BT139" s="82"/>
      <c r="BU139" s="82"/>
      <c r="BV139" s="82"/>
      <c r="BW139" s="82">
        <f t="shared" si="847"/>
        <v>1</v>
      </c>
      <c r="BX139" s="82">
        <f t="shared" si="848"/>
        <v>67568</v>
      </c>
      <c r="BY139" s="82">
        <f t="shared" si="474"/>
        <v>0</v>
      </c>
      <c r="BZ139" s="82">
        <f t="shared" si="849"/>
        <v>0</v>
      </c>
      <c r="CA139" s="82"/>
      <c r="CB139" s="82"/>
      <c r="CC139" s="82">
        <f t="shared" si="850"/>
        <v>0</v>
      </c>
      <c r="CD139" s="82">
        <f t="shared" si="851"/>
        <v>0</v>
      </c>
      <c r="CE139" s="82"/>
      <c r="CF139" s="82"/>
      <c r="CG139" s="82"/>
      <c r="CH139" s="82"/>
      <c r="CI139" s="82">
        <f t="shared" si="852"/>
        <v>0</v>
      </c>
      <c r="CJ139" s="82">
        <f t="shared" si="853"/>
        <v>0</v>
      </c>
      <c r="CK139" s="82">
        <f t="shared" si="480"/>
        <v>0</v>
      </c>
      <c r="CL139" s="82">
        <f t="shared" si="854"/>
        <v>0</v>
      </c>
      <c r="CM139" s="82"/>
      <c r="CN139" s="82"/>
      <c r="CO139" s="82">
        <f t="shared" si="35"/>
        <v>0</v>
      </c>
      <c r="CP139" s="82">
        <f t="shared" si="36"/>
        <v>0</v>
      </c>
      <c r="CQ139" s="82"/>
      <c r="CR139" s="82"/>
      <c r="CS139" s="82"/>
      <c r="CT139" s="82"/>
      <c r="CU139" s="82">
        <f t="shared" si="855"/>
        <v>0</v>
      </c>
      <c r="CV139" s="82">
        <f t="shared" si="856"/>
        <v>0</v>
      </c>
      <c r="CW139" s="82">
        <f t="shared" si="39"/>
        <v>0</v>
      </c>
      <c r="CX139" s="82">
        <f t="shared" si="857"/>
        <v>0</v>
      </c>
      <c r="CY139" s="82">
        <f t="shared" si="41"/>
        <v>0</v>
      </c>
      <c r="CZ139" s="82">
        <f t="shared" si="345"/>
        <v>1</v>
      </c>
      <c r="DA139" s="82">
        <f t="shared" si="43"/>
        <v>0</v>
      </c>
      <c r="DB139" s="82">
        <f t="shared" si="44"/>
        <v>0</v>
      </c>
      <c r="DC139" s="91"/>
      <c r="DD139" s="82"/>
      <c r="DE139" s="82"/>
      <c r="DF139" s="82">
        <f t="shared" si="858"/>
        <v>0</v>
      </c>
      <c r="DG139" s="82">
        <f t="shared" si="859"/>
        <v>0</v>
      </c>
      <c r="DH139" s="82"/>
      <c r="DI139" s="82"/>
      <c r="DJ139" s="82"/>
      <c r="DK139" s="82"/>
      <c r="DL139" s="82">
        <f t="shared" si="860"/>
        <v>0</v>
      </c>
      <c r="DM139" s="82">
        <f t="shared" si="861"/>
        <v>0</v>
      </c>
      <c r="DN139" s="82">
        <f t="shared" si="862"/>
        <v>0</v>
      </c>
      <c r="DO139" s="82">
        <f t="shared" si="863"/>
        <v>0</v>
      </c>
      <c r="DP139" s="82"/>
      <c r="DQ139" s="82"/>
      <c r="DR139" s="82">
        <f t="shared" si="864"/>
        <v>0</v>
      </c>
      <c r="DS139" s="82">
        <f t="shared" si="865"/>
        <v>0</v>
      </c>
      <c r="DT139" s="82"/>
      <c r="DU139" s="82"/>
      <c r="DV139" s="82"/>
      <c r="DW139" s="82"/>
      <c r="DX139" s="82">
        <f t="shared" si="866"/>
        <v>0</v>
      </c>
      <c r="DY139" s="82">
        <f t="shared" si="867"/>
        <v>0</v>
      </c>
      <c r="DZ139" s="82">
        <f t="shared" si="868"/>
        <v>0</v>
      </c>
      <c r="EA139" s="82">
        <f t="shared" si="869"/>
        <v>0</v>
      </c>
      <c r="EB139" s="82"/>
      <c r="EC139" s="82"/>
      <c r="ED139" s="82">
        <f t="shared" si="870"/>
        <v>0</v>
      </c>
      <c r="EE139" s="82">
        <f t="shared" si="871"/>
        <v>0</v>
      </c>
      <c r="EF139" s="82"/>
      <c r="EG139" s="82"/>
      <c r="EH139" s="82"/>
      <c r="EI139" s="82"/>
      <c r="EJ139" s="82">
        <f t="shared" si="872"/>
        <v>0</v>
      </c>
      <c r="EK139" s="82">
        <f t="shared" si="873"/>
        <v>0</v>
      </c>
      <c r="EL139" s="82">
        <f t="shared" si="874"/>
        <v>0</v>
      </c>
      <c r="EM139" s="82">
        <f t="shared" si="875"/>
        <v>0</v>
      </c>
      <c r="EN139" s="82">
        <f t="shared" si="876"/>
        <v>0</v>
      </c>
      <c r="EO139" s="82">
        <f t="shared" si="877"/>
        <v>0</v>
      </c>
      <c r="EP139" s="82">
        <f t="shared" si="878"/>
        <v>0</v>
      </c>
      <c r="EQ139" s="82">
        <f t="shared" si="879"/>
        <v>0</v>
      </c>
      <c r="ER139" s="82"/>
      <c r="ES139" s="82"/>
      <c r="ET139" s="82">
        <f t="shared" si="880"/>
        <v>0</v>
      </c>
      <c r="EU139" s="82">
        <f t="shared" si="881"/>
        <v>0</v>
      </c>
      <c r="EV139" s="82"/>
      <c r="EW139" s="82"/>
      <c r="EX139" s="82"/>
      <c r="EY139" s="82"/>
      <c r="EZ139" s="82">
        <f t="shared" si="882"/>
        <v>0</v>
      </c>
      <c r="FA139" s="82">
        <f t="shared" si="883"/>
        <v>0</v>
      </c>
      <c r="FB139" s="82">
        <f t="shared" si="884"/>
        <v>0</v>
      </c>
      <c r="FC139" s="82">
        <f t="shared" si="885"/>
        <v>0</v>
      </c>
      <c r="FD139" s="82"/>
      <c r="FE139" s="82"/>
      <c r="FF139" s="82">
        <f t="shared" si="886"/>
        <v>0</v>
      </c>
      <c r="FG139" s="82">
        <f t="shared" si="887"/>
        <v>0</v>
      </c>
      <c r="FH139" s="82"/>
      <c r="FI139" s="82"/>
      <c r="FJ139" s="82"/>
      <c r="FK139" s="82"/>
      <c r="FL139" s="82">
        <f t="shared" si="888"/>
        <v>0</v>
      </c>
      <c r="FM139" s="82">
        <f t="shared" si="889"/>
        <v>0</v>
      </c>
      <c r="FN139" s="82">
        <f t="shared" si="890"/>
        <v>0</v>
      </c>
      <c r="FO139" s="82">
        <f t="shared" si="891"/>
        <v>0</v>
      </c>
      <c r="FP139" s="82"/>
      <c r="FQ139" s="82"/>
      <c r="FR139" s="82">
        <f t="shared" si="892"/>
        <v>0</v>
      </c>
      <c r="FS139" s="82">
        <f t="shared" si="893"/>
        <v>0</v>
      </c>
      <c r="FT139" s="82"/>
      <c r="FU139" s="82"/>
      <c r="FV139" s="82"/>
      <c r="FW139" s="82"/>
      <c r="FX139" s="82">
        <f t="shared" si="894"/>
        <v>0</v>
      </c>
      <c r="FY139" s="82">
        <f t="shared" si="895"/>
        <v>0</v>
      </c>
      <c r="FZ139" s="82">
        <f t="shared" si="896"/>
        <v>0</v>
      </c>
      <c r="GA139" s="82">
        <f t="shared" si="897"/>
        <v>0</v>
      </c>
      <c r="GB139" s="82">
        <f t="shared" si="898"/>
        <v>0</v>
      </c>
      <c r="GC139" s="82">
        <f t="shared" si="899"/>
        <v>0</v>
      </c>
      <c r="GD139" s="82">
        <f t="shared" si="900"/>
        <v>0</v>
      </c>
      <c r="GE139" s="82">
        <f t="shared" si="901"/>
        <v>0</v>
      </c>
      <c r="GF139" s="85"/>
    </row>
    <row r="140" ht="29.25" customHeight="1">
      <c r="A140" s="50"/>
      <c r="B140" s="50"/>
      <c r="C140" s="16"/>
      <c r="D140" s="78" t="s">
        <v>118</v>
      </c>
      <c r="E140" s="86">
        <v>77700.0</v>
      </c>
      <c r="F140" s="80" t="s">
        <v>94</v>
      </c>
      <c r="G140" s="93">
        <v>5.0</v>
      </c>
      <c r="H140" s="94">
        <v>388500.0</v>
      </c>
      <c r="I140" s="82"/>
      <c r="J140" s="82"/>
      <c r="K140" s="82">
        <f t="shared" si="827"/>
        <v>0</v>
      </c>
      <c r="L140" s="82">
        <f t="shared" si="828"/>
        <v>0</v>
      </c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>
        <f t="shared" si="829"/>
        <v>0</v>
      </c>
      <c r="AC140" s="82">
        <f t="shared" si="830"/>
        <v>0</v>
      </c>
      <c r="AD140" s="82">
        <f t="shared" si="452"/>
        <v>5</v>
      </c>
      <c r="AE140" s="82">
        <f t="shared" si="831"/>
        <v>388500</v>
      </c>
      <c r="AF140" s="82"/>
      <c r="AG140" s="82"/>
      <c r="AH140" s="82">
        <f t="shared" si="832"/>
        <v>0</v>
      </c>
      <c r="AI140" s="82">
        <f t="shared" si="833"/>
        <v>0</v>
      </c>
      <c r="AJ140" s="82"/>
      <c r="AK140" s="82"/>
      <c r="AL140" s="82"/>
      <c r="AM140" s="82"/>
      <c r="AN140" s="82">
        <f t="shared" si="834"/>
        <v>0</v>
      </c>
      <c r="AO140" s="82">
        <f t="shared" si="835"/>
        <v>0</v>
      </c>
      <c r="AP140" s="82">
        <f t="shared" si="458"/>
        <v>5</v>
      </c>
      <c r="AQ140" s="82">
        <f t="shared" si="836"/>
        <v>388500</v>
      </c>
      <c r="AR140" s="82"/>
      <c r="AS140" s="82"/>
      <c r="AT140" s="82"/>
      <c r="AU140" s="82">
        <f t="shared" si="837"/>
        <v>0</v>
      </c>
      <c r="AV140" s="82">
        <f t="shared" si="838"/>
        <v>0</v>
      </c>
      <c r="AW140" s="82"/>
      <c r="AX140" s="82"/>
      <c r="AY140" s="82"/>
      <c r="AZ140" s="82"/>
      <c r="BA140" s="82">
        <f t="shared" si="839"/>
        <v>0</v>
      </c>
      <c r="BB140" s="82">
        <f t="shared" si="840"/>
        <v>0</v>
      </c>
      <c r="BC140" s="82">
        <f t="shared" si="464"/>
        <v>5</v>
      </c>
      <c r="BD140" s="82">
        <f t="shared" si="841"/>
        <v>388500</v>
      </c>
      <c r="BE140" s="82">
        <f t="shared" si="842"/>
        <v>0</v>
      </c>
      <c r="BF140" s="82">
        <f t="shared" si="843"/>
        <v>0</v>
      </c>
      <c r="BG140" s="82">
        <f t="shared" si="468"/>
        <v>5</v>
      </c>
      <c r="BH140" s="82">
        <f t="shared" si="844"/>
        <v>388500</v>
      </c>
      <c r="BI140" s="82"/>
      <c r="BJ140" s="83"/>
      <c r="BK140" s="82">
        <f t="shared" si="845"/>
        <v>0</v>
      </c>
      <c r="BL140" s="82">
        <f t="shared" si="846"/>
        <v>0</v>
      </c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>
        <f t="shared" si="847"/>
        <v>0</v>
      </c>
      <c r="BX140" s="82">
        <f t="shared" si="848"/>
        <v>0</v>
      </c>
      <c r="BY140" s="82">
        <f t="shared" si="474"/>
        <v>5</v>
      </c>
      <c r="BZ140" s="82">
        <f t="shared" si="849"/>
        <v>388500</v>
      </c>
      <c r="CA140" s="82"/>
      <c r="CB140" s="82"/>
      <c r="CC140" s="82">
        <f t="shared" si="850"/>
        <v>0</v>
      </c>
      <c r="CD140" s="82">
        <f t="shared" si="851"/>
        <v>0</v>
      </c>
      <c r="CE140" s="82"/>
      <c r="CF140" s="82"/>
      <c r="CG140" s="82"/>
      <c r="CH140" s="82"/>
      <c r="CI140" s="82">
        <f t="shared" si="852"/>
        <v>0</v>
      </c>
      <c r="CJ140" s="82">
        <f t="shared" si="853"/>
        <v>0</v>
      </c>
      <c r="CK140" s="82">
        <f t="shared" si="480"/>
        <v>5</v>
      </c>
      <c r="CL140" s="82">
        <f t="shared" si="854"/>
        <v>388500</v>
      </c>
      <c r="CM140" s="82"/>
      <c r="CN140" s="82"/>
      <c r="CO140" s="82">
        <f t="shared" si="35"/>
        <v>0</v>
      </c>
      <c r="CP140" s="82">
        <f t="shared" si="36"/>
        <v>0</v>
      </c>
      <c r="CQ140" s="83">
        <v>1.0</v>
      </c>
      <c r="CR140" s="82"/>
      <c r="CS140" s="82"/>
      <c r="CT140" s="82"/>
      <c r="CU140" s="82">
        <f t="shared" si="855"/>
        <v>1</v>
      </c>
      <c r="CV140" s="82">
        <f t="shared" si="856"/>
        <v>77700</v>
      </c>
      <c r="CW140" s="82">
        <f t="shared" si="39"/>
        <v>4</v>
      </c>
      <c r="CX140" s="82">
        <f t="shared" si="857"/>
        <v>310800</v>
      </c>
      <c r="CY140" s="82">
        <f t="shared" si="41"/>
        <v>0</v>
      </c>
      <c r="CZ140" s="82">
        <f t="shared" si="345"/>
        <v>1</v>
      </c>
      <c r="DA140" s="82">
        <f t="shared" si="43"/>
        <v>4</v>
      </c>
      <c r="DB140" s="82">
        <f t="shared" si="44"/>
        <v>310800</v>
      </c>
      <c r="DC140" s="84">
        <v>9.0</v>
      </c>
      <c r="DD140" s="82"/>
      <c r="DE140" s="82"/>
      <c r="DF140" s="82">
        <f t="shared" si="858"/>
        <v>0</v>
      </c>
      <c r="DG140" s="82">
        <f t="shared" si="859"/>
        <v>0</v>
      </c>
      <c r="DH140" s="82"/>
      <c r="DI140" s="82"/>
      <c r="DJ140" s="82"/>
      <c r="DK140" s="82"/>
      <c r="DL140" s="82">
        <f t="shared" si="860"/>
        <v>0</v>
      </c>
      <c r="DM140" s="82">
        <f t="shared" si="861"/>
        <v>0</v>
      </c>
      <c r="DN140" s="82">
        <f t="shared" si="862"/>
        <v>4</v>
      </c>
      <c r="DO140" s="82">
        <f t="shared" si="863"/>
        <v>310800</v>
      </c>
      <c r="DP140" s="82"/>
      <c r="DQ140" s="82"/>
      <c r="DR140" s="82">
        <f t="shared" si="864"/>
        <v>0</v>
      </c>
      <c r="DS140" s="82">
        <f t="shared" si="865"/>
        <v>0</v>
      </c>
      <c r="DT140" s="82"/>
      <c r="DU140" s="82"/>
      <c r="DV140" s="82"/>
      <c r="DW140" s="82"/>
      <c r="DX140" s="82">
        <f t="shared" si="866"/>
        <v>0</v>
      </c>
      <c r="DY140" s="82">
        <f t="shared" si="867"/>
        <v>0</v>
      </c>
      <c r="DZ140" s="82">
        <f t="shared" si="868"/>
        <v>4</v>
      </c>
      <c r="EA140" s="82">
        <f t="shared" si="869"/>
        <v>310800</v>
      </c>
      <c r="EB140" s="82"/>
      <c r="EC140" s="82"/>
      <c r="ED140" s="82">
        <f t="shared" si="870"/>
        <v>0</v>
      </c>
      <c r="EE140" s="82">
        <f t="shared" si="871"/>
        <v>0</v>
      </c>
      <c r="EF140" s="82"/>
      <c r="EG140" s="82"/>
      <c r="EH140" s="82"/>
      <c r="EI140" s="82"/>
      <c r="EJ140" s="82">
        <f t="shared" si="872"/>
        <v>0</v>
      </c>
      <c r="EK140" s="82">
        <f t="shared" si="873"/>
        <v>0</v>
      </c>
      <c r="EL140" s="82">
        <f t="shared" si="874"/>
        <v>4</v>
      </c>
      <c r="EM140" s="82">
        <f t="shared" si="875"/>
        <v>310800</v>
      </c>
      <c r="EN140" s="82">
        <f t="shared" si="876"/>
        <v>0</v>
      </c>
      <c r="EO140" s="82">
        <f t="shared" si="877"/>
        <v>0</v>
      </c>
      <c r="EP140" s="82">
        <f t="shared" si="878"/>
        <v>4</v>
      </c>
      <c r="EQ140" s="82">
        <f t="shared" si="879"/>
        <v>310800</v>
      </c>
      <c r="ER140" s="82"/>
      <c r="ES140" s="82"/>
      <c r="ET140" s="82">
        <f t="shared" si="880"/>
        <v>0</v>
      </c>
      <c r="EU140" s="82">
        <f t="shared" si="881"/>
        <v>0</v>
      </c>
      <c r="EV140" s="82"/>
      <c r="EW140" s="82"/>
      <c r="EX140" s="82"/>
      <c r="EY140" s="82"/>
      <c r="EZ140" s="82">
        <f t="shared" si="882"/>
        <v>0</v>
      </c>
      <c r="FA140" s="82">
        <f t="shared" si="883"/>
        <v>0</v>
      </c>
      <c r="FB140" s="82">
        <f t="shared" si="884"/>
        <v>4</v>
      </c>
      <c r="FC140" s="82">
        <f t="shared" si="885"/>
        <v>310800</v>
      </c>
      <c r="FD140" s="82"/>
      <c r="FE140" s="82"/>
      <c r="FF140" s="82">
        <f t="shared" si="886"/>
        <v>0</v>
      </c>
      <c r="FG140" s="82">
        <f t="shared" si="887"/>
        <v>0</v>
      </c>
      <c r="FH140" s="82"/>
      <c r="FI140" s="82"/>
      <c r="FJ140" s="82"/>
      <c r="FK140" s="82"/>
      <c r="FL140" s="82">
        <f t="shared" si="888"/>
        <v>0</v>
      </c>
      <c r="FM140" s="82">
        <f t="shared" si="889"/>
        <v>0</v>
      </c>
      <c r="FN140" s="82">
        <f t="shared" si="890"/>
        <v>4</v>
      </c>
      <c r="FO140" s="82">
        <f t="shared" si="891"/>
        <v>310800</v>
      </c>
      <c r="FP140" s="82"/>
      <c r="FQ140" s="82"/>
      <c r="FR140" s="82">
        <f t="shared" si="892"/>
        <v>0</v>
      </c>
      <c r="FS140" s="82">
        <f t="shared" si="893"/>
        <v>0</v>
      </c>
      <c r="FT140" s="82"/>
      <c r="FU140" s="82"/>
      <c r="FV140" s="82"/>
      <c r="FW140" s="82"/>
      <c r="FX140" s="82">
        <f t="shared" si="894"/>
        <v>0</v>
      </c>
      <c r="FY140" s="82">
        <f t="shared" si="895"/>
        <v>0</v>
      </c>
      <c r="FZ140" s="82">
        <f t="shared" si="896"/>
        <v>4</v>
      </c>
      <c r="GA140" s="82">
        <f t="shared" si="897"/>
        <v>310800</v>
      </c>
      <c r="GB140" s="82">
        <f t="shared" si="898"/>
        <v>0</v>
      </c>
      <c r="GC140" s="82">
        <f t="shared" si="899"/>
        <v>0</v>
      </c>
      <c r="GD140" s="82">
        <f t="shared" si="900"/>
        <v>4</v>
      </c>
      <c r="GE140" s="82">
        <f t="shared" si="901"/>
        <v>310800</v>
      </c>
      <c r="GF140" s="95"/>
    </row>
    <row r="141" ht="29.25" customHeight="1">
      <c r="A141" s="96"/>
      <c r="B141" s="97"/>
      <c r="C141" s="100"/>
      <c r="D141" s="89" t="s">
        <v>202</v>
      </c>
      <c r="E141" s="86">
        <v>111000.0</v>
      </c>
      <c r="F141" s="80" t="s">
        <v>203</v>
      </c>
      <c r="G141" s="90">
        <v>5.0</v>
      </c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>
        <f t="shared" si="452"/>
        <v>5</v>
      </c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>
        <f t="shared" si="458"/>
        <v>5</v>
      </c>
      <c r="AQ141" s="82">
        <f>AP141*E140</f>
        <v>388500</v>
      </c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>
        <f t="shared" si="464"/>
        <v>5</v>
      </c>
      <c r="BD141" s="82">
        <f>BC141*E140</f>
        <v>388500</v>
      </c>
      <c r="BE141" s="82"/>
      <c r="BF141" s="82"/>
      <c r="BG141" s="82">
        <f t="shared" si="468"/>
        <v>5</v>
      </c>
      <c r="BH141" s="83">
        <v>0.0</v>
      </c>
      <c r="BI141" s="82"/>
      <c r="BJ141" s="83"/>
      <c r="BK141" s="82"/>
      <c r="BL141" s="82"/>
      <c r="BM141" s="82"/>
      <c r="BN141" s="82"/>
      <c r="BO141" s="82"/>
      <c r="BP141" s="83"/>
      <c r="BQ141" s="82"/>
      <c r="BR141" s="82"/>
      <c r="BS141" s="83"/>
      <c r="BT141" s="82"/>
      <c r="BU141" s="82"/>
      <c r="BV141" s="82"/>
      <c r="BW141" s="82"/>
      <c r="BX141" s="82"/>
      <c r="BY141" s="82">
        <f t="shared" si="474"/>
        <v>5</v>
      </c>
      <c r="BZ141" s="82">
        <f>BY141*E140</f>
        <v>388500</v>
      </c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>
        <f t="shared" si="480"/>
        <v>5</v>
      </c>
      <c r="CL141" s="82">
        <f>CK141*E140</f>
        <v>388500</v>
      </c>
      <c r="CM141" s="83">
        <v>5.0</v>
      </c>
      <c r="CN141" s="82"/>
      <c r="CO141" s="82">
        <f t="shared" si="35"/>
        <v>5</v>
      </c>
      <c r="CP141" s="82">
        <f t="shared" si="36"/>
        <v>555000</v>
      </c>
      <c r="CQ141" s="82"/>
      <c r="CR141" s="82"/>
      <c r="CS141" s="82"/>
      <c r="CT141" s="82"/>
      <c r="CU141" s="82"/>
      <c r="CV141" s="82"/>
      <c r="CW141" s="82">
        <f t="shared" si="39"/>
        <v>10</v>
      </c>
      <c r="CX141" s="82">
        <f>(CO141*E141)+(CK141*E140)</f>
        <v>943500</v>
      </c>
      <c r="CY141" s="82">
        <f t="shared" si="41"/>
        <v>5</v>
      </c>
      <c r="CZ141" s="82">
        <f t="shared" si="345"/>
        <v>0</v>
      </c>
      <c r="DA141" s="82">
        <f t="shared" si="43"/>
        <v>10</v>
      </c>
      <c r="DB141" s="82">
        <f t="shared" si="44"/>
        <v>1110000</v>
      </c>
      <c r="DC141" s="91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  <c r="DQ141" s="82"/>
      <c r="DR141" s="82"/>
      <c r="DS141" s="82"/>
      <c r="DT141" s="82"/>
      <c r="DU141" s="82"/>
      <c r="DV141" s="82"/>
      <c r="DW141" s="82"/>
      <c r="DX141" s="82"/>
      <c r="DY141" s="82"/>
      <c r="DZ141" s="82"/>
      <c r="EA141" s="82"/>
      <c r="EB141" s="82"/>
      <c r="EC141" s="82"/>
      <c r="ED141" s="82"/>
      <c r="EE141" s="82"/>
      <c r="EF141" s="82"/>
      <c r="EG141" s="82"/>
      <c r="EH141" s="82"/>
      <c r="EI141" s="82"/>
      <c r="EJ141" s="82"/>
      <c r="EK141" s="82"/>
      <c r="EL141" s="82"/>
      <c r="EM141" s="82"/>
      <c r="EN141" s="82"/>
      <c r="EO141" s="82"/>
      <c r="EP141" s="82"/>
      <c r="EQ141" s="82"/>
      <c r="ER141" s="82"/>
      <c r="ES141" s="82"/>
      <c r="ET141" s="82"/>
      <c r="EU141" s="82"/>
      <c r="EV141" s="82"/>
      <c r="EW141" s="82"/>
      <c r="EX141" s="82"/>
      <c r="EY141" s="82"/>
      <c r="EZ141" s="82"/>
      <c r="FA141" s="82"/>
      <c r="FB141" s="82"/>
      <c r="FC141" s="82"/>
      <c r="FD141" s="82"/>
      <c r="FE141" s="82"/>
      <c r="FF141" s="82"/>
      <c r="FG141" s="82"/>
      <c r="FH141" s="82"/>
      <c r="FI141" s="82"/>
      <c r="FJ141" s="82"/>
      <c r="FK141" s="82"/>
      <c r="FL141" s="82"/>
      <c r="FM141" s="82"/>
      <c r="FN141" s="82"/>
      <c r="FO141" s="82"/>
      <c r="FP141" s="82"/>
      <c r="FQ141" s="82"/>
      <c r="FR141" s="82"/>
      <c r="FS141" s="82"/>
      <c r="FT141" s="82"/>
      <c r="FU141" s="82"/>
      <c r="FV141" s="82"/>
      <c r="FW141" s="82"/>
      <c r="FX141" s="82"/>
      <c r="FY141" s="82"/>
      <c r="FZ141" s="82"/>
      <c r="GA141" s="82"/>
      <c r="GB141" s="82"/>
      <c r="GC141" s="82"/>
      <c r="GD141" s="82"/>
      <c r="GE141" s="82"/>
      <c r="GF141" s="85"/>
    </row>
    <row r="142" ht="29.25" customHeight="1">
      <c r="A142" s="96">
        <v>78.0</v>
      </c>
      <c r="B142" s="96"/>
      <c r="C142" s="88" t="s">
        <v>204</v>
      </c>
      <c r="D142" s="78" t="s">
        <v>118</v>
      </c>
      <c r="E142" s="79">
        <v>77700.0</v>
      </c>
      <c r="F142" s="61" t="s">
        <v>94</v>
      </c>
      <c r="G142" s="93">
        <v>2.0</v>
      </c>
      <c r="H142" s="94">
        <v>155400.0</v>
      </c>
      <c r="I142" s="82"/>
      <c r="J142" s="82"/>
      <c r="K142" s="82">
        <f>SUM(I142:J142)</f>
        <v>0</v>
      </c>
      <c r="L142" s="82">
        <f>K142*E142</f>
        <v>0</v>
      </c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>
        <f>SUM(M142:AA142)</f>
        <v>0</v>
      </c>
      <c r="AC142" s="82">
        <f>AB142*E142</f>
        <v>0</v>
      </c>
      <c r="AD142" s="82">
        <f t="shared" si="452"/>
        <v>2</v>
      </c>
      <c r="AE142" s="82">
        <f>AD142*E142</f>
        <v>155400</v>
      </c>
      <c r="AF142" s="82"/>
      <c r="AG142" s="82"/>
      <c r="AH142" s="82">
        <f>SUM(AF142:AG142)</f>
        <v>0</v>
      </c>
      <c r="AI142" s="82">
        <f>AH142*E142</f>
        <v>0</v>
      </c>
      <c r="AJ142" s="82"/>
      <c r="AK142" s="82"/>
      <c r="AL142" s="82"/>
      <c r="AM142" s="82"/>
      <c r="AN142" s="82">
        <f>SUM(AJ142:AM142)</f>
        <v>0</v>
      </c>
      <c r="AO142" s="82">
        <f>AN142*E142</f>
        <v>0</v>
      </c>
      <c r="AP142" s="82">
        <f t="shared" si="458"/>
        <v>2</v>
      </c>
      <c r="AQ142" s="82">
        <f>AP142*E142</f>
        <v>155400</v>
      </c>
      <c r="AR142" s="82"/>
      <c r="AS142" s="82"/>
      <c r="AT142" s="82"/>
      <c r="AU142" s="82">
        <f>SUM(AS142:AT142)</f>
        <v>0</v>
      </c>
      <c r="AV142" s="82">
        <f>AU142*AB142</f>
        <v>0</v>
      </c>
      <c r="AW142" s="82"/>
      <c r="AX142" s="82"/>
      <c r="AY142" s="82"/>
      <c r="AZ142" s="82"/>
      <c r="BA142" s="82">
        <f>SUM(AW142:AZ142)</f>
        <v>0</v>
      </c>
      <c r="BB142" s="82">
        <f>BA142*AB142</f>
        <v>0</v>
      </c>
      <c r="BC142" s="82">
        <f t="shared" si="464"/>
        <v>2</v>
      </c>
      <c r="BD142" s="82">
        <f>BC142*E142</f>
        <v>155400</v>
      </c>
      <c r="BE142" s="82">
        <f>K142+AH142+AU142</f>
        <v>0</v>
      </c>
      <c r="BF142" s="82">
        <f>AB142+AN142+BA142</f>
        <v>0</v>
      </c>
      <c r="BG142" s="82">
        <f t="shared" si="468"/>
        <v>2</v>
      </c>
      <c r="BH142" s="82">
        <f>BG142*E142</f>
        <v>155400</v>
      </c>
      <c r="BI142" s="82"/>
      <c r="BJ142" s="83"/>
      <c r="BK142" s="82">
        <f>SUM(BI142:BJ142)</f>
        <v>0</v>
      </c>
      <c r="BL142" s="82">
        <f>BK142*E142</f>
        <v>0</v>
      </c>
      <c r="BM142" s="82"/>
      <c r="BN142" s="82"/>
      <c r="BO142" s="82"/>
      <c r="BP142" s="82"/>
      <c r="BQ142" s="82"/>
      <c r="BR142" s="82"/>
      <c r="BS142" s="83">
        <v>1.0</v>
      </c>
      <c r="BT142" s="82"/>
      <c r="BU142" s="82"/>
      <c r="BV142" s="82"/>
      <c r="BW142" s="82">
        <f>SUM(BM142:BV142)</f>
        <v>1</v>
      </c>
      <c r="BX142" s="82">
        <f>BW142*E142</f>
        <v>77700</v>
      </c>
      <c r="BY142" s="82">
        <f t="shared" si="474"/>
        <v>1</v>
      </c>
      <c r="BZ142" s="82">
        <f>BY142*E142</f>
        <v>77700</v>
      </c>
      <c r="CA142" s="82"/>
      <c r="CB142" s="82"/>
      <c r="CC142" s="82">
        <f>sum(CA142:CB142)</f>
        <v>0</v>
      </c>
      <c r="CD142" s="82">
        <f>CC142*E142</f>
        <v>0</v>
      </c>
      <c r="CE142" s="82"/>
      <c r="CF142" s="82"/>
      <c r="CG142" s="82"/>
      <c r="CH142" s="82"/>
      <c r="CI142" s="82">
        <f>sum(CE142:CH142)</f>
        <v>0</v>
      </c>
      <c r="CJ142" s="82">
        <f>CI142*E142</f>
        <v>0</v>
      </c>
      <c r="CK142" s="82">
        <f t="shared" si="480"/>
        <v>1</v>
      </c>
      <c r="CL142" s="82">
        <f>CK142*E142</f>
        <v>77700</v>
      </c>
      <c r="CM142" s="82"/>
      <c r="CN142" s="82"/>
      <c r="CO142" s="82">
        <f t="shared" si="35"/>
        <v>0</v>
      </c>
      <c r="CP142" s="82">
        <f t="shared" si="36"/>
        <v>0</v>
      </c>
      <c r="CQ142" s="82"/>
      <c r="CR142" s="82"/>
      <c r="CS142" s="82"/>
      <c r="CT142" s="82"/>
      <c r="CU142" s="82">
        <f>sum(CQ142:CT142)</f>
        <v>0</v>
      </c>
      <c r="CV142" s="82">
        <f>CU142*E142</f>
        <v>0</v>
      </c>
      <c r="CW142" s="82">
        <f t="shared" si="39"/>
        <v>1</v>
      </c>
      <c r="CX142" s="82">
        <f>CW142*E142</f>
        <v>77700</v>
      </c>
      <c r="CY142" s="82">
        <f t="shared" si="41"/>
        <v>0</v>
      </c>
      <c r="CZ142" s="82">
        <f t="shared" si="345"/>
        <v>1</v>
      </c>
      <c r="DA142" s="82">
        <f t="shared" si="43"/>
        <v>1</v>
      </c>
      <c r="DB142" s="82">
        <f t="shared" si="44"/>
        <v>77700</v>
      </c>
      <c r="DC142" s="84">
        <v>2.0</v>
      </c>
      <c r="DD142" s="82"/>
      <c r="DE142" s="82"/>
      <c r="DF142" s="82">
        <f>sum(DD142:DE142)</f>
        <v>0</v>
      </c>
      <c r="DG142" s="82">
        <f>DF142*E142</f>
        <v>0</v>
      </c>
      <c r="DH142" s="82"/>
      <c r="DI142" s="82"/>
      <c r="DJ142" s="82"/>
      <c r="DK142" s="82"/>
      <c r="DL142" s="82">
        <f>sum(DH142:DK142)</f>
        <v>0</v>
      </c>
      <c r="DM142" s="82">
        <f>DL142*E142</f>
        <v>0</v>
      </c>
      <c r="DN142" s="82">
        <f>DA142+DF142-DL142</f>
        <v>1</v>
      </c>
      <c r="DO142" s="82">
        <f>DN142*E142</f>
        <v>77700</v>
      </c>
      <c r="DP142" s="82"/>
      <c r="DQ142" s="82"/>
      <c r="DR142" s="82">
        <f>sum(DP142:DQ142)</f>
        <v>0</v>
      </c>
      <c r="DS142" s="82">
        <f>DR142*AB142</f>
        <v>0</v>
      </c>
      <c r="DT142" s="82"/>
      <c r="DU142" s="82"/>
      <c r="DV142" s="82"/>
      <c r="DW142" s="82"/>
      <c r="DX142" s="82">
        <f>sum(DT142:DW142)</f>
        <v>0</v>
      </c>
      <c r="DY142" s="82">
        <f>DX142*AB142</f>
        <v>0</v>
      </c>
      <c r="DZ142" s="82">
        <f>DN142+DR142-DX142</f>
        <v>1</v>
      </c>
      <c r="EA142" s="82">
        <f>DZ142*E142</f>
        <v>77700</v>
      </c>
      <c r="EB142" s="82"/>
      <c r="EC142" s="82"/>
      <c r="ED142" s="82">
        <f>sum(EB142:EC142)</f>
        <v>0</v>
      </c>
      <c r="EE142" s="82">
        <f>ED142*AN142</f>
        <v>0</v>
      </c>
      <c r="EF142" s="82"/>
      <c r="EG142" s="82"/>
      <c r="EH142" s="82"/>
      <c r="EI142" s="82"/>
      <c r="EJ142" s="82">
        <f>sum(EF142:EI142)</f>
        <v>0</v>
      </c>
      <c r="EK142" s="82">
        <f>EJ142*AN142</f>
        <v>0</v>
      </c>
      <c r="EL142" s="82">
        <f>DZ142+ED142-EJ142</f>
        <v>1</v>
      </c>
      <c r="EM142" s="82">
        <f>EL142*E142</f>
        <v>77700</v>
      </c>
      <c r="EN142" s="82">
        <f>DF142+DR142+ED142</f>
        <v>0</v>
      </c>
      <c r="EO142" s="82">
        <f>DL142+DX142+EJ142</f>
        <v>0</v>
      </c>
      <c r="EP142" s="82">
        <f>DA142+EN142-EO142</f>
        <v>1</v>
      </c>
      <c r="EQ142" s="82">
        <f>EP142*E142</f>
        <v>77700</v>
      </c>
      <c r="ER142" s="82"/>
      <c r="ES142" s="82"/>
      <c r="ET142" s="82">
        <f>sum(ER142:ES142)</f>
        <v>0</v>
      </c>
      <c r="EU142" s="82">
        <f>ET142*BE142</f>
        <v>0</v>
      </c>
      <c r="EV142" s="82"/>
      <c r="EW142" s="82"/>
      <c r="EX142" s="82"/>
      <c r="EY142" s="82"/>
      <c r="EZ142" s="82">
        <f>sum(EV142:EY142)</f>
        <v>0</v>
      </c>
      <c r="FA142" s="82">
        <f>EZ142*BE142</f>
        <v>0</v>
      </c>
      <c r="FB142" s="82">
        <f>EP142+ET142-EZ142</f>
        <v>1</v>
      </c>
      <c r="FC142" s="82">
        <f>FB142*E142</f>
        <v>77700</v>
      </c>
      <c r="FD142" s="82"/>
      <c r="FE142" s="82"/>
      <c r="FF142" s="82">
        <f>sum(FD142:FE142)</f>
        <v>0</v>
      </c>
      <c r="FG142" s="82">
        <f>FF142*BW142</f>
        <v>0</v>
      </c>
      <c r="FH142" s="82"/>
      <c r="FI142" s="82"/>
      <c r="FJ142" s="82"/>
      <c r="FK142" s="82"/>
      <c r="FL142" s="82">
        <f>sum(FH142:FK142)</f>
        <v>0</v>
      </c>
      <c r="FM142" s="82">
        <f>FL142*BW142</f>
        <v>0</v>
      </c>
      <c r="FN142" s="82">
        <f>FB142+FF142-FL142</f>
        <v>1</v>
      </c>
      <c r="FO142" s="82">
        <f>FN142*E142</f>
        <v>77700</v>
      </c>
      <c r="FP142" s="82"/>
      <c r="FQ142" s="82"/>
      <c r="FR142" s="82">
        <f>sum(FP142:FQ142)</f>
        <v>0</v>
      </c>
      <c r="FS142" s="82">
        <f>FR142*CI142</f>
        <v>0</v>
      </c>
      <c r="FT142" s="82"/>
      <c r="FU142" s="82"/>
      <c r="FV142" s="82"/>
      <c r="FW142" s="82"/>
      <c r="FX142" s="82">
        <f>sum(FT142:FW142)</f>
        <v>0</v>
      </c>
      <c r="FY142" s="82">
        <f>FX142*CI142</f>
        <v>0</v>
      </c>
      <c r="FZ142" s="82">
        <f>FN142+FR142-FX142</f>
        <v>1</v>
      </c>
      <c r="GA142" s="82">
        <f>FZ142*E142</f>
        <v>77700</v>
      </c>
      <c r="GB142" s="82">
        <f>ET142+FF142+FR142</f>
        <v>0</v>
      </c>
      <c r="GC142" s="82">
        <f>EZ142+FL142+FX142</f>
        <v>0</v>
      </c>
      <c r="GD142" s="82">
        <f>EP142+GB142-GC142</f>
        <v>1</v>
      </c>
      <c r="GE142" s="82">
        <f>GD142*E142</f>
        <v>77700</v>
      </c>
      <c r="GF142" s="95"/>
    </row>
    <row r="143" ht="29.25" customHeight="1">
      <c r="A143" s="96"/>
      <c r="B143" s="97"/>
      <c r="C143" s="100"/>
      <c r="D143" s="89" t="s">
        <v>202</v>
      </c>
      <c r="E143" s="86">
        <v>111000.0</v>
      </c>
      <c r="F143" s="80" t="s">
        <v>203</v>
      </c>
      <c r="G143" s="90">
        <v>1.0</v>
      </c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>
        <f t="shared" si="452"/>
        <v>1</v>
      </c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>
        <f t="shared" si="458"/>
        <v>1</v>
      </c>
      <c r="AQ143" s="82">
        <f>AP143*E142</f>
        <v>77700</v>
      </c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>
        <f t="shared" si="464"/>
        <v>1</v>
      </c>
      <c r="BD143" s="82">
        <f>BC143*E142</f>
        <v>77700</v>
      </c>
      <c r="BE143" s="82"/>
      <c r="BF143" s="82"/>
      <c r="BG143" s="82">
        <f t="shared" si="468"/>
        <v>1</v>
      </c>
      <c r="BH143" s="83">
        <v>0.0</v>
      </c>
      <c r="BI143" s="82"/>
      <c r="BJ143" s="83"/>
      <c r="BK143" s="82"/>
      <c r="BL143" s="82"/>
      <c r="BM143" s="82"/>
      <c r="BN143" s="82"/>
      <c r="BO143" s="82"/>
      <c r="BP143" s="83"/>
      <c r="BQ143" s="82"/>
      <c r="BR143" s="82"/>
      <c r="BS143" s="83"/>
      <c r="BT143" s="82"/>
      <c r="BU143" s="82"/>
      <c r="BV143" s="82"/>
      <c r="BW143" s="82"/>
      <c r="BX143" s="82"/>
      <c r="BY143" s="82">
        <f t="shared" si="474"/>
        <v>1</v>
      </c>
      <c r="BZ143" s="82">
        <f>BY143*E142</f>
        <v>77700</v>
      </c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>
        <f t="shared" si="480"/>
        <v>1</v>
      </c>
      <c r="CL143" s="82">
        <f>CK143*E142</f>
        <v>77700</v>
      </c>
      <c r="CM143" s="83">
        <v>2.0</v>
      </c>
      <c r="CN143" s="82"/>
      <c r="CO143" s="82">
        <f t="shared" si="35"/>
        <v>2</v>
      </c>
      <c r="CP143" s="82">
        <f t="shared" si="36"/>
        <v>222000</v>
      </c>
      <c r="CQ143" s="82"/>
      <c r="CR143" s="82"/>
      <c r="CS143" s="82"/>
      <c r="CT143" s="82"/>
      <c r="CU143" s="82"/>
      <c r="CV143" s="82"/>
      <c r="CW143" s="82">
        <f t="shared" si="39"/>
        <v>3</v>
      </c>
      <c r="CX143" s="82">
        <f>(CO143*E143)+(CK143*E142)</f>
        <v>299700</v>
      </c>
      <c r="CY143" s="82">
        <f t="shared" si="41"/>
        <v>2</v>
      </c>
      <c r="CZ143" s="82">
        <f t="shared" si="345"/>
        <v>0</v>
      </c>
      <c r="DA143" s="82">
        <f t="shared" si="43"/>
        <v>3</v>
      </c>
      <c r="DB143" s="82">
        <f t="shared" si="44"/>
        <v>333000</v>
      </c>
      <c r="DC143" s="91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82"/>
      <c r="DZ143" s="82"/>
      <c r="EA143" s="82"/>
      <c r="EB143" s="82"/>
      <c r="EC143" s="82"/>
      <c r="ED143" s="82"/>
      <c r="EE143" s="82"/>
      <c r="EF143" s="82"/>
      <c r="EG143" s="82"/>
      <c r="EH143" s="82"/>
      <c r="EI143" s="82"/>
      <c r="EJ143" s="82"/>
      <c r="EK143" s="82"/>
      <c r="EL143" s="82"/>
      <c r="EM143" s="82"/>
      <c r="EN143" s="82"/>
      <c r="EO143" s="82"/>
      <c r="EP143" s="82"/>
      <c r="EQ143" s="82"/>
      <c r="ER143" s="82"/>
      <c r="ES143" s="82"/>
      <c r="ET143" s="82"/>
      <c r="EU143" s="82"/>
      <c r="EV143" s="82"/>
      <c r="EW143" s="82"/>
      <c r="EX143" s="82"/>
      <c r="EY143" s="82"/>
      <c r="EZ143" s="82"/>
      <c r="FA143" s="82"/>
      <c r="FB143" s="82"/>
      <c r="FC143" s="82"/>
      <c r="FD143" s="82"/>
      <c r="FE143" s="82"/>
      <c r="FF143" s="82"/>
      <c r="FG143" s="82"/>
      <c r="FH143" s="82"/>
      <c r="FI143" s="82"/>
      <c r="FJ143" s="82"/>
      <c r="FK143" s="82"/>
      <c r="FL143" s="82"/>
      <c r="FM143" s="82"/>
      <c r="FN143" s="82"/>
      <c r="FO143" s="82"/>
      <c r="FP143" s="82"/>
      <c r="FQ143" s="82"/>
      <c r="FR143" s="82"/>
      <c r="FS143" s="82"/>
      <c r="FT143" s="82"/>
      <c r="FU143" s="82"/>
      <c r="FV143" s="82"/>
      <c r="FW143" s="82"/>
      <c r="FX143" s="82"/>
      <c r="FY143" s="82"/>
      <c r="FZ143" s="82"/>
      <c r="GA143" s="82"/>
      <c r="GB143" s="82"/>
      <c r="GC143" s="82"/>
      <c r="GD143" s="82"/>
      <c r="GE143" s="82"/>
      <c r="GF143" s="85"/>
    </row>
    <row r="144" ht="29.25" customHeight="1">
      <c r="A144" s="96">
        <v>79.0</v>
      </c>
      <c r="B144" s="96"/>
      <c r="C144" s="88" t="s">
        <v>205</v>
      </c>
      <c r="D144" s="78" t="s">
        <v>118</v>
      </c>
      <c r="E144" s="86">
        <v>77700.0</v>
      </c>
      <c r="F144" s="80" t="s">
        <v>94</v>
      </c>
      <c r="G144" s="93">
        <v>2.0</v>
      </c>
      <c r="H144" s="94">
        <v>155400.0</v>
      </c>
      <c r="I144" s="82"/>
      <c r="J144" s="82"/>
      <c r="K144" s="82">
        <f>SUM(I144:J144)</f>
        <v>0</v>
      </c>
      <c r="L144" s="82">
        <f>K144*E144</f>
        <v>0</v>
      </c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>
        <f>SUM(M144:AA144)</f>
        <v>0</v>
      </c>
      <c r="AC144" s="82">
        <f>AB144*E144</f>
        <v>0</v>
      </c>
      <c r="AD144" s="82">
        <f t="shared" si="452"/>
        <v>2</v>
      </c>
      <c r="AE144" s="82">
        <f>AD144*E144</f>
        <v>155400</v>
      </c>
      <c r="AF144" s="82"/>
      <c r="AG144" s="82"/>
      <c r="AH144" s="82">
        <f>SUM(AF144:AG144)</f>
        <v>0</v>
      </c>
      <c r="AI144" s="82">
        <f>AH144*E144</f>
        <v>0</v>
      </c>
      <c r="AJ144" s="82"/>
      <c r="AK144" s="82"/>
      <c r="AL144" s="82"/>
      <c r="AM144" s="82"/>
      <c r="AN144" s="82">
        <f>SUM(AJ144:AM144)</f>
        <v>0</v>
      </c>
      <c r="AO144" s="82">
        <f>AN144*E144</f>
        <v>0</v>
      </c>
      <c r="AP144" s="82">
        <f t="shared" si="458"/>
        <v>2</v>
      </c>
      <c r="AQ144" s="82">
        <f>AP144*E144</f>
        <v>155400</v>
      </c>
      <c r="AR144" s="82"/>
      <c r="AS144" s="82"/>
      <c r="AT144" s="82"/>
      <c r="AU144" s="82">
        <f>SUM(AS144:AT144)</f>
        <v>0</v>
      </c>
      <c r="AV144" s="82">
        <f>AU144*AB144</f>
        <v>0</v>
      </c>
      <c r="AW144" s="82"/>
      <c r="AX144" s="82"/>
      <c r="AY144" s="82"/>
      <c r="AZ144" s="82"/>
      <c r="BA144" s="82">
        <f>SUM(AW144:AZ144)</f>
        <v>0</v>
      </c>
      <c r="BB144" s="82">
        <f>BA144*AB144</f>
        <v>0</v>
      </c>
      <c r="BC144" s="82">
        <f t="shared" si="464"/>
        <v>2</v>
      </c>
      <c r="BD144" s="82">
        <f>BC144*E144</f>
        <v>155400</v>
      </c>
      <c r="BE144" s="82">
        <f>K144+AH144+AU144</f>
        <v>0</v>
      </c>
      <c r="BF144" s="82">
        <f>AB144+AN144+BA144</f>
        <v>0</v>
      </c>
      <c r="BG144" s="82">
        <f t="shared" si="468"/>
        <v>2</v>
      </c>
      <c r="BH144" s="82">
        <f>BG144*E144</f>
        <v>155400</v>
      </c>
      <c r="BI144" s="82"/>
      <c r="BJ144" s="83"/>
      <c r="BK144" s="82">
        <f>SUM(BI144:BJ144)</f>
        <v>0</v>
      </c>
      <c r="BL144" s="82">
        <f>BK144*E144</f>
        <v>0</v>
      </c>
      <c r="BM144" s="82"/>
      <c r="BN144" s="82"/>
      <c r="BO144" s="82"/>
      <c r="BP144" s="82"/>
      <c r="BQ144" s="82"/>
      <c r="BR144" s="82"/>
      <c r="BS144" s="83">
        <v>1.0</v>
      </c>
      <c r="BT144" s="82"/>
      <c r="BU144" s="82"/>
      <c r="BV144" s="82"/>
      <c r="BW144" s="82">
        <f>SUM(BM144:BV144)</f>
        <v>1</v>
      </c>
      <c r="BX144" s="82">
        <f>BW144*E144</f>
        <v>77700</v>
      </c>
      <c r="BY144" s="82">
        <f t="shared" si="474"/>
        <v>1</v>
      </c>
      <c r="BZ144" s="82">
        <f>BY144*E144</f>
        <v>77700</v>
      </c>
      <c r="CA144" s="82"/>
      <c r="CB144" s="82"/>
      <c r="CC144" s="82">
        <f>sum(CA144:CB144)</f>
        <v>0</v>
      </c>
      <c r="CD144" s="82">
        <f>CC144*E144</f>
        <v>0</v>
      </c>
      <c r="CE144" s="82"/>
      <c r="CF144" s="82"/>
      <c r="CG144" s="82"/>
      <c r="CH144" s="82"/>
      <c r="CI144" s="82">
        <f>sum(CE144:CH144)</f>
        <v>0</v>
      </c>
      <c r="CJ144" s="82">
        <f>CI144*E144</f>
        <v>0</v>
      </c>
      <c r="CK144" s="82">
        <f t="shared" si="480"/>
        <v>1</v>
      </c>
      <c r="CL144" s="82">
        <f>CK144*E144</f>
        <v>77700</v>
      </c>
      <c r="CM144" s="82"/>
      <c r="CN144" s="82"/>
      <c r="CO144" s="82">
        <f t="shared" si="35"/>
        <v>0</v>
      </c>
      <c r="CP144" s="82">
        <f t="shared" si="36"/>
        <v>0</v>
      </c>
      <c r="CQ144" s="82"/>
      <c r="CR144" s="82"/>
      <c r="CS144" s="82"/>
      <c r="CT144" s="82"/>
      <c r="CU144" s="82">
        <f>sum(CQ144:CT144)</f>
        <v>0</v>
      </c>
      <c r="CV144" s="82">
        <f>CU144*E144</f>
        <v>0</v>
      </c>
      <c r="CW144" s="82">
        <f t="shared" si="39"/>
        <v>1</v>
      </c>
      <c r="CX144" s="82">
        <f>CW144*E144</f>
        <v>77700</v>
      </c>
      <c r="CY144" s="82">
        <f t="shared" si="41"/>
        <v>0</v>
      </c>
      <c r="CZ144" s="82">
        <f t="shared" si="345"/>
        <v>1</v>
      </c>
      <c r="DA144" s="82">
        <f t="shared" si="43"/>
        <v>1</v>
      </c>
      <c r="DB144" s="82">
        <f t="shared" si="44"/>
        <v>77700</v>
      </c>
      <c r="DC144" s="84">
        <v>2.0</v>
      </c>
      <c r="DD144" s="82"/>
      <c r="DE144" s="82"/>
      <c r="DF144" s="82">
        <f>sum(DD144:DE144)</f>
        <v>0</v>
      </c>
      <c r="DG144" s="82">
        <f>DF144*E144</f>
        <v>0</v>
      </c>
      <c r="DH144" s="82"/>
      <c r="DI144" s="82"/>
      <c r="DJ144" s="82"/>
      <c r="DK144" s="82"/>
      <c r="DL144" s="82">
        <f>sum(DH144:DK144)</f>
        <v>0</v>
      </c>
      <c r="DM144" s="82">
        <f>DL144*E144</f>
        <v>0</v>
      </c>
      <c r="DN144" s="82">
        <f>DA144+DF144-DL144</f>
        <v>1</v>
      </c>
      <c r="DO144" s="82">
        <f>DN144*E144</f>
        <v>77700</v>
      </c>
      <c r="DP144" s="82"/>
      <c r="DQ144" s="82"/>
      <c r="DR144" s="82">
        <f>sum(DP144:DQ144)</f>
        <v>0</v>
      </c>
      <c r="DS144" s="82">
        <f>DR144*AB144</f>
        <v>0</v>
      </c>
      <c r="DT144" s="82"/>
      <c r="DU144" s="82"/>
      <c r="DV144" s="82"/>
      <c r="DW144" s="82"/>
      <c r="DX144" s="82">
        <f>sum(DT144:DW144)</f>
        <v>0</v>
      </c>
      <c r="DY144" s="82">
        <f>DX144*AB144</f>
        <v>0</v>
      </c>
      <c r="DZ144" s="82">
        <f>DN144+DR144-DX144</f>
        <v>1</v>
      </c>
      <c r="EA144" s="82">
        <f>DZ144*E144</f>
        <v>77700</v>
      </c>
      <c r="EB144" s="82"/>
      <c r="EC144" s="82"/>
      <c r="ED144" s="82">
        <f>sum(EB144:EC144)</f>
        <v>0</v>
      </c>
      <c r="EE144" s="82">
        <f>ED144*AN144</f>
        <v>0</v>
      </c>
      <c r="EF144" s="82"/>
      <c r="EG144" s="82"/>
      <c r="EH144" s="82"/>
      <c r="EI144" s="82"/>
      <c r="EJ144" s="82">
        <f>sum(EF144:EI144)</f>
        <v>0</v>
      </c>
      <c r="EK144" s="82">
        <f>EJ144*AN144</f>
        <v>0</v>
      </c>
      <c r="EL144" s="82">
        <f>DZ144+ED144-EJ144</f>
        <v>1</v>
      </c>
      <c r="EM144" s="82">
        <f>EL144*E144</f>
        <v>77700</v>
      </c>
      <c r="EN144" s="82">
        <f>DF144+DR144+ED144</f>
        <v>0</v>
      </c>
      <c r="EO144" s="82">
        <f>DL144+DX144+EJ144</f>
        <v>0</v>
      </c>
      <c r="EP144" s="82">
        <f>DA144+EN144-EO144</f>
        <v>1</v>
      </c>
      <c r="EQ144" s="82">
        <f>EP144*E144</f>
        <v>77700</v>
      </c>
      <c r="ER144" s="82"/>
      <c r="ES144" s="82"/>
      <c r="ET144" s="82">
        <f>sum(ER144:ES144)</f>
        <v>0</v>
      </c>
      <c r="EU144" s="82">
        <f>ET144*BE144</f>
        <v>0</v>
      </c>
      <c r="EV144" s="82"/>
      <c r="EW144" s="82"/>
      <c r="EX144" s="82"/>
      <c r="EY144" s="82"/>
      <c r="EZ144" s="82">
        <f>sum(EV144:EY144)</f>
        <v>0</v>
      </c>
      <c r="FA144" s="82">
        <f>EZ144*BE144</f>
        <v>0</v>
      </c>
      <c r="FB144" s="82">
        <f>EP144+ET144-EZ144</f>
        <v>1</v>
      </c>
      <c r="FC144" s="82">
        <f>FB144*E144</f>
        <v>77700</v>
      </c>
      <c r="FD144" s="82"/>
      <c r="FE144" s="82"/>
      <c r="FF144" s="82">
        <f>sum(FD144:FE144)</f>
        <v>0</v>
      </c>
      <c r="FG144" s="82">
        <f>FF144*BW144</f>
        <v>0</v>
      </c>
      <c r="FH144" s="82"/>
      <c r="FI144" s="82"/>
      <c r="FJ144" s="82"/>
      <c r="FK144" s="82"/>
      <c r="FL144" s="82">
        <f>sum(FH144:FK144)</f>
        <v>0</v>
      </c>
      <c r="FM144" s="82">
        <f>FL144*BW144</f>
        <v>0</v>
      </c>
      <c r="FN144" s="82">
        <f>FB144+FF144-FL144</f>
        <v>1</v>
      </c>
      <c r="FO144" s="82">
        <f>FN144*E144</f>
        <v>77700</v>
      </c>
      <c r="FP144" s="82"/>
      <c r="FQ144" s="82"/>
      <c r="FR144" s="82">
        <f>sum(FP144:FQ144)</f>
        <v>0</v>
      </c>
      <c r="FS144" s="82">
        <f>FR144*CI144</f>
        <v>0</v>
      </c>
      <c r="FT144" s="82"/>
      <c r="FU144" s="82"/>
      <c r="FV144" s="82"/>
      <c r="FW144" s="82"/>
      <c r="FX144" s="82">
        <f>sum(FT144:FW144)</f>
        <v>0</v>
      </c>
      <c r="FY144" s="82">
        <f>FX144*CI144</f>
        <v>0</v>
      </c>
      <c r="FZ144" s="82">
        <f>FN144+FR144-FX144</f>
        <v>1</v>
      </c>
      <c r="GA144" s="82">
        <f>FZ144*E144</f>
        <v>77700</v>
      </c>
      <c r="GB144" s="82">
        <f>ET144+FF144+FR144</f>
        <v>0</v>
      </c>
      <c r="GC144" s="82">
        <f>EZ144+FL144+FX144</f>
        <v>0</v>
      </c>
      <c r="GD144" s="82">
        <f>EP144+GB144-GC144</f>
        <v>1</v>
      </c>
      <c r="GE144" s="82">
        <f>GD144*E144</f>
        <v>77700</v>
      </c>
      <c r="GF144" s="95"/>
    </row>
    <row r="145" ht="29.25" customHeight="1">
      <c r="A145" s="96"/>
      <c r="B145" s="97"/>
      <c r="C145" s="100"/>
      <c r="D145" s="89" t="s">
        <v>202</v>
      </c>
      <c r="E145" s="86">
        <v>111000.0</v>
      </c>
      <c r="F145" s="80" t="s">
        <v>203</v>
      </c>
      <c r="G145" s="90">
        <v>1.0</v>
      </c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>
        <f t="shared" si="452"/>
        <v>1</v>
      </c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>
        <f t="shared" si="458"/>
        <v>1</v>
      </c>
      <c r="AQ145" s="82">
        <f>AP145*E144</f>
        <v>77700</v>
      </c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>
        <f t="shared" si="464"/>
        <v>1</v>
      </c>
      <c r="BD145" s="82">
        <f>BC145*E144</f>
        <v>77700</v>
      </c>
      <c r="BE145" s="82"/>
      <c r="BF145" s="82"/>
      <c r="BG145" s="82">
        <f t="shared" si="468"/>
        <v>1</v>
      </c>
      <c r="BH145" s="83">
        <v>0.0</v>
      </c>
      <c r="BI145" s="82"/>
      <c r="BJ145" s="83"/>
      <c r="BK145" s="82"/>
      <c r="BL145" s="82"/>
      <c r="BM145" s="82"/>
      <c r="BN145" s="82"/>
      <c r="BO145" s="82"/>
      <c r="BP145" s="83"/>
      <c r="BQ145" s="82"/>
      <c r="BR145" s="82"/>
      <c r="BS145" s="83"/>
      <c r="BT145" s="82"/>
      <c r="BU145" s="82"/>
      <c r="BV145" s="82"/>
      <c r="BW145" s="82"/>
      <c r="BX145" s="82"/>
      <c r="BY145" s="82">
        <f t="shared" si="474"/>
        <v>1</v>
      </c>
      <c r="BZ145" s="82">
        <f>BY145*E144</f>
        <v>77700</v>
      </c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>
        <f t="shared" si="480"/>
        <v>1</v>
      </c>
      <c r="CL145" s="82">
        <f>CK145*E144</f>
        <v>77700</v>
      </c>
      <c r="CM145" s="83">
        <v>2.0</v>
      </c>
      <c r="CN145" s="82"/>
      <c r="CO145" s="82">
        <f t="shared" si="35"/>
        <v>2</v>
      </c>
      <c r="CP145" s="82">
        <f t="shared" si="36"/>
        <v>222000</v>
      </c>
      <c r="CQ145" s="82"/>
      <c r="CR145" s="82"/>
      <c r="CS145" s="82"/>
      <c r="CT145" s="82"/>
      <c r="CU145" s="82"/>
      <c r="CV145" s="82"/>
      <c r="CW145" s="82">
        <f t="shared" si="39"/>
        <v>3</v>
      </c>
      <c r="CX145" s="82">
        <f>(CO145*E145)+(CK145*E144)</f>
        <v>299700</v>
      </c>
      <c r="CY145" s="82">
        <f t="shared" si="41"/>
        <v>2</v>
      </c>
      <c r="CZ145" s="82">
        <f t="shared" si="345"/>
        <v>0</v>
      </c>
      <c r="DA145" s="82">
        <f t="shared" si="43"/>
        <v>3</v>
      </c>
      <c r="DB145" s="82">
        <f t="shared" si="44"/>
        <v>333000</v>
      </c>
      <c r="DC145" s="91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82"/>
      <c r="DZ145" s="82"/>
      <c r="EA145" s="82"/>
      <c r="EB145" s="82"/>
      <c r="EC145" s="82"/>
      <c r="ED145" s="82"/>
      <c r="EE145" s="82"/>
      <c r="EF145" s="82"/>
      <c r="EG145" s="82"/>
      <c r="EH145" s="82"/>
      <c r="EI145" s="82"/>
      <c r="EJ145" s="82"/>
      <c r="EK145" s="82"/>
      <c r="EL145" s="82"/>
      <c r="EM145" s="82"/>
      <c r="EN145" s="82"/>
      <c r="EO145" s="82"/>
      <c r="EP145" s="82"/>
      <c r="EQ145" s="82"/>
      <c r="ER145" s="82"/>
      <c r="ES145" s="82"/>
      <c r="ET145" s="82"/>
      <c r="EU145" s="82"/>
      <c r="EV145" s="82"/>
      <c r="EW145" s="82"/>
      <c r="EX145" s="82"/>
      <c r="EY145" s="82"/>
      <c r="EZ145" s="82"/>
      <c r="FA145" s="82"/>
      <c r="FB145" s="82"/>
      <c r="FC145" s="82"/>
      <c r="FD145" s="82"/>
      <c r="FE145" s="82"/>
      <c r="FF145" s="82"/>
      <c r="FG145" s="82"/>
      <c r="FH145" s="82"/>
      <c r="FI145" s="82"/>
      <c r="FJ145" s="82"/>
      <c r="FK145" s="82"/>
      <c r="FL145" s="82"/>
      <c r="FM145" s="82"/>
      <c r="FN145" s="82"/>
      <c r="FO145" s="82"/>
      <c r="FP145" s="82"/>
      <c r="FQ145" s="82"/>
      <c r="FR145" s="82"/>
      <c r="FS145" s="82"/>
      <c r="FT145" s="82"/>
      <c r="FU145" s="82"/>
      <c r="FV145" s="82"/>
      <c r="FW145" s="82"/>
      <c r="FX145" s="82"/>
      <c r="FY145" s="82"/>
      <c r="FZ145" s="82"/>
      <c r="GA145" s="82"/>
      <c r="GB145" s="82"/>
      <c r="GC145" s="82"/>
      <c r="GD145" s="82"/>
      <c r="GE145" s="82"/>
      <c r="GF145" s="85"/>
    </row>
    <row r="146" ht="29.25" customHeight="1">
      <c r="A146" s="96">
        <v>80.0</v>
      </c>
      <c r="B146" s="96"/>
      <c r="C146" s="88" t="s">
        <v>206</v>
      </c>
      <c r="D146" s="78" t="s">
        <v>118</v>
      </c>
      <c r="E146" s="79">
        <v>77700.0</v>
      </c>
      <c r="F146" s="61" t="s">
        <v>94</v>
      </c>
      <c r="G146" s="93">
        <v>2.0</v>
      </c>
      <c r="H146" s="94">
        <v>155400.0</v>
      </c>
      <c r="I146" s="82"/>
      <c r="J146" s="82"/>
      <c r="K146" s="82">
        <f>SUM(I146:J146)</f>
        <v>0</v>
      </c>
      <c r="L146" s="82">
        <f>K146*E146</f>
        <v>0</v>
      </c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>
        <f>SUM(M146:AA146)</f>
        <v>0</v>
      </c>
      <c r="AC146" s="82">
        <f>AB146*E146</f>
        <v>0</v>
      </c>
      <c r="AD146" s="82">
        <f t="shared" si="452"/>
        <v>2</v>
      </c>
      <c r="AE146" s="82">
        <f>AD146*E146</f>
        <v>155400</v>
      </c>
      <c r="AF146" s="82"/>
      <c r="AG146" s="82"/>
      <c r="AH146" s="82">
        <f>SUM(AF146:AG146)</f>
        <v>0</v>
      </c>
      <c r="AI146" s="82">
        <f>AH146*E146</f>
        <v>0</v>
      </c>
      <c r="AJ146" s="82"/>
      <c r="AK146" s="82"/>
      <c r="AL146" s="82"/>
      <c r="AM146" s="82"/>
      <c r="AN146" s="82">
        <f>SUM(AJ146:AM146)</f>
        <v>0</v>
      </c>
      <c r="AO146" s="82">
        <f>AN146*E146</f>
        <v>0</v>
      </c>
      <c r="AP146" s="82">
        <f t="shared" si="458"/>
        <v>2</v>
      </c>
      <c r="AQ146" s="82">
        <f>AP146*E146</f>
        <v>155400</v>
      </c>
      <c r="AR146" s="82"/>
      <c r="AS146" s="82"/>
      <c r="AT146" s="82"/>
      <c r="AU146" s="82">
        <f>SUM(AS146:AT146)</f>
        <v>0</v>
      </c>
      <c r="AV146" s="82">
        <f>AU146*AB146</f>
        <v>0</v>
      </c>
      <c r="AW146" s="82"/>
      <c r="AX146" s="82"/>
      <c r="AY146" s="82"/>
      <c r="AZ146" s="82"/>
      <c r="BA146" s="82">
        <f>SUM(AW146:AZ146)</f>
        <v>0</v>
      </c>
      <c r="BB146" s="82">
        <f>BA146*AB146</f>
        <v>0</v>
      </c>
      <c r="BC146" s="82">
        <f t="shared" si="464"/>
        <v>2</v>
      </c>
      <c r="BD146" s="82">
        <f>BC146*E146</f>
        <v>155400</v>
      </c>
      <c r="BE146" s="82">
        <f>K146+AH146+AU146</f>
        <v>0</v>
      </c>
      <c r="BF146" s="82">
        <f>AB146+AN146+BA146</f>
        <v>0</v>
      </c>
      <c r="BG146" s="82">
        <f t="shared" si="468"/>
        <v>2</v>
      </c>
      <c r="BH146" s="82">
        <f>BG146*E146</f>
        <v>155400</v>
      </c>
      <c r="BI146" s="82"/>
      <c r="BJ146" s="83"/>
      <c r="BK146" s="82">
        <f>SUM(BI146:BJ146)</f>
        <v>0</v>
      </c>
      <c r="BL146" s="82">
        <f>BK146*E146</f>
        <v>0</v>
      </c>
      <c r="BM146" s="82"/>
      <c r="BN146" s="82"/>
      <c r="BO146" s="82"/>
      <c r="BP146" s="82"/>
      <c r="BQ146" s="82"/>
      <c r="BR146" s="82"/>
      <c r="BS146" s="83">
        <v>1.0</v>
      </c>
      <c r="BT146" s="82"/>
      <c r="BU146" s="82"/>
      <c r="BV146" s="82"/>
      <c r="BW146" s="82">
        <f>SUM(BM146:BV146)</f>
        <v>1</v>
      </c>
      <c r="BX146" s="82">
        <f>BW146*E146</f>
        <v>77700</v>
      </c>
      <c r="BY146" s="82">
        <f t="shared" si="474"/>
        <v>1</v>
      </c>
      <c r="BZ146" s="82">
        <f>BY146*E146</f>
        <v>77700</v>
      </c>
      <c r="CA146" s="82"/>
      <c r="CB146" s="82"/>
      <c r="CC146" s="82">
        <f>sum(CA146:CB146)</f>
        <v>0</v>
      </c>
      <c r="CD146" s="82">
        <f>CC146*E146</f>
        <v>0</v>
      </c>
      <c r="CE146" s="82"/>
      <c r="CF146" s="82"/>
      <c r="CG146" s="82"/>
      <c r="CH146" s="82"/>
      <c r="CI146" s="82">
        <f>sum(CE146:CH146)</f>
        <v>0</v>
      </c>
      <c r="CJ146" s="82">
        <f>CI146*E146</f>
        <v>0</v>
      </c>
      <c r="CK146" s="82">
        <f t="shared" si="480"/>
        <v>1</v>
      </c>
      <c r="CL146" s="82">
        <f>CK146*E146</f>
        <v>77700</v>
      </c>
      <c r="CM146" s="82"/>
      <c r="CN146" s="82"/>
      <c r="CO146" s="82">
        <f t="shared" si="35"/>
        <v>0</v>
      </c>
      <c r="CP146" s="82">
        <f t="shared" si="36"/>
        <v>0</v>
      </c>
      <c r="CQ146" s="82"/>
      <c r="CR146" s="82"/>
      <c r="CS146" s="82"/>
      <c r="CT146" s="82"/>
      <c r="CU146" s="82">
        <f>sum(CQ146:CT146)</f>
        <v>0</v>
      </c>
      <c r="CV146" s="82">
        <f>CU146*E146</f>
        <v>0</v>
      </c>
      <c r="CW146" s="82">
        <f t="shared" si="39"/>
        <v>1</v>
      </c>
      <c r="CX146" s="82">
        <f>CW146*E146</f>
        <v>77700</v>
      </c>
      <c r="CY146" s="82">
        <f t="shared" si="41"/>
        <v>0</v>
      </c>
      <c r="CZ146" s="82">
        <f t="shared" si="345"/>
        <v>1</v>
      </c>
      <c r="DA146" s="82">
        <f t="shared" si="43"/>
        <v>1</v>
      </c>
      <c r="DB146" s="82">
        <f t="shared" si="44"/>
        <v>77700</v>
      </c>
      <c r="DC146" s="84">
        <v>2.0</v>
      </c>
      <c r="DD146" s="82"/>
      <c r="DE146" s="82"/>
      <c r="DF146" s="82">
        <f>sum(DD146:DE146)</f>
        <v>0</v>
      </c>
      <c r="DG146" s="82">
        <f>DF146*E146</f>
        <v>0</v>
      </c>
      <c r="DH146" s="82"/>
      <c r="DI146" s="82"/>
      <c r="DJ146" s="82"/>
      <c r="DK146" s="82"/>
      <c r="DL146" s="82">
        <f>sum(DH146:DK146)</f>
        <v>0</v>
      </c>
      <c r="DM146" s="82">
        <f>DL146*E146</f>
        <v>0</v>
      </c>
      <c r="DN146" s="82">
        <f>DA146+DF146-DL146</f>
        <v>1</v>
      </c>
      <c r="DO146" s="82">
        <f>DN146*E146</f>
        <v>77700</v>
      </c>
      <c r="DP146" s="82"/>
      <c r="DQ146" s="82"/>
      <c r="DR146" s="82">
        <f>sum(DP146:DQ146)</f>
        <v>0</v>
      </c>
      <c r="DS146" s="82">
        <f>DR146*AB146</f>
        <v>0</v>
      </c>
      <c r="DT146" s="82"/>
      <c r="DU146" s="82"/>
      <c r="DV146" s="82"/>
      <c r="DW146" s="82"/>
      <c r="DX146" s="82">
        <f>sum(DT146:DW146)</f>
        <v>0</v>
      </c>
      <c r="DY146" s="82">
        <f>DX146*AB146</f>
        <v>0</v>
      </c>
      <c r="DZ146" s="82">
        <f>DN146+DR146-DX146</f>
        <v>1</v>
      </c>
      <c r="EA146" s="82">
        <f>DZ146*E146</f>
        <v>77700</v>
      </c>
      <c r="EB146" s="82"/>
      <c r="EC146" s="82"/>
      <c r="ED146" s="82">
        <f>sum(EB146:EC146)</f>
        <v>0</v>
      </c>
      <c r="EE146" s="82">
        <f>ED146*AN146</f>
        <v>0</v>
      </c>
      <c r="EF146" s="82"/>
      <c r="EG146" s="82"/>
      <c r="EH146" s="82"/>
      <c r="EI146" s="82"/>
      <c r="EJ146" s="82">
        <f>sum(EF146:EI146)</f>
        <v>0</v>
      </c>
      <c r="EK146" s="82">
        <f>EJ146*AN146</f>
        <v>0</v>
      </c>
      <c r="EL146" s="82">
        <f>DZ146+ED146-EJ146</f>
        <v>1</v>
      </c>
      <c r="EM146" s="82">
        <f>EL146*E146</f>
        <v>77700</v>
      </c>
      <c r="EN146" s="82">
        <f>DF146+DR146+ED146</f>
        <v>0</v>
      </c>
      <c r="EO146" s="82">
        <f>DL146+DX146+EJ146</f>
        <v>0</v>
      </c>
      <c r="EP146" s="82">
        <f>DA146+EN146-EO146</f>
        <v>1</v>
      </c>
      <c r="EQ146" s="82">
        <f>EP146*E146</f>
        <v>77700</v>
      </c>
      <c r="ER146" s="82"/>
      <c r="ES146" s="82"/>
      <c r="ET146" s="82">
        <f>sum(ER146:ES146)</f>
        <v>0</v>
      </c>
      <c r="EU146" s="82">
        <f>ET146*BE146</f>
        <v>0</v>
      </c>
      <c r="EV146" s="82"/>
      <c r="EW146" s="82"/>
      <c r="EX146" s="82"/>
      <c r="EY146" s="82"/>
      <c r="EZ146" s="82">
        <f>sum(EV146:EY146)</f>
        <v>0</v>
      </c>
      <c r="FA146" s="82">
        <f>EZ146*BE146</f>
        <v>0</v>
      </c>
      <c r="FB146" s="82">
        <f>EP146+ET146-EZ146</f>
        <v>1</v>
      </c>
      <c r="FC146" s="82">
        <f>FB146*E146</f>
        <v>77700</v>
      </c>
      <c r="FD146" s="82"/>
      <c r="FE146" s="82"/>
      <c r="FF146" s="82">
        <f>sum(FD146:FE146)</f>
        <v>0</v>
      </c>
      <c r="FG146" s="82">
        <f>FF146*BW146</f>
        <v>0</v>
      </c>
      <c r="FH146" s="82"/>
      <c r="FI146" s="82"/>
      <c r="FJ146" s="82"/>
      <c r="FK146" s="82"/>
      <c r="FL146" s="82">
        <f>sum(FH146:FK146)</f>
        <v>0</v>
      </c>
      <c r="FM146" s="82">
        <f>FL146*BW146</f>
        <v>0</v>
      </c>
      <c r="FN146" s="82">
        <f>FB146+FF146-FL146</f>
        <v>1</v>
      </c>
      <c r="FO146" s="82">
        <f>FN146*E146</f>
        <v>77700</v>
      </c>
      <c r="FP146" s="82"/>
      <c r="FQ146" s="82"/>
      <c r="FR146" s="82">
        <f>sum(FP146:FQ146)</f>
        <v>0</v>
      </c>
      <c r="FS146" s="82">
        <f>FR146*CI146</f>
        <v>0</v>
      </c>
      <c r="FT146" s="82"/>
      <c r="FU146" s="82"/>
      <c r="FV146" s="82"/>
      <c r="FW146" s="82"/>
      <c r="FX146" s="82">
        <f>sum(FT146:FW146)</f>
        <v>0</v>
      </c>
      <c r="FY146" s="82">
        <f>FX146*CI146</f>
        <v>0</v>
      </c>
      <c r="FZ146" s="82">
        <f>FN146+FR146-FX146</f>
        <v>1</v>
      </c>
      <c r="GA146" s="82">
        <f>FZ146*E146</f>
        <v>77700</v>
      </c>
      <c r="GB146" s="82">
        <f>ET146+FF146+FR146</f>
        <v>0</v>
      </c>
      <c r="GC146" s="82">
        <f>EZ146+FL146+FX146</f>
        <v>0</v>
      </c>
      <c r="GD146" s="82">
        <f>EP146+GB146-GC146</f>
        <v>1</v>
      </c>
      <c r="GE146" s="82">
        <f>GD146*E146</f>
        <v>77700</v>
      </c>
      <c r="GF146" s="95"/>
    </row>
    <row r="147" ht="29.25" customHeight="1">
      <c r="A147" s="96"/>
      <c r="B147" s="97"/>
      <c r="C147" s="100"/>
      <c r="D147" s="89" t="s">
        <v>202</v>
      </c>
      <c r="E147" s="86">
        <v>111000.0</v>
      </c>
      <c r="F147" s="80" t="s">
        <v>203</v>
      </c>
      <c r="G147" s="90">
        <v>1.0</v>
      </c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>
        <f t="shared" si="452"/>
        <v>1</v>
      </c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>
        <f t="shared" si="458"/>
        <v>1</v>
      </c>
      <c r="AQ147" s="82">
        <f>AP147*E146</f>
        <v>77700</v>
      </c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>
        <f t="shared" si="464"/>
        <v>1</v>
      </c>
      <c r="BD147" s="82">
        <f>BC147*E146</f>
        <v>77700</v>
      </c>
      <c r="BE147" s="82"/>
      <c r="BF147" s="82"/>
      <c r="BG147" s="82">
        <f t="shared" si="468"/>
        <v>1</v>
      </c>
      <c r="BH147" s="82"/>
      <c r="BI147" s="82"/>
      <c r="BJ147" s="83"/>
      <c r="BK147" s="82"/>
      <c r="BL147" s="82"/>
      <c r="BM147" s="82"/>
      <c r="BN147" s="82"/>
      <c r="BO147" s="82"/>
      <c r="BP147" s="83"/>
      <c r="BQ147" s="82"/>
      <c r="BR147" s="82"/>
      <c r="BS147" s="83"/>
      <c r="BT147" s="82"/>
      <c r="BU147" s="82"/>
      <c r="BV147" s="82"/>
      <c r="BW147" s="82"/>
      <c r="BX147" s="82"/>
      <c r="BY147" s="82">
        <f t="shared" si="474"/>
        <v>1</v>
      </c>
      <c r="BZ147" s="82">
        <f>BY147*E146</f>
        <v>77700</v>
      </c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>
        <f t="shared" si="480"/>
        <v>1</v>
      </c>
      <c r="CL147" s="82">
        <f>CK147*E146</f>
        <v>77700</v>
      </c>
      <c r="CM147" s="83">
        <v>2.0</v>
      </c>
      <c r="CN147" s="82"/>
      <c r="CO147" s="82">
        <f t="shared" si="35"/>
        <v>2</v>
      </c>
      <c r="CP147" s="82">
        <f t="shared" si="36"/>
        <v>222000</v>
      </c>
      <c r="CQ147" s="82"/>
      <c r="CR147" s="82"/>
      <c r="CS147" s="82"/>
      <c r="CT147" s="82"/>
      <c r="CU147" s="82"/>
      <c r="CV147" s="82"/>
      <c r="CW147" s="82">
        <f t="shared" si="39"/>
        <v>3</v>
      </c>
      <c r="CX147" s="82">
        <f>(CO147*E147)+(CK147*E146)</f>
        <v>299700</v>
      </c>
      <c r="CY147" s="82">
        <f t="shared" si="41"/>
        <v>2</v>
      </c>
      <c r="CZ147" s="82">
        <f t="shared" si="345"/>
        <v>0</v>
      </c>
      <c r="DA147" s="82">
        <f t="shared" si="43"/>
        <v>3</v>
      </c>
      <c r="DB147" s="82">
        <f t="shared" si="44"/>
        <v>333000</v>
      </c>
      <c r="DC147" s="91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F147" s="82"/>
      <c r="EG147" s="82"/>
      <c r="EH147" s="82"/>
      <c r="EI147" s="82"/>
      <c r="EJ147" s="82"/>
      <c r="EK147" s="82"/>
      <c r="EL147" s="82"/>
      <c r="EM147" s="82"/>
      <c r="EN147" s="82"/>
      <c r="EO147" s="82"/>
      <c r="EP147" s="82"/>
      <c r="EQ147" s="82"/>
      <c r="ER147" s="82"/>
      <c r="ES147" s="82"/>
      <c r="ET147" s="82"/>
      <c r="EU147" s="82"/>
      <c r="EV147" s="82"/>
      <c r="EW147" s="82"/>
      <c r="EX147" s="82"/>
      <c r="EY147" s="82"/>
      <c r="EZ147" s="82"/>
      <c r="FA147" s="82"/>
      <c r="FB147" s="82"/>
      <c r="FC147" s="82"/>
      <c r="FD147" s="82"/>
      <c r="FE147" s="82"/>
      <c r="FF147" s="82"/>
      <c r="FG147" s="82"/>
      <c r="FH147" s="82"/>
      <c r="FI147" s="82"/>
      <c r="FJ147" s="82"/>
      <c r="FK147" s="82"/>
      <c r="FL147" s="82"/>
      <c r="FM147" s="82"/>
      <c r="FN147" s="82"/>
      <c r="FO147" s="82"/>
      <c r="FP147" s="82"/>
      <c r="FQ147" s="82"/>
      <c r="FR147" s="82"/>
      <c r="FS147" s="82"/>
      <c r="FT147" s="82"/>
      <c r="FU147" s="82"/>
      <c r="FV147" s="82"/>
      <c r="FW147" s="82"/>
      <c r="FX147" s="82"/>
      <c r="FY147" s="82"/>
      <c r="FZ147" s="82"/>
      <c r="GA147" s="82"/>
      <c r="GB147" s="82"/>
      <c r="GC147" s="82"/>
      <c r="GD147" s="82"/>
      <c r="GE147" s="82"/>
      <c r="GF147" s="85"/>
    </row>
    <row r="148" ht="29.25" customHeight="1">
      <c r="A148" s="76">
        <v>81.0</v>
      </c>
      <c r="B148" s="76"/>
      <c r="C148" s="88" t="s">
        <v>207</v>
      </c>
      <c r="D148" s="78" t="s">
        <v>118</v>
      </c>
      <c r="E148" s="79">
        <v>1330000.0019999999</v>
      </c>
      <c r="F148" s="80" t="s">
        <v>85</v>
      </c>
      <c r="G148" s="81">
        <v>5.0</v>
      </c>
      <c r="H148" s="82">
        <v>6650000.01</v>
      </c>
      <c r="I148" s="82"/>
      <c r="J148" s="82"/>
      <c r="K148" s="82">
        <f t="shared" ref="K148:K153" si="902">SUM(I148:J148)</f>
        <v>0</v>
      </c>
      <c r="L148" s="82">
        <f t="shared" ref="L148:L153" si="903">K148*E148</f>
        <v>0</v>
      </c>
      <c r="M148" s="82"/>
      <c r="N148" s="82"/>
      <c r="O148" s="83">
        <v>1.0</v>
      </c>
      <c r="P148" s="82"/>
      <c r="Q148" s="82"/>
      <c r="R148" s="82"/>
      <c r="S148" s="82"/>
      <c r="T148" s="82"/>
      <c r="U148" s="83">
        <v>1.0</v>
      </c>
      <c r="V148" s="83">
        <v>1.0</v>
      </c>
      <c r="W148" s="82"/>
      <c r="X148" s="82"/>
      <c r="Y148" s="82"/>
      <c r="Z148" s="83">
        <v>1.0</v>
      </c>
      <c r="AA148" s="82"/>
      <c r="AB148" s="82">
        <f t="shared" ref="AB148:AB155" si="904">SUM(M148:AA148)</f>
        <v>4</v>
      </c>
      <c r="AC148" s="82">
        <f t="shared" ref="AC148:AC153" si="905">AB148*E148</f>
        <v>5320000.008</v>
      </c>
      <c r="AD148" s="82">
        <f t="shared" si="452"/>
        <v>1</v>
      </c>
      <c r="AE148" s="82">
        <f t="shared" ref="AE148:AE153" si="906">AD148*E148</f>
        <v>1330000.002</v>
      </c>
      <c r="AF148" s="82"/>
      <c r="AG148" s="82"/>
      <c r="AH148" s="82">
        <f t="shared" ref="AH148:AH153" si="907">SUM(AF148:AG148)</f>
        <v>0</v>
      </c>
      <c r="AI148" s="82">
        <f t="shared" ref="AI148:AI153" si="908">AH148*E148</f>
        <v>0</v>
      </c>
      <c r="AJ148" s="82"/>
      <c r="AK148" s="83">
        <v>1.0</v>
      </c>
      <c r="AL148" s="82"/>
      <c r="AM148" s="82"/>
      <c r="AN148" s="82">
        <f t="shared" ref="AN148:AN153" si="909">SUM(AJ148:AM148)</f>
        <v>1</v>
      </c>
      <c r="AO148" s="82">
        <f t="shared" ref="AO148:AO153" si="910">AN148*E148</f>
        <v>1330000.002</v>
      </c>
      <c r="AP148" s="82">
        <f t="shared" si="458"/>
        <v>0</v>
      </c>
      <c r="AQ148" s="82">
        <f t="shared" ref="AQ148:AQ153" si="911">AP148*E148</f>
        <v>0</v>
      </c>
      <c r="AR148" s="82"/>
      <c r="AS148" s="82"/>
      <c r="AT148" s="82"/>
      <c r="AU148" s="82">
        <f t="shared" ref="AU148:AU153" si="912">SUM(AS148:AT148)</f>
        <v>0</v>
      </c>
      <c r="AV148" s="82">
        <f t="shared" ref="AV148:AV153" si="913">AU148*AB148</f>
        <v>0</v>
      </c>
      <c r="AW148" s="82"/>
      <c r="AX148" s="82"/>
      <c r="AY148" s="82"/>
      <c r="AZ148" s="82"/>
      <c r="BA148" s="82">
        <f t="shared" ref="BA148:BA153" si="914">SUM(AW148:AZ148)</f>
        <v>0</v>
      </c>
      <c r="BB148" s="82">
        <f t="shared" ref="BB148:BB153" si="915">BA148*AB148</f>
        <v>0</v>
      </c>
      <c r="BC148" s="82">
        <f t="shared" si="464"/>
        <v>0</v>
      </c>
      <c r="BD148" s="82">
        <f t="shared" ref="BD148:BD153" si="916">BC148*E148</f>
        <v>0</v>
      </c>
      <c r="BE148" s="82">
        <f t="shared" ref="BE148:BE153" si="917">K148+AH148+AU148</f>
        <v>0</v>
      </c>
      <c r="BF148" s="82">
        <f t="shared" ref="BF148:BF153" si="918">AB148+AN148+BA148</f>
        <v>5</v>
      </c>
      <c r="BG148" s="82">
        <f t="shared" si="468"/>
        <v>0</v>
      </c>
      <c r="BH148" s="82">
        <f t="shared" ref="BH148:BH153" si="919">BG148*E148</f>
        <v>0</v>
      </c>
      <c r="BI148" s="82"/>
      <c r="BJ148" s="83"/>
      <c r="BK148" s="82">
        <f t="shared" ref="BK148:BK153" si="920">SUM(BI148:BJ148)</f>
        <v>0</v>
      </c>
      <c r="BL148" s="82">
        <f t="shared" ref="BL148:BL153" si="921">BK148*E148</f>
        <v>0</v>
      </c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>
        <f t="shared" ref="BW148:BW153" si="922">SUM(BM148:BV148)</f>
        <v>0</v>
      </c>
      <c r="BX148" s="82">
        <f t="shared" ref="BX148:BX153" si="923">BW148*E148</f>
        <v>0</v>
      </c>
      <c r="BY148" s="82">
        <f t="shared" si="474"/>
        <v>0</v>
      </c>
      <c r="BZ148" s="82">
        <f t="shared" ref="BZ148:BZ153" si="924">BY148*E148</f>
        <v>0</v>
      </c>
      <c r="CA148" s="82"/>
      <c r="CB148" s="82"/>
      <c r="CC148" s="82">
        <f t="shared" ref="CC148:CC153" si="925">sum(CA148:CB148)</f>
        <v>0</v>
      </c>
      <c r="CD148" s="82">
        <f t="shared" ref="CD148:CD153" si="926">CC148*E148</f>
        <v>0</v>
      </c>
      <c r="CE148" s="82"/>
      <c r="CF148" s="82"/>
      <c r="CG148" s="82"/>
      <c r="CH148" s="82"/>
      <c r="CI148" s="82">
        <f t="shared" ref="CI148:CI153" si="927">sum(CE148:CH148)</f>
        <v>0</v>
      </c>
      <c r="CJ148" s="82">
        <f t="shared" ref="CJ148:CJ153" si="928">CI148*E148</f>
        <v>0</v>
      </c>
      <c r="CK148" s="82">
        <f t="shared" si="480"/>
        <v>0</v>
      </c>
      <c r="CL148" s="82">
        <f t="shared" ref="CL148:CL153" si="929">CK148*E148</f>
        <v>0</v>
      </c>
      <c r="CM148" s="82"/>
      <c r="CN148" s="82"/>
      <c r="CO148" s="82">
        <f t="shared" si="35"/>
        <v>0</v>
      </c>
      <c r="CP148" s="82">
        <f t="shared" si="36"/>
        <v>0</v>
      </c>
      <c r="CQ148" s="82"/>
      <c r="CR148" s="82"/>
      <c r="CS148" s="82"/>
      <c r="CT148" s="82"/>
      <c r="CU148" s="82">
        <f t="shared" ref="CU148:CU153" si="930">sum(CQ148:CT148)</f>
        <v>0</v>
      </c>
      <c r="CV148" s="82">
        <f t="shared" ref="CV148:CV153" si="931">CU148*E148</f>
        <v>0</v>
      </c>
      <c r="CW148" s="82">
        <f t="shared" si="39"/>
        <v>0</v>
      </c>
      <c r="CX148" s="82">
        <f t="shared" ref="CX148:CX153" si="932">CW148*E148</f>
        <v>0</v>
      </c>
      <c r="CY148" s="82">
        <f t="shared" si="41"/>
        <v>0</v>
      </c>
      <c r="CZ148" s="82">
        <f t="shared" si="345"/>
        <v>0</v>
      </c>
      <c r="DA148" s="82">
        <f t="shared" si="43"/>
        <v>0</v>
      </c>
      <c r="DB148" s="82">
        <f t="shared" si="44"/>
        <v>0</v>
      </c>
      <c r="DC148" s="91"/>
      <c r="DD148" s="82"/>
      <c r="DE148" s="82"/>
      <c r="DF148" s="82">
        <f t="shared" ref="DF148:DF153" si="933">sum(DD148:DE148)</f>
        <v>0</v>
      </c>
      <c r="DG148" s="82">
        <f t="shared" ref="DG148:DG153" si="934">DF148*E148</f>
        <v>0</v>
      </c>
      <c r="DH148" s="82"/>
      <c r="DI148" s="82"/>
      <c r="DJ148" s="82"/>
      <c r="DK148" s="82"/>
      <c r="DL148" s="82">
        <f t="shared" ref="DL148:DL153" si="935">sum(DH148:DK148)</f>
        <v>0</v>
      </c>
      <c r="DM148" s="82">
        <f t="shared" ref="DM148:DM153" si="936">DL148*E148</f>
        <v>0</v>
      </c>
      <c r="DN148" s="82">
        <f t="shared" ref="DN148:DN153" si="937">DA148+DF148-DL148</f>
        <v>0</v>
      </c>
      <c r="DO148" s="82">
        <f t="shared" ref="DO148:DO153" si="938">DN148*E148</f>
        <v>0</v>
      </c>
      <c r="DP148" s="82"/>
      <c r="DQ148" s="82"/>
      <c r="DR148" s="82">
        <f t="shared" ref="DR148:DR153" si="939">sum(DP148:DQ148)</f>
        <v>0</v>
      </c>
      <c r="DS148" s="82">
        <f t="shared" ref="DS148:DS153" si="940">DR148*AB148</f>
        <v>0</v>
      </c>
      <c r="DT148" s="82"/>
      <c r="DU148" s="82"/>
      <c r="DV148" s="82"/>
      <c r="DW148" s="82"/>
      <c r="DX148" s="82">
        <f t="shared" ref="DX148:DX153" si="941">sum(DT148:DW148)</f>
        <v>0</v>
      </c>
      <c r="DY148" s="82">
        <f t="shared" ref="DY148:DY153" si="942">DX148*AB148</f>
        <v>0</v>
      </c>
      <c r="DZ148" s="82">
        <f t="shared" ref="DZ148:DZ153" si="943">DN148+DR148-DX148</f>
        <v>0</v>
      </c>
      <c r="EA148" s="82">
        <f t="shared" ref="EA148:EA153" si="944">DZ148*E148</f>
        <v>0</v>
      </c>
      <c r="EB148" s="82"/>
      <c r="EC148" s="82"/>
      <c r="ED148" s="82">
        <f t="shared" ref="ED148:ED153" si="945">sum(EB148:EC148)</f>
        <v>0</v>
      </c>
      <c r="EE148" s="82">
        <f t="shared" ref="EE148:EE153" si="946">ED148*AN148</f>
        <v>0</v>
      </c>
      <c r="EF148" s="82"/>
      <c r="EG148" s="82"/>
      <c r="EH148" s="82"/>
      <c r="EI148" s="82"/>
      <c r="EJ148" s="82">
        <f t="shared" ref="EJ148:EJ153" si="947">sum(EF148:EI148)</f>
        <v>0</v>
      </c>
      <c r="EK148" s="82">
        <f t="shared" ref="EK148:EK153" si="948">EJ148*AN148</f>
        <v>0</v>
      </c>
      <c r="EL148" s="82">
        <f t="shared" ref="EL148:EL153" si="949">DZ148+ED148-EJ148</f>
        <v>0</v>
      </c>
      <c r="EM148" s="82">
        <f t="shared" ref="EM148:EM153" si="950">EL148*E148</f>
        <v>0</v>
      </c>
      <c r="EN148" s="82">
        <f t="shared" ref="EN148:EN153" si="951">DF148+DR148+ED148</f>
        <v>0</v>
      </c>
      <c r="EO148" s="82">
        <f t="shared" ref="EO148:EO153" si="952">DL148+DX148+EJ148</f>
        <v>0</v>
      </c>
      <c r="EP148" s="82">
        <f t="shared" ref="EP148:EP153" si="953">DA148+EN148-EO148</f>
        <v>0</v>
      </c>
      <c r="EQ148" s="82">
        <f t="shared" ref="EQ148:EQ153" si="954">EP148*E148</f>
        <v>0</v>
      </c>
      <c r="ER148" s="82"/>
      <c r="ES148" s="82"/>
      <c r="ET148" s="82">
        <f t="shared" ref="ET148:ET153" si="955">sum(ER148:ES148)</f>
        <v>0</v>
      </c>
      <c r="EU148" s="82">
        <f t="shared" ref="EU148:EU153" si="956">ET148*BE148</f>
        <v>0</v>
      </c>
      <c r="EV148" s="82"/>
      <c r="EW148" s="82"/>
      <c r="EX148" s="82"/>
      <c r="EY148" s="82"/>
      <c r="EZ148" s="82">
        <f t="shared" ref="EZ148:EZ153" si="957">sum(EV148:EY148)</f>
        <v>0</v>
      </c>
      <c r="FA148" s="82">
        <f t="shared" ref="FA148:FA153" si="958">EZ148*BE148</f>
        <v>0</v>
      </c>
      <c r="FB148" s="82">
        <f t="shared" ref="FB148:FB153" si="959">EP148+ET148-EZ148</f>
        <v>0</v>
      </c>
      <c r="FC148" s="82">
        <f t="shared" ref="FC148:FC153" si="960">FB148*E148</f>
        <v>0</v>
      </c>
      <c r="FD148" s="82"/>
      <c r="FE148" s="82"/>
      <c r="FF148" s="82">
        <f t="shared" ref="FF148:FF153" si="961">sum(FD148:FE148)</f>
        <v>0</v>
      </c>
      <c r="FG148" s="82">
        <f t="shared" ref="FG148:FG153" si="962">FF148*BW148</f>
        <v>0</v>
      </c>
      <c r="FH148" s="82"/>
      <c r="FI148" s="82"/>
      <c r="FJ148" s="82"/>
      <c r="FK148" s="82"/>
      <c r="FL148" s="82">
        <f t="shared" ref="FL148:FL153" si="963">sum(FH148:FK148)</f>
        <v>0</v>
      </c>
      <c r="FM148" s="82">
        <f t="shared" ref="FM148:FM153" si="964">FL148*BW148</f>
        <v>0</v>
      </c>
      <c r="FN148" s="82">
        <f t="shared" ref="FN148:FN153" si="965">FB148+FF148-FL148</f>
        <v>0</v>
      </c>
      <c r="FO148" s="82">
        <f t="shared" ref="FO148:FO153" si="966">FN148*E148</f>
        <v>0</v>
      </c>
      <c r="FP148" s="82"/>
      <c r="FQ148" s="82"/>
      <c r="FR148" s="82">
        <f t="shared" ref="FR148:FR153" si="967">sum(FP148:FQ148)</f>
        <v>0</v>
      </c>
      <c r="FS148" s="82">
        <f t="shared" ref="FS148:FS153" si="968">FR148*CI148</f>
        <v>0</v>
      </c>
      <c r="FT148" s="82"/>
      <c r="FU148" s="82"/>
      <c r="FV148" s="82"/>
      <c r="FW148" s="82"/>
      <c r="FX148" s="82">
        <f t="shared" ref="FX148:FX153" si="969">sum(FT148:FW148)</f>
        <v>0</v>
      </c>
      <c r="FY148" s="82">
        <f t="shared" ref="FY148:FY153" si="970">FX148*CI148</f>
        <v>0</v>
      </c>
      <c r="FZ148" s="82">
        <f t="shared" ref="FZ148:FZ153" si="971">FN148+FR148-FX148</f>
        <v>0</v>
      </c>
      <c r="GA148" s="82">
        <f t="shared" ref="GA148:GA153" si="972">FZ148*E148</f>
        <v>0</v>
      </c>
      <c r="GB148" s="82">
        <f t="shared" ref="GB148:GB153" si="973">ET148+FF148+FR148</f>
        <v>0</v>
      </c>
      <c r="GC148" s="82">
        <f t="shared" ref="GC148:GC153" si="974">EZ148+FL148+FX148</f>
        <v>0</v>
      </c>
      <c r="GD148" s="82">
        <f t="shared" ref="GD148:GD153" si="975">EP148+GB148-GC148</f>
        <v>0</v>
      </c>
      <c r="GE148" s="82">
        <f t="shared" ref="GE148:GE153" si="976">GD148*E148</f>
        <v>0</v>
      </c>
      <c r="GF148" s="85"/>
    </row>
    <row r="149" ht="29.25" customHeight="1">
      <c r="A149" s="16"/>
      <c r="B149" s="16"/>
      <c r="C149" s="16"/>
      <c r="D149" s="78" t="s">
        <v>118</v>
      </c>
      <c r="E149" s="86">
        <v>1081081.0</v>
      </c>
      <c r="F149" s="80" t="s">
        <v>86</v>
      </c>
      <c r="G149" s="81">
        <v>10.0</v>
      </c>
      <c r="H149" s="82">
        <v>1.081081E7</v>
      </c>
      <c r="I149" s="82"/>
      <c r="J149" s="82"/>
      <c r="K149" s="82">
        <f t="shared" si="902"/>
        <v>0</v>
      </c>
      <c r="L149" s="82">
        <f t="shared" si="903"/>
        <v>0</v>
      </c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>
        <f t="shared" si="904"/>
        <v>0</v>
      </c>
      <c r="AC149" s="82">
        <f t="shared" si="905"/>
        <v>0</v>
      </c>
      <c r="AD149" s="82">
        <f t="shared" si="452"/>
        <v>10</v>
      </c>
      <c r="AE149" s="82">
        <f t="shared" si="906"/>
        <v>10810810</v>
      </c>
      <c r="AF149" s="82"/>
      <c r="AG149" s="82"/>
      <c r="AH149" s="82">
        <f t="shared" si="907"/>
        <v>0</v>
      </c>
      <c r="AI149" s="82">
        <f t="shared" si="908"/>
        <v>0</v>
      </c>
      <c r="AJ149" s="82"/>
      <c r="AK149" s="82"/>
      <c r="AL149" s="82"/>
      <c r="AM149" s="82"/>
      <c r="AN149" s="82">
        <f t="shared" si="909"/>
        <v>0</v>
      </c>
      <c r="AO149" s="82">
        <f t="shared" si="910"/>
        <v>0</v>
      </c>
      <c r="AP149" s="82">
        <f t="shared" si="458"/>
        <v>10</v>
      </c>
      <c r="AQ149" s="82">
        <f t="shared" si="911"/>
        <v>10810810</v>
      </c>
      <c r="AR149" s="82"/>
      <c r="AS149" s="82"/>
      <c r="AT149" s="82"/>
      <c r="AU149" s="82">
        <f t="shared" si="912"/>
        <v>0</v>
      </c>
      <c r="AV149" s="82">
        <f t="shared" si="913"/>
        <v>0</v>
      </c>
      <c r="AW149" s="82"/>
      <c r="AX149" s="82"/>
      <c r="AY149" s="82"/>
      <c r="AZ149" s="82"/>
      <c r="BA149" s="82">
        <f t="shared" si="914"/>
        <v>0</v>
      </c>
      <c r="BB149" s="82">
        <f t="shared" si="915"/>
        <v>0</v>
      </c>
      <c r="BC149" s="82">
        <f t="shared" si="464"/>
        <v>10</v>
      </c>
      <c r="BD149" s="82">
        <f t="shared" si="916"/>
        <v>10810810</v>
      </c>
      <c r="BE149" s="82">
        <f t="shared" si="917"/>
        <v>0</v>
      </c>
      <c r="BF149" s="82">
        <f t="shared" si="918"/>
        <v>0</v>
      </c>
      <c r="BG149" s="82">
        <f t="shared" si="468"/>
        <v>10</v>
      </c>
      <c r="BH149" s="82">
        <f t="shared" si="919"/>
        <v>10810810</v>
      </c>
      <c r="BI149" s="82"/>
      <c r="BJ149" s="83"/>
      <c r="BK149" s="82">
        <f t="shared" si="920"/>
        <v>0</v>
      </c>
      <c r="BL149" s="82">
        <f t="shared" si="921"/>
        <v>0</v>
      </c>
      <c r="BM149" s="83">
        <v>3.0</v>
      </c>
      <c r="BN149" s="83">
        <v>1.0</v>
      </c>
      <c r="BO149" s="83">
        <v>3.0</v>
      </c>
      <c r="BP149" s="83">
        <v>1.0</v>
      </c>
      <c r="BQ149" s="82"/>
      <c r="BR149" s="83">
        <v>2.0</v>
      </c>
      <c r="BS149" s="82"/>
      <c r="BT149" s="82"/>
      <c r="BU149" s="82"/>
      <c r="BV149" s="82"/>
      <c r="BW149" s="82">
        <f t="shared" si="922"/>
        <v>10</v>
      </c>
      <c r="BX149" s="82">
        <f t="shared" si="923"/>
        <v>10810810</v>
      </c>
      <c r="BY149" s="82">
        <f t="shared" si="474"/>
        <v>0</v>
      </c>
      <c r="BZ149" s="82">
        <f t="shared" si="924"/>
        <v>0</v>
      </c>
      <c r="CA149" s="82"/>
      <c r="CB149" s="82"/>
      <c r="CC149" s="82">
        <f t="shared" si="925"/>
        <v>0</v>
      </c>
      <c r="CD149" s="82">
        <f t="shared" si="926"/>
        <v>0</v>
      </c>
      <c r="CE149" s="82"/>
      <c r="CF149" s="82"/>
      <c r="CG149" s="82"/>
      <c r="CH149" s="82"/>
      <c r="CI149" s="82">
        <f t="shared" si="927"/>
        <v>0</v>
      </c>
      <c r="CJ149" s="82">
        <f t="shared" si="928"/>
        <v>0</v>
      </c>
      <c r="CK149" s="82">
        <f t="shared" si="480"/>
        <v>0</v>
      </c>
      <c r="CL149" s="82">
        <f t="shared" si="929"/>
        <v>0</v>
      </c>
      <c r="CM149" s="82"/>
      <c r="CN149" s="82"/>
      <c r="CO149" s="82">
        <f t="shared" si="35"/>
        <v>0</v>
      </c>
      <c r="CP149" s="82">
        <f t="shared" si="36"/>
        <v>0</v>
      </c>
      <c r="CQ149" s="82"/>
      <c r="CR149" s="82"/>
      <c r="CS149" s="82"/>
      <c r="CT149" s="82"/>
      <c r="CU149" s="82">
        <f t="shared" si="930"/>
        <v>0</v>
      </c>
      <c r="CV149" s="82">
        <f t="shared" si="931"/>
        <v>0</v>
      </c>
      <c r="CW149" s="82">
        <f t="shared" si="39"/>
        <v>0</v>
      </c>
      <c r="CX149" s="82">
        <f t="shared" si="932"/>
        <v>0</v>
      </c>
      <c r="CY149" s="82">
        <f t="shared" si="41"/>
        <v>0</v>
      </c>
      <c r="CZ149" s="82">
        <f t="shared" si="345"/>
        <v>10</v>
      </c>
      <c r="DA149" s="82">
        <f t="shared" si="43"/>
        <v>0</v>
      </c>
      <c r="DB149" s="82">
        <f t="shared" si="44"/>
        <v>0</v>
      </c>
      <c r="DC149" s="91"/>
      <c r="DD149" s="82"/>
      <c r="DE149" s="82"/>
      <c r="DF149" s="82">
        <f t="shared" si="933"/>
        <v>0</v>
      </c>
      <c r="DG149" s="82">
        <f t="shared" si="934"/>
        <v>0</v>
      </c>
      <c r="DH149" s="82"/>
      <c r="DI149" s="82"/>
      <c r="DJ149" s="82"/>
      <c r="DK149" s="82"/>
      <c r="DL149" s="82">
        <f t="shared" si="935"/>
        <v>0</v>
      </c>
      <c r="DM149" s="82">
        <f t="shared" si="936"/>
        <v>0</v>
      </c>
      <c r="DN149" s="82">
        <f t="shared" si="937"/>
        <v>0</v>
      </c>
      <c r="DO149" s="82">
        <f t="shared" si="938"/>
        <v>0</v>
      </c>
      <c r="DP149" s="82"/>
      <c r="DQ149" s="82"/>
      <c r="DR149" s="82">
        <f t="shared" si="939"/>
        <v>0</v>
      </c>
      <c r="DS149" s="82">
        <f t="shared" si="940"/>
        <v>0</v>
      </c>
      <c r="DT149" s="82"/>
      <c r="DU149" s="82"/>
      <c r="DV149" s="82"/>
      <c r="DW149" s="82"/>
      <c r="DX149" s="82">
        <f t="shared" si="941"/>
        <v>0</v>
      </c>
      <c r="DY149" s="82">
        <f t="shared" si="942"/>
        <v>0</v>
      </c>
      <c r="DZ149" s="82">
        <f t="shared" si="943"/>
        <v>0</v>
      </c>
      <c r="EA149" s="82">
        <f t="shared" si="944"/>
        <v>0</v>
      </c>
      <c r="EB149" s="82"/>
      <c r="EC149" s="82"/>
      <c r="ED149" s="82">
        <f t="shared" si="945"/>
        <v>0</v>
      </c>
      <c r="EE149" s="82">
        <f t="shared" si="946"/>
        <v>0</v>
      </c>
      <c r="EF149" s="82"/>
      <c r="EG149" s="82"/>
      <c r="EH149" s="82"/>
      <c r="EI149" s="82"/>
      <c r="EJ149" s="82">
        <f t="shared" si="947"/>
        <v>0</v>
      </c>
      <c r="EK149" s="82">
        <f t="shared" si="948"/>
        <v>0</v>
      </c>
      <c r="EL149" s="82">
        <f t="shared" si="949"/>
        <v>0</v>
      </c>
      <c r="EM149" s="82">
        <f t="shared" si="950"/>
        <v>0</v>
      </c>
      <c r="EN149" s="82">
        <f t="shared" si="951"/>
        <v>0</v>
      </c>
      <c r="EO149" s="82">
        <f t="shared" si="952"/>
        <v>0</v>
      </c>
      <c r="EP149" s="82">
        <f t="shared" si="953"/>
        <v>0</v>
      </c>
      <c r="EQ149" s="82">
        <f t="shared" si="954"/>
        <v>0</v>
      </c>
      <c r="ER149" s="82"/>
      <c r="ES149" s="82"/>
      <c r="ET149" s="82">
        <f t="shared" si="955"/>
        <v>0</v>
      </c>
      <c r="EU149" s="82">
        <f t="shared" si="956"/>
        <v>0</v>
      </c>
      <c r="EV149" s="82"/>
      <c r="EW149" s="82"/>
      <c r="EX149" s="82"/>
      <c r="EY149" s="82"/>
      <c r="EZ149" s="82">
        <f t="shared" si="957"/>
        <v>0</v>
      </c>
      <c r="FA149" s="82">
        <f t="shared" si="958"/>
        <v>0</v>
      </c>
      <c r="FB149" s="82">
        <f t="shared" si="959"/>
        <v>0</v>
      </c>
      <c r="FC149" s="82">
        <f t="shared" si="960"/>
        <v>0</v>
      </c>
      <c r="FD149" s="82"/>
      <c r="FE149" s="82"/>
      <c r="FF149" s="82">
        <f t="shared" si="961"/>
        <v>0</v>
      </c>
      <c r="FG149" s="82">
        <f t="shared" si="962"/>
        <v>0</v>
      </c>
      <c r="FH149" s="82"/>
      <c r="FI149" s="82"/>
      <c r="FJ149" s="82"/>
      <c r="FK149" s="82"/>
      <c r="FL149" s="82">
        <f t="shared" si="963"/>
        <v>0</v>
      </c>
      <c r="FM149" s="82">
        <f t="shared" si="964"/>
        <v>0</v>
      </c>
      <c r="FN149" s="82">
        <f t="shared" si="965"/>
        <v>0</v>
      </c>
      <c r="FO149" s="82">
        <f t="shared" si="966"/>
        <v>0</v>
      </c>
      <c r="FP149" s="82"/>
      <c r="FQ149" s="82"/>
      <c r="FR149" s="82">
        <f t="shared" si="967"/>
        <v>0</v>
      </c>
      <c r="FS149" s="82">
        <f t="shared" si="968"/>
        <v>0</v>
      </c>
      <c r="FT149" s="82"/>
      <c r="FU149" s="82"/>
      <c r="FV149" s="82"/>
      <c r="FW149" s="82"/>
      <c r="FX149" s="82">
        <f t="shared" si="969"/>
        <v>0</v>
      </c>
      <c r="FY149" s="82">
        <f t="shared" si="970"/>
        <v>0</v>
      </c>
      <c r="FZ149" s="82">
        <f t="shared" si="971"/>
        <v>0</v>
      </c>
      <c r="GA149" s="82">
        <f t="shared" si="972"/>
        <v>0</v>
      </c>
      <c r="GB149" s="82">
        <f t="shared" si="973"/>
        <v>0</v>
      </c>
      <c r="GC149" s="82">
        <f t="shared" si="974"/>
        <v>0</v>
      </c>
      <c r="GD149" s="82">
        <f t="shared" si="975"/>
        <v>0</v>
      </c>
      <c r="GE149" s="82">
        <f t="shared" si="976"/>
        <v>0</v>
      </c>
      <c r="GF149" s="85"/>
    </row>
    <row r="150" ht="29.25" customHeight="1">
      <c r="A150" s="50"/>
      <c r="B150" s="16"/>
      <c r="C150" s="16"/>
      <c r="D150" s="78" t="s">
        <v>118</v>
      </c>
      <c r="E150" s="86">
        <v>1332000.0</v>
      </c>
      <c r="F150" s="80" t="s">
        <v>94</v>
      </c>
      <c r="G150" s="93">
        <v>34.0</v>
      </c>
      <c r="H150" s="94">
        <v>4.5288E7</v>
      </c>
      <c r="I150" s="82"/>
      <c r="J150" s="82"/>
      <c r="K150" s="82">
        <f t="shared" si="902"/>
        <v>0</v>
      </c>
      <c r="L150" s="82">
        <f t="shared" si="903"/>
        <v>0</v>
      </c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>
        <f t="shared" si="904"/>
        <v>0</v>
      </c>
      <c r="AC150" s="82">
        <f t="shared" si="905"/>
        <v>0</v>
      </c>
      <c r="AD150" s="82">
        <f t="shared" si="452"/>
        <v>34</v>
      </c>
      <c r="AE150" s="82">
        <f t="shared" si="906"/>
        <v>45288000</v>
      </c>
      <c r="AF150" s="82"/>
      <c r="AG150" s="82"/>
      <c r="AH150" s="82">
        <f t="shared" si="907"/>
        <v>0</v>
      </c>
      <c r="AI150" s="82">
        <f t="shared" si="908"/>
        <v>0</v>
      </c>
      <c r="AJ150" s="82"/>
      <c r="AK150" s="82"/>
      <c r="AL150" s="82"/>
      <c r="AM150" s="82"/>
      <c r="AN150" s="82">
        <f t="shared" si="909"/>
        <v>0</v>
      </c>
      <c r="AO150" s="82">
        <f t="shared" si="910"/>
        <v>0</v>
      </c>
      <c r="AP150" s="82">
        <f t="shared" si="458"/>
        <v>34</v>
      </c>
      <c r="AQ150" s="82">
        <f t="shared" si="911"/>
        <v>45288000</v>
      </c>
      <c r="AR150" s="82"/>
      <c r="AS150" s="82"/>
      <c r="AT150" s="82"/>
      <c r="AU150" s="82">
        <f t="shared" si="912"/>
        <v>0</v>
      </c>
      <c r="AV150" s="82">
        <f t="shared" si="913"/>
        <v>0</v>
      </c>
      <c r="AW150" s="82"/>
      <c r="AX150" s="82"/>
      <c r="AY150" s="82"/>
      <c r="AZ150" s="82"/>
      <c r="BA150" s="82">
        <f t="shared" si="914"/>
        <v>0</v>
      </c>
      <c r="BB150" s="82">
        <f t="shared" si="915"/>
        <v>0</v>
      </c>
      <c r="BC150" s="82">
        <f t="shared" si="464"/>
        <v>34</v>
      </c>
      <c r="BD150" s="82">
        <f t="shared" si="916"/>
        <v>45288000</v>
      </c>
      <c r="BE150" s="82">
        <f t="shared" si="917"/>
        <v>0</v>
      </c>
      <c r="BF150" s="82">
        <f t="shared" si="918"/>
        <v>0</v>
      </c>
      <c r="BG150" s="82">
        <f t="shared" si="468"/>
        <v>34</v>
      </c>
      <c r="BH150" s="82">
        <f t="shared" si="919"/>
        <v>45288000</v>
      </c>
      <c r="BI150" s="82"/>
      <c r="BJ150" s="83"/>
      <c r="BK150" s="82">
        <f t="shared" si="920"/>
        <v>0</v>
      </c>
      <c r="BL150" s="82">
        <f t="shared" si="921"/>
        <v>0</v>
      </c>
      <c r="BM150" s="82"/>
      <c r="BN150" s="82"/>
      <c r="BO150" s="82"/>
      <c r="BP150" s="82"/>
      <c r="BQ150" s="82"/>
      <c r="BR150" s="82"/>
      <c r="BS150" s="83">
        <v>2.0</v>
      </c>
      <c r="BT150" s="82"/>
      <c r="BU150" s="82"/>
      <c r="BV150" s="83">
        <v>1.0</v>
      </c>
      <c r="BW150" s="82">
        <f t="shared" si="922"/>
        <v>3</v>
      </c>
      <c r="BX150" s="82">
        <f t="shared" si="923"/>
        <v>3996000</v>
      </c>
      <c r="BY150" s="82">
        <f t="shared" si="474"/>
        <v>31</v>
      </c>
      <c r="BZ150" s="82">
        <f t="shared" si="924"/>
        <v>41292000</v>
      </c>
      <c r="CA150" s="82"/>
      <c r="CB150" s="82"/>
      <c r="CC150" s="82">
        <f t="shared" si="925"/>
        <v>0</v>
      </c>
      <c r="CD150" s="82">
        <f t="shared" si="926"/>
        <v>0</v>
      </c>
      <c r="CE150" s="83">
        <v>2.0</v>
      </c>
      <c r="CF150" s="82"/>
      <c r="CG150" s="82"/>
      <c r="CH150" s="82"/>
      <c r="CI150" s="82">
        <f t="shared" si="927"/>
        <v>2</v>
      </c>
      <c r="CJ150" s="82">
        <f t="shared" si="928"/>
        <v>2664000</v>
      </c>
      <c r="CK150" s="82">
        <f t="shared" si="480"/>
        <v>29</v>
      </c>
      <c r="CL150" s="82">
        <f t="shared" si="929"/>
        <v>38628000</v>
      </c>
      <c r="CM150" s="82"/>
      <c r="CN150" s="82"/>
      <c r="CO150" s="82">
        <f t="shared" si="35"/>
        <v>0</v>
      </c>
      <c r="CP150" s="82">
        <f t="shared" si="36"/>
        <v>0</v>
      </c>
      <c r="CQ150" s="83">
        <v>1.0</v>
      </c>
      <c r="CR150" s="82"/>
      <c r="CS150" s="82"/>
      <c r="CT150" s="82"/>
      <c r="CU150" s="82">
        <f t="shared" si="930"/>
        <v>1</v>
      </c>
      <c r="CV150" s="82">
        <f t="shared" si="931"/>
        <v>1332000</v>
      </c>
      <c r="CW150" s="82">
        <f t="shared" si="39"/>
        <v>28</v>
      </c>
      <c r="CX150" s="82">
        <f t="shared" si="932"/>
        <v>37296000</v>
      </c>
      <c r="CY150" s="82">
        <f t="shared" si="41"/>
        <v>0</v>
      </c>
      <c r="CZ150" s="82">
        <f t="shared" si="345"/>
        <v>6</v>
      </c>
      <c r="DA150" s="82">
        <f t="shared" si="43"/>
        <v>28</v>
      </c>
      <c r="DB150" s="82">
        <f t="shared" si="44"/>
        <v>37296000</v>
      </c>
      <c r="DC150" s="84">
        <v>27.0</v>
      </c>
      <c r="DD150" s="82"/>
      <c r="DE150" s="82"/>
      <c r="DF150" s="82">
        <f t="shared" si="933"/>
        <v>0</v>
      </c>
      <c r="DG150" s="82">
        <f t="shared" si="934"/>
        <v>0</v>
      </c>
      <c r="DH150" s="82"/>
      <c r="DI150" s="82"/>
      <c r="DJ150" s="82"/>
      <c r="DK150" s="82"/>
      <c r="DL150" s="82">
        <f t="shared" si="935"/>
        <v>0</v>
      </c>
      <c r="DM150" s="82">
        <f t="shared" si="936"/>
        <v>0</v>
      </c>
      <c r="DN150" s="82">
        <f t="shared" si="937"/>
        <v>28</v>
      </c>
      <c r="DO150" s="82">
        <f t="shared" si="938"/>
        <v>37296000</v>
      </c>
      <c r="DP150" s="82"/>
      <c r="DQ150" s="82"/>
      <c r="DR150" s="82">
        <f t="shared" si="939"/>
        <v>0</v>
      </c>
      <c r="DS150" s="82">
        <f t="shared" si="940"/>
        <v>0</v>
      </c>
      <c r="DT150" s="82"/>
      <c r="DU150" s="82"/>
      <c r="DV150" s="82"/>
      <c r="DW150" s="82"/>
      <c r="DX150" s="82">
        <f t="shared" si="941"/>
        <v>0</v>
      </c>
      <c r="DY150" s="82">
        <f t="shared" si="942"/>
        <v>0</v>
      </c>
      <c r="DZ150" s="82">
        <f t="shared" si="943"/>
        <v>28</v>
      </c>
      <c r="EA150" s="82">
        <f t="shared" si="944"/>
        <v>37296000</v>
      </c>
      <c r="EB150" s="82"/>
      <c r="EC150" s="82"/>
      <c r="ED150" s="82">
        <f t="shared" si="945"/>
        <v>0</v>
      </c>
      <c r="EE150" s="82">
        <f t="shared" si="946"/>
        <v>0</v>
      </c>
      <c r="EF150" s="82"/>
      <c r="EG150" s="82"/>
      <c r="EH150" s="82"/>
      <c r="EI150" s="82"/>
      <c r="EJ150" s="82">
        <f t="shared" si="947"/>
        <v>0</v>
      </c>
      <c r="EK150" s="82">
        <f t="shared" si="948"/>
        <v>0</v>
      </c>
      <c r="EL150" s="82">
        <f t="shared" si="949"/>
        <v>28</v>
      </c>
      <c r="EM150" s="82">
        <f t="shared" si="950"/>
        <v>37296000</v>
      </c>
      <c r="EN150" s="82">
        <f t="shared" si="951"/>
        <v>0</v>
      </c>
      <c r="EO150" s="82">
        <f t="shared" si="952"/>
        <v>0</v>
      </c>
      <c r="EP150" s="82">
        <f t="shared" si="953"/>
        <v>28</v>
      </c>
      <c r="EQ150" s="82">
        <f t="shared" si="954"/>
        <v>37296000</v>
      </c>
      <c r="ER150" s="82"/>
      <c r="ES150" s="82"/>
      <c r="ET150" s="82">
        <f t="shared" si="955"/>
        <v>0</v>
      </c>
      <c r="EU150" s="82">
        <f t="shared" si="956"/>
        <v>0</v>
      </c>
      <c r="EV150" s="82"/>
      <c r="EW150" s="82"/>
      <c r="EX150" s="82"/>
      <c r="EY150" s="82"/>
      <c r="EZ150" s="82">
        <f t="shared" si="957"/>
        <v>0</v>
      </c>
      <c r="FA150" s="82">
        <f t="shared" si="958"/>
        <v>0</v>
      </c>
      <c r="FB150" s="82">
        <f t="shared" si="959"/>
        <v>28</v>
      </c>
      <c r="FC150" s="82">
        <f t="shared" si="960"/>
        <v>37296000</v>
      </c>
      <c r="FD150" s="82"/>
      <c r="FE150" s="82"/>
      <c r="FF150" s="82">
        <f t="shared" si="961"/>
        <v>0</v>
      </c>
      <c r="FG150" s="82">
        <f t="shared" si="962"/>
        <v>0</v>
      </c>
      <c r="FH150" s="82"/>
      <c r="FI150" s="82"/>
      <c r="FJ150" s="82"/>
      <c r="FK150" s="82"/>
      <c r="FL150" s="82">
        <f t="shared" si="963"/>
        <v>0</v>
      </c>
      <c r="FM150" s="82">
        <f t="shared" si="964"/>
        <v>0</v>
      </c>
      <c r="FN150" s="82">
        <f t="shared" si="965"/>
        <v>28</v>
      </c>
      <c r="FO150" s="82">
        <f t="shared" si="966"/>
        <v>37296000</v>
      </c>
      <c r="FP150" s="82"/>
      <c r="FQ150" s="82"/>
      <c r="FR150" s="82">
        <f t="shared" si="967"/>
        <v>0</v>
      </c>
      <c r="FS150" s="82">
        <f t="shared" si="968"/>
        <v>0</v>
      </c>
      <c r="FT150" s="82"/>
      <c r="FU150" s="82"/>
      <c r="FV150" s="82"/>
      <c r="FW150" s="82"/>
      <c r="FX150" s="82">
        <f t="shared" si="969"/>
        <v>0</v>
      </c>
      <c r="FY150" s="82">
        <f t="shared" si="970"/>
        <v>0</v>
      </c>
      <c r="FZ150" s="82">
        <f t="shared" si="971"/>
        <v>28</v>
      </c>
      <c r="GA150" s="82">
        <f t="shared" si="972"/>
        <v>37296000</v>
      </c>
      <c r="GB150" s="82">
        <f t="shared" si="973"/>
        <v>0</v>
      </c>
      <c r="GC150" s="82">
        <f t="shared" si="974"/>
        <v>0</v>
      </c>
      <c r="GD150" s="82">
        <f t="shared" si="975"/>
        <v>28</v>
      </c>
      <c r="GE150" s="82">
        <f t="shared" si="976"/>
        <v>37296000</v>
      </c>
      <c r="GF150" s="95"/>
    </row>
    <row r="151" ht="29.25" customHeight="1">
      <c r="A151" s="76">
        <v>82.0</v>
      </c>
      <c r="B151" s="76"/>
      <c r="C151" s="88" t="s">
        <v>208</v>
      </c>
      <c r="D151" s="78" t="s">
        <v>118</v>
      </c>
      <c r="E151" s="79">
        <v>1439670.0</v>
      </c>
      <c r="F151" s="80" t="s">
        <v>85</v>
      </c>
      <c r="G151" s="81">
        <v>2.0</v>
      </c>
      <c r="H151" s="82">
        <v>2879340.0</v>
      </c>
      <c r="I151" s="82"/>
      <c r="J151" s="82"/>
      <c r="K151" s="82">
        <f t="shared" si="902"/>
        <v>0</v>
      </c>
      <c r="L151" s="82">
        <f t="shared" si="903"/>
        <v>0</v>
      </c>
      <c r="M151" s="82"/>
      <c r="N151" s="82"/>
      <c r="O151" s="83">
        <v>1.0</v>
      </c>
      <c r="P151" s="82"/>
      <c r="Q151" s="82"/>
      <c r="R151" s="82"/>
      <c r="S151" s="82"/>
      <c r="T151" s="82"/>
      <c r="U151" s="83"/>
      <c r="V151" s="82"/>
      <c r="W151" s="82"/>
      <c r="X151" s="82"/>
      <c r="Y151" s="82"/>
      <c r="Z151" s="83">
        <v>1.0</v>
      </c>
      <c r="AA151" s="82"/>
      <c r="AB151" s="82">
        <f t="shared" si="904"/>
        <v>2</v>
      </c>
      <c r="AC151" s="82">
        <f t="shared" si="905"/>
        <v>2879340</v>
      </c>
      <c r="AD151" s="82">
        <f t="shared" si="452"/>
        <v>0</v>
      </c>
      <c r="AE151" s="82">
        <f t="shared" si="906"/>
        <v>0</v>
      </c>
      <c r="AF151" s="82"/>
      <c r="AG151" s="82"/>
      <c r="AH151" s="82">
        <f t="shared" si="907"/>
        <v>0</v>
      </c>
      <c r="AI151" s="82">
        <f t="shared" si="908"/>
        <v>0</v>
      </c>
      <c r="AJ151" s="82"/>
      <c r="AK151" s="82"/>
      <c r="AL151" s="82"/>
      <c r="AM151" s="82"/>
      <c r="AN151" s="82">
        <f t="shared" si="909"/>
        <v>0</v>
      </c>
      <c r="AO151" s="82">
        <f t="shared" si="910"/>
        <v>0</v>
      </c>
      <c r="AP151" s="82">
        <f t="shared" si="458"/>
        <v>0</v>
      </c>
      <c r="AQ151" s="82">
        <f t="shared" si="911"/>
        <v>0</v>
      </c>
      <c r="AR151" s="82"/>
      <c r="AS151" s="82"/>
      <c r="AT151" s="82"/>
      <c r="AU151" s="82">
        <f t="shared" si="912"/>
        <v>0</v>
      </c>
      <c r="AV151" s="82">
        <f t="shared" si="913"/>
        <v>0</v>
      </c>
      <c r="AW151" s="82"/>
      <c r="AX151" s="82"/>
      <c r="AY151" s="82"/>
      <c r="AZ151" s="82"/>
      <c r="BA151" s="82">
        <f t="shared" si="914"/>
        <v>0</v>
      </c>
      <c r="BB151" s="82">
        <f t="shared" si="915"/>
        <v>0</v>
      </c>
      <c r="BC151" s="82">
        <f t="shared" si="464"/>
        <v>0</v>
      </c>
      <c r="BD151" s="82">
        <f t="shared" si="916"/>
        <v>0</v>
      </c>
      <c r="BE151" s="82">
        <f t="shared" si="917"/>
        <v>0</v>
      </c>
      <c r="BF151" s="82">
        <f t="shared" si="918"/>
        <v>2</v>
      </c>
      <c r="BG151" s="82">
        <f t="shared" si="468"/>
        <v>0</v>
      </c>
      <c r="BH151" s="82">
        <f t="shared" si="919"/>
        <v>0</v>
      </c>
      <c r="BI151" s="82"/>
      <c r="BJ151" s="83"/>
      <c r="BK151" s="82">
        <f t="shared" si="920"/>
        <v>0</v>
      </c>
      <c r="BL151" s="82">
        <f t="shared" si="921"/>
        <v>0</v>
      </c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>
        <f t="shared" si="922"/>
        <v>0</v>
      </c>
      <c r="BX151" s="82">
        <f t="shared" si="923"/>
        <v>0</v>
      </c>
      <c r="BY151" s="82">
        <f t="shared" si="474"/>
        <v>0</v>
      </c>
      <c r="BZ151" s="82">
        <f t="shared" si="924"/>
        <v>0</v>
      </c>
      <c r="CA151" s="82"/>
      <c r="CB151" s="82"/>
      <c r="CC151" s="82">
        <f t="shared" si="925"/>
        <v>0</v>
      </c>
      <c r="CD151" s="82">
        <f t="shared" si="926"/>
        <v>0</v>
      </c>
      <c r="CE151" s="82"/>
      <c r="CF151" s="82"/>
      <c r="CG151" s="82"/>
      <c r="CH151" s="82"/>
      <c r="CI151" s="82">
        <f t="shared" si="927"/>
        <v>0</v>
      </c>
      <c r="CJ151" s="82">
        <f t="shared" si="928"/>
        <v>0</v>
      </c>
      <c r="CK151" s="82">
        <f t="shared" si="480"/>
        <v>0</v>
      </c>
      <c r="CL151" s="82">
        <f t="shared" si="929"/>
        <v>0</v>
      </c>
      <c r="CM151" s="82"/>
      <c r="CN151" s="82"/>
      <c r="CO151" s="82">
        <f t="shared" si="35"/>
        <v>0</v>
      </c>
      <c r="CP151" s="82">
        <f t="shared" si="36"/>
        <v>0</v>
      </c>
      <c r="CQ151" s="82"/>
      <c r="CR151" s="82"/>
      <c r="CS151" s="82"/>
      <c r="CT151" s="82"/>
      <c r="CU151" s="82">
        <f t="shared" si="930"/>
        <v>0</v>
      </c>
      <c r="CV151" s="82">
        <f t="shared" si="931"/>
        <v>0</v>
      </c>
      <c r="CW151" s="82">
        <f t="shared" si="39"/>
        <v>0</v>
      </c>
      <c r="CX151" s="82">
        <f t="shared" si="932"/>
        <v>0</v>
      </c>
      <c r="CY151" s="82">
        <f t="shared" si="41"/>
        <v>0</v>
      </c>
      <c r="CZ151" s="82">
        <f t="shared" si="345"/>
        <v>0</v>
      </c>
      <c r="DA151" s="82">
        <f t="shared" si="43"/>
        <v>0</v>
      </c>
      <c r="DB151" s="82">
        <f t="shared" si="44"/>
        <v>0</v>
      </c>
      <c r="DC151" s="91"/>
      <c r="DD151" s="82"/>
      <c r="DE151" s="82"/>
      <c r="DF151" s="82">
        <f t="shared" si="933"/>
        <v>0</v>
      </c>
      <c r="DG151" s="82">
        <f t="shared" si="934"/>
        <v>0</v>
      </c>
      <c r="DH151" s="82"/>
      <c r="DI151" s="82"/>
      <c r="DJ151" s="82"/>
      <c r="DK151" s="82"/>
      <c r="DL151" s="82">
        <f t="shared" si="935"/>
        <v>0</v>
      </c>
      <c r="DM151" s="82">
        <f t="shared" si="936"/>
        <v>0</v>
      </c>
      <c r="DN151" s="82">
        <f t="shared" si="937"/>
        <v>0</v>
      </c>
      <c r="DO151" s="82">
        <f t="shared" si="938"/>
        <v>0</v>
      </c>
      <c r="DP151" s="82"/>
      <c r="DQ151" s="82"/>
      <c r="DR151" s="82">
        <f t="shared" si="939"/>
        <v>0</v>
      </c>
      <c r="DS151" s="82">
        <f t="shared" si="940"/>
        <v>0</v>
      </c>
      <c r="DT151" s="82"/>
      <c r="DU151" s="82"/>
      <c r="DV151" s="82"/>
      <c r="DW151" s="82"/>
      <c r="DX151" s="82">
        <f t="shared" si="941"/>
        <v>0</v>
      </c>
      <c r="DY151" s="82">
        <f t="shared" si="942"/>
        <v>0</v>
      </c>
      <c r="DZ151" s="82">
        <f t="shared" si="943"/>
        <v>0</v>
      </c>
      <c r="EA151" s="82">
        <f t="shared" si="944"/>
        <v>0</v>
      </c>
      <c r="EB151" s="82"/>
      <c r="EC151" s="82"/>
      <c r="ED151" s="82">
        <f t="shared" si="945"/>
        <v>0</v>
      </c>
      <c r="EE151" s="82">
        <f t="shared" si="946"/>
        <v>0</v>
      </c>
      <c r="EF151" s="82"/>
      <c r="EG151" s="82"/>
      <c r="EH151" s="82"/>
      <c r="EI151" s="82"/>
      <c r="EJ151" s="82">
        <f t="shared" si="947"/>
        <v>0</v>
      </c>
      <c r="EK151" s="82">
        <f t="shared" si="948"/>
        <v>0</v>
      </c>
      <c r="EL151" s="82">
        <f t="shared" si="949"/>
        <v>0</v>
      </c>
      <c r="EM151" s="82">
        <f t="shared" si="950"/>
        <v>0</v>
      </c>
      <c r="EN151" s="82">
        <f t="shared" si="951"/>
        <v>0</v>
      </c>
      <c r="EO151" s="82">
        <f t="shared" si="952"/>
        <v>0</v>
      </c>
      <c r="EP151" s="82">
        <f t="shared" si="953"/>
        <v>0</v>
      </c>
      <c r="EQ151" s="82">
        <f t="shared" si="954"/>
        <v>0</v>
      </c>
      <c r="ER151" s="82"/>
      <c r="ES151" s="82"/>
      <c r="ET151" s="82">
        <f t="shared" si="955"/>
        <v>0</v>
      </c>
      <c r="EU151" s="82">
        <f t="shared" si="956"/>
        <v>0</v>
      </c>
      <c r="EV151" s="82"/>
      <c r="EW151" s="82"/>
      <c r="EX151" s="82"/>
      <c r="EY151" s="82"/>
      <c r="EZ151" s="82">
        <f t="shared" si="957"/>
        <v>0</v>
      </c>
      <c r="FA151" s="82">
        <f t="shared" si="958"/>
        <v>0</v>
      </c>
      <c r="FB151" s="82">
        <f t="shared" si="959"/>
        <v>0</v>
      </c>
      <c r="FC151" s="82">
        <f t="shared" si="960"/>
        <v>0</v>
      </c>
      <c r="FD151" s="82"/>
      <c r="FE151" s="82"/>
      <c r="FF151" s="82">
        <f t="shared" si="961"/>
        <v>0</v>
      </c>
      <c r="FG151" s="82">
        <f t="shared" si="962"/>
        <v>0</v>
      </c>
      <c r="FH151" s="82"/>
      <c r="FI151" s="82"/>
      <c r="FJ151" s="82"/>
      <c r="FK151" s="82"/>
      <c r="FL151" s="82">
        <f t="shared" si="963"/>
        <v>0</v>
      </c>
      <c r="FM151" s="82">
        <f t="shared" si="964"/>
        <v>0</v>
      </c>
      <c r="FN151" s="82">
        <f t="shared" si="965"/>
        <v>0</v>
      </c>
      <c r="FO151" s="82">
        <f t="shared" si="966"/>
        <v>0</v>
      </c>
      <c r="FP151" s="82"/>
      <c r="FQ151" s="82"/>
      <c r="FR151" s="82">
        <f t="shared" si="967"/>
        <v>0</v>
      </c>
      <c r="FS151" s="82">
        <f t="shared" si="968"/>
        <v>0</v>
      </c>
      <c r="FT151" s="82"/>
      <c r="FU151" s="82"/>
      <c r="FV151" s="82"/>
      <c r="FW151" s="82"/>
      <c r="FX151" s="82">
        <f t="shared" si="969"/>
        <v>0</v>
      </c>
      <c r="FY151" s="82">
        <f t="shared" si="970"/>
        <v>0</v>
      </c>
      <c r="FZ151" s="82">
        <f t="shared" si="971"/>
        <v>0</v>
      </c>
      <c r="GA151" s="82">
        <f t="shared" si="972"/>
        <v>0</v>
      </c>
      <c r="GB151" s="82">
        <f t="shared" si="973"/>
        <v>0</v>
      </c>
      <c r="GC151" s="82">
        <f t="shared" si="974"/>
        <v>0</v>
      </c>
      <c r="GD151" s="82">
        <f t="shared" si="975"/>
        <v>0</v>
      </c>
      <c r="GE151" s="82">
        <f t="shared" si="976"/>
        <v>0</v>
      </c>
      <c r="GF151" s="85"/>
    </row>
    <row r="152" ht="29.25" customHeight="1">
      <c r="A152" s="16"/>
      <c r="B152" s="16"/>
      <c r="C152" s="16"/>
      <c r="D152" s="78" t="s">
        <v>118</v>
      </c>
      <c r="E152" s="86">
        <v>1081081.0</v>
      </c>
      <c r="F152" s="80" t="s">
        <v>85</v>
      </c>
      <c r="G152" s="81">
        <v>3.0</v>
      </c>
      <c r="H152" s="82">
        <v>3243243.0</v>
      </c>
      <c r="I152" s="82"/>
      <c r="J152" s="82"/>
      <c r="K152" s="82">
        <f t="shared" si="902"/>
        <v>0</v>
      </c>
      <c r="L152" s="82">
        <f t="shared" si="903"/>
        <v>0</v>
      </c>
      <c r="M152" s="82"/>
      <c r="N152" s="82"/>
      <c r="O152" s="82"/>
      <c r="P152" s="82"/>
      <c r="Q152" s="82"/>
      <c r="R152" s="82"/>
      <c r="S152" s="82"/>
      <c r="T152" s="82"/>
      <c r="U152" s="83">
        <v>1.0</v>
      </c>
      <c r="V152" s="83">
        <v>1.0</v>
      </c>
      <c r="W152" s="82"/>
      <c r="X152" s="82"/>
      <c r="Y152" s="82"/>
      <c r="Z152" s="82"/>
      <c r="AA152" s="82"/>
      <c r="AB152" s="82">
        <f t="shared" si="904"/>
        <v>2</v>
      </c>
      <c r="AC152" s="82">
        <f t="shared" si="905"/>
        <v>2162162</v>
      </c>
      <c r="AD152" s="82">
        <f t="shared" si="452"/>
        <v>1</v>
      </c>
      <c r="AE152" s="82">
        <f t="shared" si="906"/>
        <v>1081081</v>
      </c>
      <c r="AF152" s="82"/>
      <c r="AG152" s="82"/>
      <c r="AH152" s="82">
        <f t="shared" si="907"/>
        <v>0</v>
      </c>
      <c r="AI152" s="82">
        <f t="shared" si="908"/>
        <v>0</v>
      </c>
      <c r="AJ152" s="82"/>
      <c r="AK152" s="83">
        <v>1.0</v>
      </c>
      <c r="AL152" s="82"/>
      <c r="AM152" s="82"/>
      <c r="AN152" s="82">
        <f t="shared" si="909"/>
        <v>1</v>
      </c>
      <c r="AO152" s="82">
        <f t="shared" si="910"/>
        <v>1081081</v>
      </c>
      <c r="AP152" s="82">
        <f t="shared" si="458"/>
        <v>0</v>
      </c>
      <c r="AQ152" s="82">
        <f t="shared" si="911"/>
        <v>0</v>
      </c>
      <c r="AR152" s="82"/>
      <c r="AS152" s="82"/>
      <c r="AT152" s="82"/>
      <c r="AU152" s="82">
        <f t="shared" si="912"/>
        <v>0</v>
      </c>
      <c r="AV152" s="82">
        <f t="shared" si="913"/>
        <v>0</v>
      </c>
      <c r="AW152" s="82"/>
      <c r="AX152" s="82"/>
      <c r="AY152" s="82"/>
      <c r="AZ152" s="82"/>
      <c r="BA152" s="82">
        <f t="shared" si="914"/>
        <v>0</v>
      </c>
      <c r="BB152" s="82">
        <f t="shared" si="915"/>
        <v>0</v>
      </c>
      <c r="BC152" s="82">
        <f t="shared" si="464"/>
        <v>0</v>
      </c>
      <c r="BD152" s="82">
        <f t="shared" si="916"/>
        <v>0</v>
      </c>
      <c r="BE152" s="82">
        <f t="shared" si="917"/>
        <v>0</v>
      </c>
      <c r="BF152" s="82">
        <f t="shared" si="918"/>
        <v>3</v>
      </c>
      <c r="BG152" s="82">
        <f t="shared" si="468"/>
        <v>0</v>
      </c>
      <c r="BH152" s="82">
        <f t="shared" si="919"/>
        <v>0</v>
      </c>
      <c r="BI152" s="82"/>
      <c r="BJ152" s="83"/>
      <c r="BK152" s="82">
        <f t="shared" si="920"/>
        <v>0</v>
      </c>
      <c r="BL152" s="82">
        <f t="shared" si="921"/>
        <v>0</v>
      </c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>
        <f t="shared" si="922"/>
        <v>0</v>
      </c>
      <c r="BX152" s="82">
        <f t="shared" si="923"/>
        <v>0</v>
      </c>
      <c r="BY152" s="82">
        <f t="shared" si="474"/>
        <v>0</v>
      </c>
      <c r="BZ152" s="82">
        <f t="shared" si="924"/>
        <v>0</v>
      </c>
      <c r="CA152" s="82"/>
      <c r="CB152" s="82"/>
      <c r="CC152" s="82">
        <f t="shared" si="925"/>
        <v>0</v>
      </c>
      <c r="CD152" s="82">
        <f t="shared" si="926"/>
        <v>0</v>
      </c>
      <c r="CE152" s="82"/>
      <c r="CF152" s="82"/>
      <c r="CG152" s="82"/>
      <c r="CH152" s="82"/>
      <c r="CI152" s="82">
        <f t="shared" si="927"/>
        <v>0</v>
      </c>
      <c r="CJ152" s="82">
        <f t="shared" si="928"/>
        <v>0</v>
      </c>
      <c r="CK152" s="82">
        <f t="shared" si="480"/>
        <v>0</v>
      </c>
      <c r="CL152" s="82">
        <f t="shared" si="929"/>
        <v>0</v>
      </c>
      <c r="CM152" s="82"/>
      <c r="CN152" s="82"/>
      <c r="CO152" s="82">
        <f t="shared" si="35"/>
        <v>0</v>
      </c>
      <c r="CP152" s="82">
        <f t="shared" si="36"/>
        <v>0</v>
      </c>
      <c r="CQ152" s="82"/>
      <c r="CR152" s="82"/>
      <c r="CS152" s="82"/>
      <c r="CT152" s="82"/>
      <c r="CU152" s="82">
        <f t="shared" si="930"/>
        <v>0</v>
      </c>
      <c r="CV152" s="82">
        <f t="shared" si="931"/>
        <v>0</v>
      </c>
      <c r="CW152" s="82">
        <f t="shared" si="39"/>
        <v>0</v>
      </c>
      <c r="CX152" s="82">
        <f t="shared" si="932"/>
        <v>0</v>
      </c>
      <c r="CY152" s="82">
        <f t="shared" si="41"/>
        <v>0</v>
      </c>
      <c r="CZ152" s="82">
        <f t="shared" si="345"/>
        <v>0</v>
      </c>
      <c r="DA152" s="82">
        <f t="shared" si="43"/>
        <v>0</v>
      </c>
      <c r="DB152" s="82">
        <f t="shared" si="44"/>
        <v>0</v>
      </c>
      <c r="DC152" s="91"/>
      <c r="DD152" s="82"/>
      <c r="DE152" s="82"/>
      <c r="DF152" s="82">
        <f t="shared" si="933"/>
        <v>0</v>
      </c>
      <c r="DG152" s="82">
        <f t="shared" si="934"/>
        <v>0</v>
      </c>
      <c r="DH152" s="82"/>
      <c r="DI152" s="82"/>
      <c r="DJ152" s="82"/>
      <c r="DK152" s="82"/>
      <c r="DL152" s="82">
        <f t="shared" si="935"/>
        <v>0</v>
      </c>
      <c r="DM152" s="82">
        <f t="shared" si="936"/>
        <v>0</v>
      </c>
      <c r="DN152" s="82">
        <f t="shared" si="937"/>
        <v>0</v>
      </c>
      <c r="DO152" s="82">
        <f t="shared" si="938"/>
        <v>0</v>
      </c>
      <c r="DP152" s="82"/>
      <c r="DQ152" s="82"/>
      <c r="DR152" s="82">
        <f t="shared" si="939"/>
        <v>0</v>
      </c>
      <c r="DS152" s="82">
        <f t="shared" si="940"/>
        <v>0</v>
      </c>
      <c r="DT152" s="82"/>
      <c r="DU152" s="82"/>
      <c r="DV152" s="82"/>
      <c r="DW152" s="82"/>
      <c r="DX152" s="82">
        <f t="shared" si="941"/>
        <v>0</v>
      </c>
      <c r="DY152" s="82">
        <f t="shared" si="942"/>
        <v>0</v>
      </c>
      <c r="DZ152" s="82">
        <f t="shared" si="943"/>
        <v>0</v>
      </c>
      <c r="EA152" s="82">
        <f t="shared" si="944"/>
        <v>0</v>
      </c>
      <c r="EB152" s="82"/>
      <c r="EC152" s="82"/>
      <c r="ED152" s="82">
        <f t="shared" si="945"/>
        <v>0</v>
      </c>
      <c r="EE152" s="82">
        <f t="shared" si="946"/>
        <v>0</v>
      </c>
      <c r="EF152" s="82"/>
      <c r="EG152" s="82"/>
      <c r="EH152" s="82"/>
      <c r="EI152" s="82"/>
      <c r="EJ152" s="82">
        <f t="shared" si="947"/>
        <v>0</v>
      </c>
      <c r="EK152" s="82">
        <f t="shared" si="948"/>
        <v>0</v>
      </c>
      <c r="EL152" s="82">
        <f t="shared" si="949"/>
        <v>0</v>
      </c>
      <c r="EM152" s="82">
        <f t="shared" si="950"/>
        <v>0</v>
      </c>
      <c r="EN152" s="82">
        <f t="shared" si="951"/>
        <v>0</v>
      </c>
      <c r="EO152" s="82">
        <f t="shared" si="952"/>
        <v>0</v>
      </c>
      <c r="EP152" s="82">
        <f t="shared" si="953"/>
        <v>0</v>
      </c>
      <c r="EQ152" s="82">
        <f t="shared" si="954"/>
        <v>0</v>
      </c>
      <c r="ER152" s="82"/>
      <c r="ES152" s="82"/>
      <c r="ET152" s="82">
        <f t="shared" si="955"/>
        <v>0</v>
      </c>
      <c r="EU152" s="82">
        <f t="shared" si="956"/>
        <v>0</v>
      </c>
      <c r="EV152" s="82"/>
      <c r="EW152" s="82"/>
      <c r="EX152" s="82"/>
      <c r="EY152" s="82"/>
      <c r="EZ152" s="82">
        <f t="shared" si="957"/>
        <v>0</v>
      </c>
      <c r="FA152" s="82">
        <f t="shared" si="958"/>
        <v>0</v>
      </c>
      <c r="FB152" s="82">
        <f t="shared" si="959"/>
        <v>0</v>
      </c>
      <c r="FC152" s="82">
        <f t="shared" si="960"/>
        <v>0</v>
      </c>
      <c r="FD152" s="82"/>
      <c r="FE152" s="82"/>
      <c r="FF152" s="82">
        <f t="shared" si="961"/>
        <v>0</v>
      </c>
      <c r="FG152" s="82">
        <f t="shared" si="962"/>
        <v>0</v>
      </c>
      <c r="FH152" s="82"/>
      <c r="FI152" s="82"/>
      <c r="FJ152" s="82"/>
      <c r="FK152" s="82"/>
      <c r="FL152" s="82">
        <f t="shared" si="963"/>
        <v>0</v>
      </c>
      <c r="FM152" s="82">
        <f t="shared" si="964"/>
        <v>0</v>
      </c>
      <c r="FN152" s="82">
        <f t="shared" si="965"/>
        <v>0</v>
      </c>
      <c r="FO152" s="82">
        <f t="shared" si="966"/>
        <v>0</v>
      </c>
      <c r="FP152" s="82"/>
      <c r="FQ152" s="82"/>
      <c r="FR152" s="82">
        <f t="shared" si="967"/>
        <v>0</v>
      </c>
      <c r="FS152" s="82">
        <f t="shared" si="968"/>
        <v>0</v>
      </c>
      <c r="FT152" s="82"/>
      <c r="FU152" s="82"/>
      <c r="FV152" s="82"/>
      <c r="FW152" s="82"/>
      <c r="FX152" s="82">
        <f t="shared" si="969"/>
        <v>0</v>
      </c>
      <c r="FY152" s="82">
        <f t="shared" si="970"/>
        <v>0</v>
      </c>
      <c r="FZ152" s="82">
        <f t="shared" si="971"/>
        <v>0</v>
      </c>
      <c r="GA152" s="82">
        <f t="shared" si="972"/>
        <v>0</v>
      </c>
      <c r="GB152" s="82">
        <f t="shared" si="973"/>
        <v>0</v>
      </c>
      <c r="GC152" s="82">
        <f t="shared" si="974"/>
        <v>0</v>
      </c>
      <c r="GD152" s="82">
        <f t="shared" si="975"/>
        <v>0</v>
      </c>
      <c r="GE152" s="82">
        <f t="shared" si="976"/>
        <v>0</v>
      </c>
      <c r="GF152" s="85"/>
    </row>
    <row r="153" ht="29.25" customHeight="1">
      <c r="A153" s="50"/>
      <c r="B153" s="50"/>
      <c r="C153" s="16"/>
      <c r="D153" s="78" t="s">
        <v>118</v>
      </c>
      <c r="E153" s="86">
        <v>1439670.0</v>
      </c>
      <c r="F153" s="80" t="s">
        <v>94</v>
      </c>
      <c r="G153" s="81">
        <v>17.0</v>
      </c>
      <c r="H153" s="82">
        <v>2.447439E7</v>
      </c>
      <c r="I153" s="82"/>
      <c r="J153" s="82"/>
      <c r="K153" s="82">
        <f t="shared" si="902"/>
        <v>0</v>
      </c>
      <c r="L153" s="82">
        <f t="shared" si="903"/>
        <v>0</v>
      </c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>
        <f t="shared" si="904"/>
        <v>0</v>
      </c>
      <c r="AC153" s="82">
        <f t="shared" si="905"/>
        <v>0</v>
      </c>
      <c r="AD153" s="82">
        <f t="shared" si="452"/>
        <v>17</v>
      </c>
      <c r="AE153" s="82">
        <f t="shared" si="906"/>
        <v>24474390</v>
      </c>
      <c r="AF153" s="82"/>
      <c r="AG153" s="82"/>
      <c r="AH153" s="82">
        <f t="shared" si="907"/>
        <v>0</v>
      </c>
      <c r="AI153" s="82">
        <f t="shared" si="908"/>
        <v>0</v>
      </c>
      <c r="AJ153" s="82"/>
      <c r="AK153" s="82"/>
      <c r="AL153" s="82"/>
      <c r="AM153" s="82"/>
      <c r="AN153" s="82">
        <f t="shared" si="909"/>
        <v>0</v>
      </c>
      <c r="AO153" s="82">
        <f t="shared" si="910"/>
        <v>0</v>
      </c>
      <c r="AP153" s="82">
        <f t="shared" si="458"/>
        <v>17</v>
      </c>
      <c r="AQ153" s="82">
        <f t="shared" si="911"/>
        <v>24474390</v>
      </c>
      <c r="AR153" s="82"/>
      <c r="AS153" s="82"/>
      <c r="AT153" s="82"/>
      <c r="AU153" s="82">
        <f t="shared" si="912"/>
        <v>0</v>
      </c>
      <c r="AV153" s="82">
        <f t="shared" si="913"/>
        <v>0</v>
      </c>
      <c r="AW153" s="82"/>
      <c r="AX153" s="82"/>
      <c r="AY153" s="82"/>
      <c r="AZ153" s="82"/>
      <c r="BA153" s="82">
        <f t="shared" si="914"/>
        <v>0</v>
      </c>
      <c r="BB153" s="82">
        <f t="shared" si="915"/>
        <v>0</v>
      </c>
      <c r="BC153" s="82">
        <f t="shared" si="464"/>
        <v>17</v>
      </c>
      <c r="BD153" s="82">
        <f t="shared" si="916"/>
        <v>24474390</v>
      </c>
      <c r="BE153" s="82">
        <f t="shared" si="917"/>
        <v>0</v>
      </c>
      <c r="BF153" s="82">
        <f t="shared" si="918"/>
        <v>0</v>
      </c>
      <c r="BG153" s="82">
        <f t="shared" si="468"/>
        <v>17</v>
      </c>
      <c r="BH153" s="82">
        <f t="shared" si="919"/>
        <v>24474390</v>
      </c>
      <c r="BI153" s="82"/>
      <c r="BJ153" s="83"/>
      <c r="BK153" s="82">
        <f t="shared" si="920"/>
        <v>0</v>
      </c>
      <c r="BL153" s="82">
        <f t="shared" si="921"/>
        <v>0</v>
      </c>
      <c r="BM153" s="82"/>
      <c r="BN153" s="83">
        <v>1.0</v>
      </c>
      <c r="BO153" s="83">
        <v>2.0</v>
      </c>
      <c r="BP153" s="82"/>
      <c r="BQ153" s="82"/>
      <c r="BR153" s="82"/>
      <c r="BS153" s="83">
        <v>1.0</v>
      </c>
      <c r="BT153" s="82"/>
      <c r="BU153" s="82"/>
      <c r="BV153" s="83">
        <v>1.0</v>
      </c>
      <c r="BW153" s="82">
        <f t="shared" si="922"/>
        <v>5</v>
      </c>
      <c r="BX153" s="82">
        <f t="shared" si="923"/>
        <v>7198350</v>
      </c>
      <c r="BY153" s="82">
        <f t="shared" si="474"/>
        <v>12</v>
      </c>
      <c r="BZ153" s="82">
        <f t="shared" si="924"/>
        <v>17276040</v>
      </c>
      <c r="CA153" s="82"/>
      <c r="CB153" s="82"/>
      <c r="CC153" s="82">
        <f t="shared" si="925"/>
        <v>0</v>
      </c>
      <c r="CD153" s="82">
        <f t="shared" si="926"/>
        <v>0</v>
      </c>
      <c r="CE153" s="83">
        <v>2.0</v>
      </c>
      <c r="CF153" s="82"/>
      <c r="CG153" s="82"/>
      <c r="CH153" s="82"/>
      <c r="CI153" s="82">
        <f t="shared" si="927"/>
        <v>2</v>
      </c>
      <c r="CJ153" s="82">
        <f t="shared" si="928"/>
        <v>2879340</v>
      </c>
      <c r="CK153" s="82">
        <f t="shared" si="480"/>
        <v>10</v>
      </c>
      <c r="CL153" s="82">
        <f t="shared" si="929"/>
        <v>14396700</v>
      </c>
      <c r="CM153" s="82"/>
      <c r="CN153" s="82"/>
      <c r="CO153" s="82">
        <f t="shared" si="35"/>
        <v>0</v>
      </c>
      <c r="CP153" s="82">
        <f t="shared" si="36"/>
        <v>0</v>
      </c>
      <c r="CQ153" s="82"/>
      <c r="CR153" s="82"/>
      <c r="CS153" s="82"/>
      <c r="CT153" s="82"/>
      <c r="CU153" s="82">
        <f t="shared" si="930"/>
        <v>0</v>
      </c>
      <c r="CV153" s="82">
        <f t="shared" si="931"/>
        <v>0</v>
      </c>
      <c r="CW153" s="82">
        <f t="shared" si="39"/>
        <v>10</v>
      </c>
      <c r="CX153" s="82">
        <f t="shared" si="932"/>
        <v>14396700</v>
      </c>
      <c r="CY153" s="82">
        <f t="shared" si="41"/>
        <v>0</v>
      </c>
      <c r="CZ153" s="82">
        <f t="shared" si="345"/>
        <v>7</v>
      </c>
      <c r="DA153" s="82">
        <f t="shared" si="43"/>
        <v>10</v>
      </c>
      <c r="DB153" s="82">
        <f t="shared" si="44"/>
        <v>14396700</v>
      </c>
      <c r="DC153" s="84">
        <v>12.0</v>
      </c>
      <c r="DD153" s="82"/>
      <c r="DE153" s="82"/>
      <c r="DF153" s="82">
        <f t="shared" si="933"/>
        <v>0</v>
      </c>
      <c r="DG153" s="82">
        <f t="shared" si="934"/>
        <v>0</v>
      </c>
      <c r="DH153" s="82"/>
      <c r="DI153" s="82"/>
      <c r="DJ153" s="82"/>
      <c r="DK153" s="82"/>
      <c r="DL153" s="82">
        <f t="shared" si="935"/>
        <v>0</v>
      </c>
      <c r="DM153" s="82">
        <f t="shared" si="936"/>
        <v>0</v>
      </c>
      <c r="DN153" s="82">
        <f t="shared" si="937"/>
        <v>10</v>
      </c>
      <c r="DO153" s="82">
        <f t="shared" si="938"/>
        <v>14396700</v>
      </c>
      <c r="DP153" s="82"/>
      <c r="DQ153" s="82"/>
      <c r="DR153" s="82">
        <f t="shared" si="939"/>
        <v>0</v>
      </c>
      <c r="DS153" s="82">
        <f t="shared" si="940"/>
        <v>0</v>
      </c>
      <c r="DT153" s="82"/>
      <c r="DU153" s="82"/>
      <c r="DV153" s="82"/>
      <c r="DW153" s="82"/>
      <c r="DX153" s="82">
        <f t="shared" si="941"/>
        <v>0</v>
      </c>
      <c r="DY153" s="82">
        <f t="shared" si="942"/>
        <v>0</v>
      </c>
      <c r="DZ153" s="82">
        <f t="shared" si="943"/>
        <v>10</v>
      </c>
      <c r="EA153" s="82">
        <f t="shared" si="944"/>
        <v>14396700</v>
      </c>
      <c r="EB153" s="82"/>
      <c r="EC153" s="82"/>
      <c r="ED153" s="82">
        <f t="shared" si="945"/>
        <v>0</v>
      </c>
      <c r="EE153" s="82">
        <f t="shared" si="946"/>
        <v>0</v>
      </c>
      <c r="EF153" s="82"/>
      <c r="EG153" s="82"/>
      <c r="EH153" s="82"/>
      <c r="EI153" s="82"/>
      <c r="EJ153" s="82">
        <f t="shared" si="947"/>
        <v>0</v>
      </c>
      <c r="EK153" s="82">
        <f t="shared" si="948"/>
        <v>0</v>
      </c>
      <c r="EL153" s="82">
        <f t="shared" si="949"/>
        <v>10</v>
      </c>
      <c r="EM153" s="82">
        <f t="shared" si="950"/>
        <v>14396700</v>
      </c>
      <c r="EN153" s="82">
        <f t="shared" si="951"/>
        <v>0</v>
      </c>
      <c r="EO153" s="82">
        <f t="shared" si="952"/>
        <v>0</v>
      </c>
      <c r="EP153" s="82">
        <f t="shared" si="953"/>
        <v>10</v>
      </c>
      <c r="EQ153" s="82">
        <f t="shared" si="954"/>
        <v>14396700</v>
      </c>
      <c r="ER153" s="82"/>
      <c r="ES153" s="82"/>
      <c r="ET153" s="82">
        <f t="shared" si="955"/>
        <v>0</v>
      </c>
      <c r="EU153" s="82">
        <f t="shared" si="956"/>
        <v>0</v>
      </c>
      <c r="EV153" s="82"/>
      <c r="EW153" s="82"/>
      <c r="EX153" s="82"/>
      <c r="EY153" s="82"/>
      <c r="EZ153" s="82">
        <f t="shared" si="957"/>
        <v>0</v>
      </c>
      <c r="FA153" s="82">
        <f t="shared" si="958"/>
        <v>0</v>
      </c>
      <c r="FB153" s="82">
        <f t="shared" si="959"/>
        <v>10</v>
      </c>
      <c r="FC153" s="82">
        <f t="shared" si="960"/>
        <v>14396700</v>
      </c>
      <c r="FD153" s="82"/>
      <c r="FE153" s="82"/>
      <c r="FF153" s="82">
        <f t="shared" si="961"/>
        <v>0</v>
      </c>
      <c r="FG153" s="82">
        <f t="shared" si="962"/>
        <v>0</v>
      </c>
      <c r="FH153" s="82"/>
      <c r="FI153" s="82"/>
      <c r="FJ153" s="82"/>
      <c r="FK153" s="82"/>
      <c r="FL153" s="82">
        <f t="shared" si="963"/>
        <v>0</v>
      </c>
      <c r="FM153" s="82">
        <f t="shared" si="964"/>
        <v>0</v>
      </c>
      <c r="FN153" s="82">
        <f t="shared" si="965"/>
        <v>10</v>
      </c>
      <c r="FO153" s="82">
        <f t="shared" si="966"/>
        <v>14396700</v>
      </c>
      <c r="FP153" s="82"/>
      <c r="FQ153" s="82"/>
      <c r="FR153" s="82">
        <f t="shared" si="967"/>
        <v>0</v>
      </c>
      <c r="FS153" s="82">
        <f t="shared" si="968"/>
        <v>0</v>
      </c>
      <c r="FT153" s="82"/>
      <c r="FU153" s="82"/>
      <c r="FV153" s="82"/>
      <c r="FW153" s="82"/>
      <c r="FX153" s="82">
        <f t="shared" si="969"/>
        <v>0</v>
      </c>
      <c r="FY153" s="82">
        <f t="shared" si="970"/>
        <v>0</v>
      </c>
      <c r="FZ153" s="82">
        <f t="shared" si="971"/>
        <v>10</v>
      </c>
      <c r="GA153" s="82">
        <f t="shared" si="972"/>
        <v>14396700</v>
      </c>
      <c r="GB153" s="82">
        <f t="shared" si="973"/>
        <v>0</v>
      </c>
      <c r="GC153" s="82">
        <f t="shared" si="974"/>
        <v>0</v>
      </c>
      <c r="GD153" s="82">
        <f t="shared" si="975"/>
        <v>10</v>
      </c>
      <c r="GE153" s="82">
        <f t="shared" si="976"/>
        <v>14396700</v>
      </c>
      <c r="GF153" s="85"/>
    </row>
    <row r="154" ht="1.5" customHeight="1">
      <c r="A154" s="101"/>
      <c r="B154" s="101"/>
      <c r="C154" s="102"/>
      <c r="D154" s="101"/>
      <c r="E154" s="101"/>
      <c r="F154" s="103"/>
      <c r="G154" s="104"/>
      <c r="H154" s="104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6">
        <f t="shared" si="904"/>
        <v>0</v>
      </c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82"/>
      <c r="AS154" s="82"/>
      <c r="AT154" s="82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82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5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82">
        <f t="shared" si="44"/>
        <v>0</v>
      </c>
      <c r="DC154" s="91"/>
      <c r="DD154" s="82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5"/>
      <c r="EP154" s="105"/>
      <c r="EQ154" s="105"/>
      <c r="ER154" s="107"/>
      <c r="ES154" s="107"/>
      <c r="ET154" s="107"/>
      <c r="EU154" s="107"/>
      <c r="EV154" s="107"/>
      <c r="EW154" s="107"/>
      <c r="EX154" s="107"/>
      <c r="EY154" s="107"/>
      <c r="EZ154" s="107"/>
      <c r="FA154" s="107"/>
      <c r="FB154" s="107"/>
      <c r="FC154" s="107"/>
      <c r="FD154" s="107"/>
      <c r="FE154" s="107"/>
      <c r="FF154" s="107"/>
      <c r="FG154" s="107"/>
      <c r="FH154" s="107"/>
      <c r="FI154" s="107"/>
      <c r="FJ154" s="107"/>
      <c r="FK154" s="107"/>
      <c r="FL154" s="107"/>
      <c r="FM154" s="107"/>
      <c r="FN154" s="107"/>
      <c r="FO154" s="107"/>
      <c r="FP154" s="107"/>
      <c r="FQ154" s="107"/>
      <c r="FR154" s="107"/>
      <c r="FS154" s="107"/>
      <c r="FT154" s="107"/>
      <c r="FU154" s="107"/>
      <c r="FV154" s="107"/>
      <c r="FW154" s="107"/>
      <c r="FX154" s="107"/>
      <c r="FY154" s="107"/>
      <c r="FZ154" s="107"/>
      <c r="GA154" s="107"/>
      <c r="GB154" s="107"/>
      <c r="GC154" s="107"/>
      <c r="GD154" s="107"/>
      <c r="GE154" s="107"/>
      <c r="GF154" s="105"/>
    </row>
    <row r="155" ht="39.0" customHeight="1">
      <c r="A155" s="108" t="s">
        <v>209</v>
      </c>
      <c r="B155" s="10"/>
      <c r="C155" s="10"/>
      <c r="D155" s="10"/>
      <c r="E155" s="14"/>
      <c r="F155" s="109"/>
      <c r="G155" s="110">
        <f>SUM(G14:G153)</f>
        <v>10947</v>
      </c>
      <c r="H155" s="110">
        <f t="shared" ref="H155:Z155" si="977">SUM(H14:H154)</f>
        <v>271352727.2</v>
      </c>
      <c r="I155" s="110">
        <f t="shared" si="977"/>
        <v>0</v>
      </c>
      <c r="J155" s="110">
        <f t="shared" si="977"/>
        <v>0</v>
      </c>
      <c r="K155" s="110">
        <f t="shared" si="977"/>
        <v>0</v>
      </c>
      <c r="L155" s="110">
        <f t="shared" si="977"/>
        <v>0</v>
      </c>
      <c r="M155" s="110">
        <f t="shared" si="977"/>
        <v>23</v>
      </c>
      <c r="N155" s="110">
        <f t="shared" si="977"/>
        <v>100</v>
      </c>
      <c r="O155" s="110">
        <f t="shared" si="977"/>
        <v>6</v>
      </c>
      <c r="P155" s="110">
        <f t="shared" si="977"/>
        <v>48</v>
      </c>
      <c r="Q155" s="110">
        <f t="shared" si="977"/>
        <v>22</v>
      </c>
      <c r="R155" s="110">
        <f t="shared" si="977"/>
        <v>5</v>
      </c>
      <c r="S155" s="110">
        <f t="shared" si="977"/>
        <v>17</v>
      </c>
      <c r="T155" s="110">
        <f t="shared" si="977"/>
        <v>0</v>
      </c>
      <c r="U155" s="110">
        <f t="shared" si="977"/>
        <v>51</v>
      </c>
      <c r="V155" s="110">
        <f t="shared" si="977"/>
        <v>171</v>
      </c>
      <c r="W155" s="110">
        <f t="shared" si="977"/>
        <v>0</v>
      </c>
      <c r="X155" s="110">
        <f t="shared" si="977"/>
        <v>3</v>
      </c>
      <c r="Y155" s="110">
        <f t="shared" si="977"/>
        <v>0</v>
      </c>
      <c r="Z155" s="110">
        <f t="shared" si="977"/>
        <v>26</v>
      </c>
      <c r="AA155" s="110"/>
      <c r="AB155" s="106">
        <f t="shared" si="904"/>
        <v>472</v>
      </c>
      <c r="AC155" s="110">
        <f t="shared" ref="AC155:AQ155" si="978">SUM(AC14:AC154)</f>
        <v>18410917.74</v>
      </c>
      <c r="AD155" s="110">
        <f t="shared" si="978"/>
        <v>10443</v>
      </c>
      <c r="AE155" s="110">
        <f t="shared" si="978"/>
        <v>256212979.5</v>
      </c>
      <c r="AF155" s="110">
        <f t="shared" si="978"/>
        <v>0</v>
      </c>
      <c r="AG155" s="110">
        <f t="shared" si="978"/>
        <v>0</v>
      </c>
      <c r="AH155" s="110">
        <f t="shared" si="978"/>
        <v>0</v>
      </c>
      <c r="AI155" s="110">
        <f t="shared" si="978"/>
        <v>0</v>
      </c>
      <c r="AJ155" s="110">
        <f t="shared" si="978"/>
        <v>22</v>
      </c>
      <c r="AK155" s="110">
        <f t="shared" si="978"/>
        <v>3</v>
      </c>
      <c r="AL155" s="110">
        <f t="shared" si="978"/>
        <v>0</v>
      </c>
      <c r="AM155" s="110">
        <f t="shared" si="978"/>
        <v>0</v>
      </c>
      <c r="AN155" s="110">
        <f t="shared" si="978"/>
        <v>25</v>
      </c>
      <c r="AO155" s="110">
        <f t="shared" si="978"/>
        <v>7483403.002</v>
      </c>
      <c r="AP155" s="110">
        <f t="shared" si="978"/>
        <v>10418</v>
      </c>
      <c r="AQ155" s="110">
        <f t="shared" si="978"/>
        <v>256495148.5</v>
      </c>
      <c r="AR155" s="82"/>
      <c r="AS155" s="82"/>
      <c r="AT155" s="82"/>
      <c r="AU155" s="110">
        <f t="shared" ref="AU155:BH155" si="979">SUM(AU14:AU154)</f>
        <v>0</v>
      </c>
      <c r="AV155" s="110">
        <f t="shared" si="979"/>
        <v>0</v>
      </c>
      <c r="AW155" s="110">
        <f t="shared" si="979"/>
        <v>0</v>
      </c>
      <c r="AX155" s="110">
        <f t="shared" si="979"/>
        <v>0</v>
      </c>
      <c r="AY155" s="110">
        <f t="shared" si="979"/>
        <v>0</v>
      </c>
      <c r="AZ155" s="110">
        <f t="shared" si="979"/>
        <v>0</v>
      </c>
      <c r="BA155" s="110">
        <f t="shared" si="979"/>
        <v>0</v>
      </c>
      <c r="BB155" s="110">
        <f t="shared" si="979"/>
        <v>0</v>
      </c>
      <c r="BC155" s="110">
        <f t="shared" si="979"/>
        <v>10418</v>
      </c>
      <c r="BD155" s="110">
        <f t="shared" si="979"/>
        <v>256495148.5</v>
      </c>
      <c r="BE155" s="110">
        <f t="shared" si="979"/>
        <v>0</v>
      </c>
      <c r="BF155" s="110">
        <f t="shared" si="979"/>
        <v>479</v>
      </c>
      <c r="BG155" s="110">
        <f t="shared" si="979"/>
        <v>10418</v>
      </c>
      <c r="BH155" s="110">
        <f t="shared" si="979"/>
        <v>245364056.5</v>
      </c>
      <c r="BI155" s="110"/>
      <c r="BJ155" s="110">
        <f t="shared" ref="BJ155:BQ155" si="980">SUM(BJ14:BJ154)</f>
        <v>0</v>
      </c>
      <c r="BK155" s="110">
        <f t="shared" si="980"/>
        <v>0</v>
      </c>
      <c r="BL155" s="110">
        <f t="shared" si="980"/>
        <v>0</v>
      </c>
      <c r="BM155" s="110">
        <f t="shared" si="980"/>
        <v>129</v>
      </c>
      <c r="BN155" s="110">
        <f t="shared" si="980"/>
        <v>12</v>
      </c>
      <c r="BO155" s="110">
        <f t="shared" si="980"/>
        <v>13</v>
      </c>
      <c r="BP155" s="110">
        <f t="shared" si="980"/>
        <v>14</v>
      </c>
      <c r="BQ155" s="110">
        <f t="shared" si="980"/>
        <v>8</v>
      </c>
      <c r="BR155" s="110"/>
      <c r="BS155" s="110"/>
      <c r="BT155" s="110"/>
      <c r="BU155" s="110"/>
      <c r="BV155" s="110">
        <f t="shared" ref="BV155:DB155" si="981">SUM(BV14:BV154)</f>
        <v>28</v>
      </c>
      <c r="BW155" s="110">
        <f t="shared" si="981"/>
        <v>631</v>
      </c>
      <c r="BX155" s="110">
        <f t="shared" si="981"/>
        <v>70742367.47</v>
      </c>
      <c r="BY155" s="110">
        <f t="shared" si="981"/>
        <v>9787</v>
      </c>
      <c r="BZ155" s="110">
        <f t="shared" si="981"/>
        <v>185752781.1</v>
      </c>
      <c r="CA155" s="110">
        <f t="shared" si="981"/>
        <v>0</v>
      </c>
      <c r="CB155" s="110">
        <f t="shared" si="981"/>
        <v>0</v>
      </c>
      <c r="CC155" s="110">
        <f t="shared" si="981"/>
        <v>0</v>
      </c>
      <c r="CD155" s="110">
        <f t="shared" si="981"/>
        <v>0</v>
      </c>
      <c r="CE155" s="110">
        <f t="shared" si="981"/>
        <v>52</v>
      </c>
      <c r="CF155" s="110">
        <f t="shared" si="981"/>
        <v>27</v>
      </c>
      <c r="CG155" s="110">
        <f t="shared" si="981"/>
        <v>0</v>
      </c>
      <c r="CH155" s="110">
        <f t="shared" si="981"/>
        <v>0</v>
      </c>
      <c r="CI155" s="110">
        <f t="shared" si="981"/>
        <v>79</v>
      </c>
      <c r="CJ155" s="110">
        <f t="shared" si="981"/>
        <v>10618935.01</v>
      </c>
      <c r="CK155" s="110">
        <f t="shared" si="981"/>
        <v>9707</v>
      </c>
      <c r="CL155" s="110">
        <f t="shared" si="981"/>
        <v>175126076.1</v>
      </c>
      <c r="CM155" s="110">
        <f t="shared" si="981"/>
        <v>691</v>
      </c>
      <c r="CN155" s="110">
        <f t="shared" si="981"/>
        <v>1</v>
      </c>
      <c r="CO155" s="110">
        <f t="shared" si="981"/>
        <v>692</v>
      </c>
      <c r="CP155" s="110">
        <f t="shared" si="981"/>
        <v>28447080</v>
      </c>
      <c r="CQ155" s="110">
        <f t="shared" si="981"/>
        <v>3</v>
      </c>
      <c r="CR155" s="110">
        <f t="shared" si="981"/>
        <v>2</v>
      </c>
      <c r="CS155" s="110">
        <f t="shared" si="981"/>
        <v>0</v>
      </c>
      <c r="CT155" s="110">
        <f t="shared" si="981"/>
        <v>0</v>
      </c>
      <c r="CU155" s="110">
        <f t="shared" si="981"/>
        <v>5</v>
      </c>
      <c r="CV155" s="110">
        <f t="shared" si="981"/>
        <v>5239200</v>
      </c>
      <c r="CW155" s="110">
        <f t="shared" si="981"/>
        <v>10394</v>
      </c>
      <c r="CX155" s="110">
        <f t="shared" si="981"/>
        <v>198333956.1</v>
      </c>
      <c r="CY155" s="110">
        <f t="shared" si="981"/>
        <v>692</v>
      </c>
      <c r="CZ155" s="110">
        <f t="shared" si="981"/>
        <v>715</v>
      </c>
      <c r="DA155" s="110">
        <f t="shared" si="981"/>
        <v>10395</v>
      </c>
      <c r="DB155" s="110">
        <f t="shared" si="981"/>
        <v>199661504</v>
      </c>
      <c r="DC155" s="91"/>
      <c r="DD155" s="82"/>
      <c r="DE155" s="110">
        <f t="shared" ref="DE155:GE155" si="982">SUM(DE14:DE154)</f>
        <v>0</v>
      </c>
      <c r="DF155" s="110">
        <f t="shared" si="982"/>
        <v>1</v>
      </c>
      <c r="DG155" s="110">
        <f t="shared" si="982"/>
        <v>16983</v>
      </c>
      <c r="DH155" s="110">
        <f t="shared" si="982"/>
        <v>2</v>
      </c>
      <c r="DI155" s="110">
        <f t="shared" si="982"/>
        <v>0</v>
      </c>
      <c r="DJ155" s="110">
        <f t="shared" si="982"/>
        <v>0</v>
      </c>
      <c r="DK155" s="110">
        <f t="shared" si="982"/>
        <v>0</v>
      </c>
      <c r="DL155" s="110">
        <f t="shared" si="982"/>
        <v>2</v>
      </c>
      <c r="DM155" s="110">
        <f t="shared" si="982"/>
        <v>2553000</v>
      </c>
      <c r="DN155" s="110">
        <f t="shared" si="982"/>
        <v>9620</v>
      </c>
      <c r="DO155" s="110">
        <f t="shared" si="982"/>
        <v>167136617</v>
      </c>
      <c r="DP155" s="110">
        <f t="shared" si="982"/>
        <v>0</v>
      </c>
      <c r="DQ155" s="110">
        <f t="shared" si="982"/>
        <v>0</v>
      </c>
      <c r="DR155" s="110">
        <f t="shared" si="982"/>
        <v>0</v>
      </c>
      <c r="DS155" s="110">
        <f t="shared" si="982"/>
        <v>0</v>
      </c>
      <c r="DT155" s="110">
        <f t="shared" si="982"/>
        <v>0</v>
      </c>
      <c r="DU155" s="110">
        <f t="shared" si="982"/>
        <v>0</v>
      </c>
      <c r="DV155" s="110">
        <f t="shared" si="982"/>
        <v>0</v>
      </c>
      <c r="DW155" s="110">
        <f t="shared" si="982"/>
        <v>0</v>
      </c>
      <c r="DX155" s="110">
        <f t="shared" si="982"/>
        <v>0</v>
      </c>
      <c r="DY155" s="110">
        <f t="shared" si="982"/>
        <v>0</v>
      </c>
      <c r="DZ155" s="110">
        <f t="shared" si="982"/>
        <v>9620</v>
      </c>
      <c r="EA155" s="110">
        <f t="shared" si="982"/>
        <v>167136617</v>
      </c>
      <c r="EB155" s="110">
        <f t="shared" si="982"/>
        <v>0</v>
      </c>
      <c r="EC155" s="110">
        <f t="shared" si="982"/>
        <v>0</v>
      </c>
      <c r="ED155" s="110">
        <f t="shared" si="982"/>
        <v>0</v>
      </c>
      <c r="EE155" s="110">
        <f t="shared" si="982"/>
        <v>0</v>
      </c>
      <c r="EF155" s="110">
        <f t="shared" si="982"/>
        <v>0</v>
      </c>
      <c r="EG155" s="110">
        <f t="shared" si="982"/>
        <v>0</v>
      </c>
      <c r="EH155" s="110">
        <f t="shared" si="982"/>
        <v>0</v>
      </c>
      <c r="EI155" s="110">
        <f t="shared" si="982"/>
        <v>0</v>
      </c>
      <c r="EJ155" s="110">
        <f t="shared" si="982"/>
        <v>0</v>
      </c>
      <c r="EK155" s="110">
        <f t="shared" si="982"/>
        <v>0</v>
      </c>
      <c r="EL155" s="110">
        <f t="shared" si="982"/>
        <v>9620</v>
      </c>
      <c r="EM155" s="110">
        <f t="shared" si="982"/>
        <v>167136617</v>
      </c>
      <c r="EN155" s="110">
        <f t="shared" si="982"/>
        <v>1</v>
      </c>
      <c r="EO155" s="110">
        <f t="shared" si="982"/>
        <v>2</v>
      </c>
      <c r="EP155" s="110">
        <f t="shared" si="982"/>
        <v>9620</v>
      </c>
      <c r="EQ155" s="110">
        <f t="shared" si="982"/>
        <v>167136617</v>
      </c>
      <c r="ER155" s="110">
        <f t="shared" si="982"/>
        <v>0</v>
      </c>
      <c r="ES155" s="110">
        <f t="shared" si="982"/>
        <v>0</v>
      </c>
      <c r="ET155" s="110">
        <f t="shared" si="982"/>
        <v>0</v>
      </c>
      <c r="EU155" s="110">
        <f t="shared" si="982"/>
        <v>0</v>
      </c>
      <c r="EV155" s="110">
        <f t="shared" si="982"/>
        <v>0</v>
      </c>
      <c r="EW155" s="110">
        <f t="shared" si="982"/>
        <v>0</v>
      </c>
      <c r="EX155" s="110">
        <f t="shared" si="982"/>
        <v>0</v>
      </c>
      <c r="EY155" s="110">
        <f t="shared" si="982"/>
        <v>0</v>
      </c>
      <c r="EZ155" s="110">
        <f t="shared" si="982"/>
        <v>0</v>
      </c>
      <c r="FA155" s="110">
        <f t="shared" si="982"/>
        <v>0</v>
      </c>
      <c r="FB155" s="110">
        <f t="shared" si="982"/>
        <v>9620</v>
      </c>
      <c r="FC155" s="110">
        <f t="shared" si="982"/>
        <v>167136617</v>
      </c>
      <c r="FD155" s="110">
        <f t="shared" si="982"/>
        <v>0</v>
      </c>
      <c r="FE155" s="110">
        <f t="shared" si="982"/>
        <v>0</v>
      </c>
      <c r="FF155" s="110">
        <f t="shared" si="982"/>
        <v>0</v>
      </c>
      <c r="FG155" s="110">
        <f t="shared" si="982"/>
        <v>0</v>
      </c>
      <c r="FH155" s="110">
        <f t="shared" si="982"/>
        <v>0</v>
      </c>
      <c r="FI155" s="110">
        <f t="shared" si="982"/>
        <v>0</v>
      </c>
      <c r="FJ155" s="110">
        <f t="shared" si="982"/>
        <v>0</v>
      </c>
      <c r="FK155" s="110">
        <f t="shared" si="982"/>
        <v>0</v>
      </c>
      <c r="FL155" s="110">
        <f t="shared" si="982"/>
        <v>0</v>
      </c>
      <c r="FM155" s="110">
        <f t="shared" si="982"/>
        <v>0</v>
      </c>
      <c r="FN155" s="110">
        <f t="shared" si="982"/>
        <v>9620</v>
      </c>
      <c r="FO155" s="110">
        <f t="shared" si="982"/>
        <v>167136617</v>
      </c>
      <c r="FP155" s="110">
        <f t="shared" si="982"/>
        <v>0</v>
      </c>
      <c r="FQ155" s="110">
        <f t="shared" si="982"/>
        <v>0</v>
      </c>
      <c r="FR155" s="110">
        <f t="shared" si="982"/>
        <v>0</v>
      </c>
      <c r="FS155" s="110">
        <f t="shared" si="982"/>
        <v>0</v>
      </c>
      <c r="FT155" s="110">
        <f t="shared" si="982"/>
        <v>0</v>
      </c>
      <c r="FU155" s="110">
        <f t="shared" si="982"/>
        <v>0</v>
      </c>
      <c r="FV155" s="110">
        <f t="shared" si="982"/>
        <v>0</v>
      </c>
      <c r="FW155" s="110">
        <f t="shared" si="982"/>
        <v>0</v>
      </c>
      <c r="FX155" s="110">
        <f t="shared" si="982"/>
        <v>0</v>
      </c>
      <c r="FY155" s="110">
        <f t="shared" si="982"/>
        <v>0</v>
      </c>
      <c r="FZ155" s="110">
        <f t="shared" si="982"/>
        <v>9620</v>
      </c>
      <c r="GA155" s="110">
        <f t="shared" si="982"/>
        <v>167136617</v>
      </c>
      <c r="GB155" s="110">
        <f t="shared" si="982"/>
        <v>0</v>
      </c>
      <c r="GC155" s="110">
        <f t="shared" si="982"/>
        <v>0</v>
      </c>
      <c r="GD155" s="110">
        <f t="shared" si="982"/>
        <v>9620</v>
      </c>
      <c r="GE155" s="110">
        <f t="shared" si="982"/>
        <v>167136617</v>
      </c>
      <c r="GF155" s="105"/>
    </row>
    <row r="156" ht="6.0" customHeight="1">
      <c r="A156" s="111"/>
      <c r="B156" s="111"/>
      <c r="C156" s="111"/>
      <c r="D156" s="111"/>
      <c r="E156" s="111"/>
      <c r="F156" s="112"/>
      <c r="G156" s="111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82"/>
      <c r="AS156" s="82"/>
      <c r="AT156" s="82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82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4"/>
      <c r="DD156" s="82"/>
      <c r="DE156" s="113"/>
      <c r="DF156" s="113"/>
      <c r="DG156" s="113"/>
      <c r="DH156" s="113"/>
      <c r="DI156" s="113"/>
      <c r="DJ156" s="113"/>
      <c r="DK156" s="113"/>
      <c r="DL156" s="113"/>
      <c r="DM156" s="113"/>
      <c r="DN156" s="113"/>
      <c r="DO156" s="113"/>
      <c r="DP156" s="113"/>
      <c r="DQ156" s="113"/>
      <c r="DR156" s="113"/>
      <c r="DS156" s="113"/>
      <c r="DT156" s="113"/>
      <c r="DU156" s="113"/>
      <c r="DV156" s="113"/>
      <c r="DW156" s="113"/>
      <c r="DX156" s="113"/>
      <c r="DY156" s="113"/>
      <c r="DZ156" s="113"/>
      <c r="EA156" s="113"/>
      <c r="EB156" s="113"/>
      <c r="EC156" s="113"/>
      <c r="ED156" s="113"/>
      <c r="EE156" s="113"/>
      <c r="EF156" s="113"/>
      <c r="EG156" s="113"/>
      <c r="EH156" s="113"/>
      <c r="EI156" s="113"/>
      <c r="EJ156" s="113"/>
      <c r="EK156" s="113"/>
      <c r="EL156" s="113"/>
      <c r="EM156" s="113"/>
      <c r="EN156" s="113"/>
      <c r="EO156" s="113"/>
      <c r="EP156" s="113"/>
      <c r="EQ156" s="113"/>
      <c r="ER156" s="113"/>
      <c r="ES156" s="113"/>
      <c r="ET156" s="113"/>
      <c r="EU156" s="113"/>
      <c r="EV156" s="113"/>
      <c r="EW156" s="113"/>
      <c r="EX156" s="113"/>
      <c r="EY156" s="113"/>
      <c r="EZ156" s="113"/>
      <c r="FA156" s="113"/>
      <c r="FB156" s="113"/>
      <c r="FC156" s="113"/>
      <c r="FD156" s="113"/>
      <c r="FE156" s="113"/>
      <c r="FF156" s="113"/>
      <c r="FG156" s="113"/>
      <c r="FH156" s="113"/>
      <c r="FI156" s="113"/>
      <c r="FJ156" s="113"/>
      <c r="FK156" s="113"/>
      <c r="FL156" s="113"/>
      <c r="FM156" s="113"/>
      <c r="FN156" s="113"/>
      <c r="FO156" s="113"/>
      <c r="FP156" s="113"/>
      <c r="FQ156" s="113"/>
      <c r="FR156" s="113"/>
      <c r="FS156" s="113"/>
      <c r="FT156" s="113"/>
      <c r="FU156" s="113"/>
      <c r="FV156" s="113"/>
      <c r="FW156" s="113"/>
      <c r="FX156" s="113"/>
      <c r="FY156" s="113"/>
      <c r="FZ156" s="113"/>
      <c r="GA156" s="113"/>
      <c r="GB156" s="113"/>
      <c r="GC156" s="113"/>
      <c r="GD156" s="113"/>
      <c r="GE156" s="113"/>
      <c r="GF156" s="64"/>
    </row>
    <row r="157" ht="21.0" customHeight="1">
      <c r="A157" s="115"/>
      <c r="B157" s="115"/>
      <c r="C157" s="115"/>
      <c r="D157" s="115"/>
      <c r="E157" s="115"/>
      <c r="F157" s="116"/>
      <c r="G157" s="11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82"/>
      <c r="AS157" s="82"/>
      <c r="AT157" s="82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82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114"/>
      <c r="DD157" s="82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</row>
    <row r="158" ht="3.75" customHeight="1">
      <c r="A158" s="58"/>
      <c r="B158" s="58"/>
      <c r="C158" s="58"/>
      <c r="D158" s="59"/>
      <c r="E158" s="60"/>
      <c r="F158" s="61"/>
      <c r="G158" s="62"/>
      <c r="H158" s="63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82"/>
      <c r="AS158" s="82"/>
      <c r="AT158" s="82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82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114"/>
      <c r="DD158" s="82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</row>
    <row r="159" ht="39.75" customHeight="1">
      <c r="A159" s="67" t="s">
        <v>210</v>
      </c>
      <c r="B159" s="68"/>
      <c r="C159" s="69" t="s">
        <v>211</v>
      </c>
      <c r="D159" s="70"/>
      <c r="E159" s="71"/>
      <c r="F159" s="72"/>
      <c r="G159" s="73"/>
      <c r="H159" s="74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82"/>
      <c r="AS159" s="82"/>
      <c r="AT159" s="82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117"/>
      <c r="BF159" s="117"/>
      <c r="BG159" s="117"/>
      <c r="BH159" s="117"/>
      <c r="BI159" s="82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117"/>
      <c r="BT159" s="117"/>
      <c r="BU159" s="117"/>
      <c r="BV159" s="117"/>
      <c r="BW159" s="117"/>
      <c r="BX159" s="117"/>
      <c r="BY159" s="117"/>
      <c r="BZ159" s="117"/>
      <c r="CA159" s="117"/>
      <c r="CB159" s="117"/>
      <c r="CC159" s="117"/>
      <c r="CD159" s="117"/>
      <c r="CE159" s="117"/>
      <c r="CF159" s="117"/>
      <c r="CG159" s="117"/>
      <c r="CH159" s="117"/>
      <c r="CI159" s="117"/>
      <c r="CJ159" s="117"/>
      <c r="CK159" s="117"/>
      <c r="CL159" s="117"/>
      <c r="CM159" s="117"/>
      <c r="CN159" s="117"/>
      <c r="CO159" s="117"/>
      <c r="CP159" s="117"/>
      <c r="CQ159" s="117"/>
      <c r="CR159" s="117"/>
      <c r="CS159" s="117"/>
      <c r="CT159" s="117"/>
      <c r="CU159" s="117"/>
      <c r="CV159" s="117"/>
      <c r="CW159" s="117"/>
      <c r="CX159" s="117"/>
      <c r="CY159" s="117"/>
      <c r="CZ159" s="117"/>
      <c r="DA159" s="117"/>
      <c r="DB159" s="117"/>
      <c r="DC159" s="65"/>
      <c r="DD159" s="117"/>
      <c r="DE159" s="117"/>
      <c r="DF159" s="117"/>
      <c r="DG159" s="117"/>
      <c r="DH159" s="117"/>
      <c r="DI159" s="117"/>
      <c r="DJ159" s="117"/>
      <c r="DK159" s="117"/>
      <c r="DL159" s="117"/>
      <c r="DM159" s="117"/>
      <c r="DN159" s="117"/>
      <c r="DO159" s="117"/>
      <c r="DP159" s="117"/>
      <c r="DQ159" s="117"/>
      <c r="DR159" s="117"/>
      <c r="DS159" s="117"/>
      <c r="DT159" s="117"/>
      <c r="DU159" s="117"/>
      <c r="DV159" s="117"/>
      <c r="DW159" s="117"/>
      <c r="DX159" s="117"/>
      <c r="DY159" s="117"/>
      <c r="DZ159" s="117"/>
      <c r="EA159" s="117"/>
      <c r="EB159" s="117"/>
      <c r="EC159" s="117"/>
      <c r="ED159" s="117"/>
      <c r="EE159" s="117"/>
      <c r="EF159" s="117"/>
      <c r="EG159" s="117"/>
      <c r="EH159" s="117"/>
      <c r="EI159" s="117"/>
      <c r="EJ159" s="117"/>
      <c r="EK159" s="117"/>
      <c r="EL159" s="117"/>
      <c r="EM159" s="117"/>
      <c r="EN159" s="117"/>
      <c r="EO159" s="117"/>
      <c r="EP159" s="117"/>
      <c r="EQ159" s="117"/>
      <c r="ER159" s="118"/>
      <c r="ES159" s="118"/>
      <c r="ET159" s="118"/>
      <c r="EU159" s="118"/>
      <c r="EV159" s="118"/>
      <c r="EW159" s="118"/>
      <c r="EX159" s="118"/>
      <c r="EY159" s="118"/>
      <c r="EZ159" s="118"/>
      <c r="FA159" s="118"/>
      <c r="FB159" s="118"/>
      <c r="FC159" s="118"/>
      <c r="FD159" s="118"/>
      <c r="FE159" s="118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64"/>
    </row>
    <row r="160" ht="29.25" customHeight="1">
      <c r="A160" s="76">
        <v>1.0</v>
      </c>
      <c r="B160" s="77"/>
      <c r="C160" s="77" t="s">
        <v>212</v>
      </c>
      <c r="D160" s="92" t="s">
        <v>91</v>
      </c>
      <c r="E160" s="86">
        <v>81081.0</v>
      </c>
      <c r="F160" s="80" t="s">
        <v>86</v>
      </c>
      <c r="G160" s="81">
        <v>22.0</v>
      </c>
      <c r="H160" s="82">
        <v>1783782.0</v>
      </c>
      <c r="I160" s="82"/>
      <c r="J160" s="82"/>
      <c r="K160" s="82">
        <f t="shared" ref="K160:K172" si="983">SUM(I160:J160)</f>
        <v>0</v>
      </c>
      <c r="L160" s="82">
        <f t="shared" ref="L160:L172" si="984">K160*E160</f>
        <v>0</v>
      </c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>
        <f t="shared" ref="AB160:AB172" si="985">SUM(M160:AA160)</f>
        <v>0</v>
      </c>
      <c r="AC160" s="82">
        <f t="shared" ref="AC160:AC172" si="986">AB160*E160</f>
        <v>0</v>
      </c>
      <c r="AD160" s="82">
        <f t="shared" ref="AD160:AD172" si="987">G160+K160-AB160</f>
        <v>22</v>
      </c>
      <c r="AE160" s="82">
        <f t="shared" ref="AE160:AE172" si="988">AD160*E160</f>
        <v>1783782</v>
      </c>
      <c r="AF160" s="82"/>
      <c r="AG160" s="82"/>
      <c r="AH160" s="82">
        <f t="shared" ref="AH160:AH172" si="989">SUM(AF160:AG160)</f>
        <v>0</v>
      </c>
      <c r="AI160" s="82">
        <f t="shared" ref="AI160:AI172" si="990">AH160*E160</f>
        <v>0</v>
      </c>
      <c r="AJ160" s="82"/>
      <c r="AK160" s="82"/>
      <c r="AL160" s="82"/>
      <c r="AM160" s="82"/>
      <c r="AN160" s="82">
        <f t="shared" ref="AN160:AN172" si="991">SUM(AJ160:AM160)</f>
        <v>0</v>
      </c>
      <c r="AO160" s="82">
        <f t="shared" ref="AO160:AO172" si="992">AN160*E160</f>
        <v>0</v>
      </c>
      <c r="AP160" s="82">
        <f t="shared" ref="AP160:AP172" si="993">AD160+AH160-AN160</f>
        <v>22</v>
      </c>
      <c r="AQ160" s="82">
        <f t="shared" ref="AQ160:AQ172" si="994">AP160*E160</f>
        <v>1783782</v>
      </c>
      <c r="AR160" s="82"/>
      <c r="AS160" s="82"/>
      <c r="AT160" s="82"/>
      <c r="AU160" s="82">
        <f t="shared" ref="AU160:AU172" si="995">SUM(AS160:AT160)</f>
        <v>0</v>
      </c>
      <c r="AV160" s="82">
        <f t="shared" ref="AV160:AV172" si="996">AU160*AB160</f>
        <v>0</v>
      </c>
      <c r="AW160" s="82"/>
      <c r="AX160" s="82"/>
      <c r="AY160" s="82"/>
      <c r="AZ160" s="82"/>
      <c r="BA160" s="82">
        <f t="shared" ref="BA160:BA172" si="997">SUM(AW160:AZ160)</f>
        <v>0</v>
      </c>
      <c r="BB160" s="82">
        <f t="shared" ref="BB160:BB172" si="998">BA160*AB160</f>
        <v>0</v>
      </c>
      <c r="BC160" s="82">
        <f t="shared" ref="BC160:BC172" si="999">AP160+AU160-BA160</f>
        <v>22</v>
      </c>
      <c r="BD160" s="82">
        <f t="shared" ref="BD160:BD172" si="1000">BC160*E160</f>
        <v>1783782</v>
      </c>
      <c r="BE160" s="82">
        <f t="shared" ref="BE160:BE172" si="1001">K160+AH160+AU160</f>
        <v>0</v>
      </c>
      <c r="BF160" s="82">
        <f t="shared" ref="BF160:BF172" si="1002">AB160+AN160+BA160</f>
        <v>0</v>
      </c>
      <c r="BG160" s="82">
        <f t="shared" ref="BG160:BG172" si="1003">G160+BE160-BF160</f>
        <v>22</v>
      </c>
      <c r="BH160" s="82">
        <f t="shared" ref="BH160:BH172" si="1004">BG160*E160</f>
        <v>1783782</v>
      </c>
      <c r="BI160" s="82"/>
      <c r="BJ160" s="83"/>
      <c r="BK160" s="82">
        <f t="shared" ref="BK160:BK172" si="1005">SUM(BI160:BJ160)</f>
        <v>0</v>
      </c>
      <c r="BL160" s="82">
        <f t="shared" ref="BL160:BL172" si="1006">BK160*E160</f>
        <v>0</v>
      </c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>
        <f t="shared" ref="BW160:BW172" si="1007">SUM(BM160:BV160)</f>
        <v>0</v>
      </c>
      <c r="BX160" s="82">
        <f t="shared" ref="BX160:BX172" si="1008">BW160*E160</f>
        <v>0</v>
      </c>
      <c r="BY160" s="82">
        <f t="shared" ref="BY160:BY172" si="1009">BG160+BK160-BW160</f>
        <v>22</v>
      </c>
      <c r="BZ160" s="82">
        <f t="shared" ref="BZ160:BZ172" si="1010">BY160*E160</f>
        <v>1783782</v>
      </c>
      <c r="CA160" s="82"/>
      <c r="CB160" s="82"/>
      <c r="CC160" s="82">
        <f t="shared" ref="CC160:CC172" si="1011">sum(CA160:CB160)</f>
        <v>0</v>
      </c>
      <c r="CD160" s="82">
        <f t="shared" ref="CD160:CD172" si="1012">CC160*E160</f>
        <v>0</v>
      </c>
      <c r="CE160" s="82"/>
      <c r="CF160" s="82"/>
      <c r="CG160" s="82"/>
      <c r="CH160" s="82"/>
      <c r="CI160" s="82">
        <f t="shared" ref="CI160:CI172" si="1013">sum(CE160:CH160)</f>
        <v>0</v>
      </c>
      <c r="CJ160" s="82">
        <f t="shared" ref="CJ160:CJ172" si="1014">CI160*E160</f>
        <v>0</v>
      </c>
      <c r="CK160" s="82">
        <f t="shared" ref="CK160:CK172" si="1015">BY160+CC160-CI160</f>
        <v>22</v>
      </c>
      <c r="CL160" s="82">
        <f t="shared" ref="CL160:CL172" si="1016">CK160*E160</f>
        <v>1783782</v>
      </c>
      <c r="CN160" s="82"/>
      <c r="CO160" s="82">
        <f>SUM(CN160)</f>
        <v>0</v>
      </c>
      <c r="CP160" s="82">
        <f t="shared" ref="CP160:CP172" si="1017">CO160*E160</f>
        <v>0</v>
      </c>
      <c r="CQ160" s="82"/>
      <c r="CR160" s="82"/>
      <c r="CS160" s="82"/>
      <c r="CT160" s="82"/>
      <c r="CU160" s="82">
        <f t="shared" ref="CU160:CU172" si="1018">sum(CQ160:CT160)</f>
        <v>0</v>
      </c>
      <c r="CV160" s="82">
        <f t="shared" ref="CV160:CV172" si="1019">CU160*E160</f>
        <v>0</v>
      </c>
      <c r="CW160" s="82">
        <f t="shared" ref="CW160:CW172" si="1020">CK160+CO160-CU160</f>
        <v>22</v>
      </c>
      <c r="CX160" s="82">
        <f t="shared" ref="CX160:CX172" si="1021">CW160*E160</f>
        <v>1783782</v>
      </c>
      <c r="CY160" s="82">
        <f t="shared" ref="CY160:CY172" si="1022">BK160+CC160+CO160</f>
        <v>0</v>
      </c>
      <c r="CZ160" s="82">
        <f t="shared" ref="CZ160:CZ172" si="1023">BW160+CI160+CU160</f>
        <v>0</v>
      </c>
      <c r="DA160" s="82">
        <f t="shared" ref="DA160:DA172" si="1024">BG160+CY160-CZ160</f>
        <v>22</v>
      </c>
      <c r="DB160" s="82">
        <f t="shared" ref="DB160:DB172" si="1025">DA160*E160</f>
        <v>1783782</v>
      </c>
      <c r="DC160" s="119"/>
      <c r="DE160" s="82"/>
      <c r="DF160" s="82">
        <f>SUM(DE160)</f>
        <v>0</v>
      </c>
      <c r="DG160" s="82">
        <f t="shared" ref="DG160:DG171" si="1026">DF160*U160</f>
        <v>0</v>
      </c>
      <c r="DH160" s="82"/>
      <c r="DI160" s="82">
        <f>SUM(DH160)</f>
        <v>0</v>
      </c>
      <c r="DJ160" s="82">
        <f t="shared" ref="DJ160:DJ172" si="1027">DI160*X160</f>
        <v>0</v>
      </c>
      <c r="DK160" s="82"/>
      <c r="DL160" s="82">
        <f t="shared" ref="DL160:DL172" si="1028">sum(DH160:DK160)</f>
        <v>0</v>
      </c>
      <c r="DM160" s="82">
        <f t="shared" ref="DM160:DM172" si="1029">DL160*E160</f>
        <v>0</v>
      </c>
      <c r="DN160" s="82">
        <f t="shared" ref="DN160:DN172" si="1030">DA160+DF160-DL160</f>
        <v>22</v>
      </c>
      <c r="DO160" s="82">
        <f t="shared" ref="DO160:DO172" si="1031">DN160*E160</f>
        <v>1783782</v>
      </c>
      <c r="DP160" s="82"/>
      <c r="DQ160" s="82"/>
      <c r="DR160" s="82">
        <f t="shared" ref="DR160:DR172" si="1032">sum(DP160:DQ160)</f>
        <v>0</v>
      </c>
      <c r="DS160" s="82">
        <f t="shared" ref="DS160:DS172" si="1033">DR160*AB160</f>
        <v>0</v>
      </c>
      <c r="DT160" s="82"/>
      <c r="DU160" s="82"/>
      <c r="DV160" s="82"/>
      <c r="DW160" s="82"/>
      <c r="DX160" s="82">
        <f t="shared" ref="DX160:DX172" si="1034">sum(DT160:DW160)</f>
        <v>0</v>
      </c>
      <c r="DY160" s="82">
        <f t="shared" ref="DY160:DY172" si="1035">DX160*AB160</f>
        <v>0</v>
      </c>
      <c r="DZ160" s="82">
        <f t="shared" ref="DZ160:DZ172" si="1036">DN160+DR160-DX160</f>
        <v>22</v>
      </c>
      <c r="EA160" s="82">
        <f t="shared" ref="EA160:EA172" si="1037">DZ160*E160</f>
        <v>1783782</v>
      </c>
      <c r="EB160" s="82"/>
      <c r="EC160" s="82"/>
      <c r="ED160" s="82">
        <f t="shared" ref="ED160:ED172" si="1038">sum(EB160:EC160)</f>
        <v>0</v>
      </c>
      <c r="EE160" s="82">
        <f t="shared" ref="EE160:EE172" si="1039">ED160*AN160</f>
        <v>0</v>
      </c>
      <c r="EF160" s="82"/>
      <c r="EG160" s="82"/>
      <c r="EH160" s="82"/>
      <c r="EI160" s="82"/>
      <c r="EJ160" s="82">
        <f t="shared" ref="EJ160:EJ172" si="1040">sum(EF160:EI160)</f>
        <v>0</v>
      </c>
      <c r="EK160" s="82">
        <f t="shared" ref="EK160:EK172" si="1041">EJ160*AN160</f>
        <v>0</v>
      </c>
      <c r="EL160" s="82">
        <f t="shared" ref="EL160:EL172" si="1042">DZ160+ED160-EJ160</f>
        <v>22</v>
      </c>
      <c r="EM160" s="82">
        <f t="shared" ref="EM160:EM172" si="1043">EL160*E160</f>
        <v>1783782</v>
      </c>
      <c r="EN160" s="82">
        <f t="shared" ref="EN160:EN172" si="1044">DF160+DR160+ED160</f>
        <v>0</v>
      </c>
      <c r="EO160" s="82">
        <f t="shared" ref="EO160:EO172" si="1045">DL160+DX160+EJ160</f>
        <v>0</v>
      </c>
      <c r="EP160" s="82">
        <f t="shared" ref="EP160:EP172" si="1046">DA160+EN160-EO160</f>
        <v>22</v>
      </c>
      <c r="EQ160" s="82">
        <f t="shared" ref="EQ160:EQ172" si="1047">EP160*E160</f>
        <v>1783782</v>
      </c>
      <c r="ER160" s="82"/>
      <c r="ES160" s="82"/>
      <c r="ET160" s="82">
        <f t="shared" ref="ET160:ET172" si="1048">sum(ER160:ES160)</f>
        <v>0</v>
      </c>
      <c r="EU160" s="82">
        <f t="shared" ref="EU160:EU172" si="1049">ET160*BE160</f>
        <v>0</v>
      </c>
      <c r="EV160" s="82"/>
      <c r="EW160" s="82"/>
      <c r="EX160" s="82"/>
      <c r="EY160" s="82"/>
      <c r="EZ160" s="82">
        <f t="shared" ref="EZ160:EZ172" si="1050">sum(EV160:EY160)</f>
        <v>0</v>
      </c>
      <c r="FA160" s="82">
        <f t="shared" ref="FA160:FA172" si="1051">EZ160*BE160</f>
        <v>0</v>
      </c>
      <c r="FB160" s="82">
        <f t="shared" ref="FB160:FB172" si="1052">EP160+ET160-EZ160</f>
        <v>22</v>
      </c>
      <c r="FC160" s="82">
        <f t="shared" ref="FC160:FC172" si="1053">FB160*E160</f>
        <v>1783782</v>
      </c>
      <c r="FD160" s="82"/>
      <c r="FE160" s="82"/>
      <c r="FF160" s="82">
        <f t="shared" ref="FF160:FF172" si="1054">sum(FD160:FE160)</f>
        <v>0</v>
      </c>
      <c r="FG160" s="82">
        <f t="shared" ref="FG160:FG172" si="1055">FF160*BW160</f>
        <v>0</v>
      </c>
      <c r="FH160" s="82"/>
      <c r="FI160" s="82"/>
      <c r="FJ160" s="82"/>
      <c r="FK160" s="82"/>
      <c r="FL160" s="82">
        <f t="shared" ref="FL160:FL172" si="1056">sum(FH160:FK160)</f>
        <v>0</v>
      </c>
      <c r="FM160" s="82">
        <f t="shared" ref="FM160:FM172" si="1057">FL160*BW160</f>
        <v>0</v>
      </c>
      <c r="FN160" s="82">
        <f t="shared" ref="FN160:FN172" si="1058">FB160+FF160-FL160</f>
        <v>22</v>
      </c>
      <c r="FO160" s="82">
        <f t="shared" ref="FO160:FO172" si="1059">FN160*E160</f>
        <v>1783782</v>
      </c>
      <c r="FP160" s="82"/>
      <c r="FQ160" s="82"/>
      <c r="FR160" s="82">
        <f t="shared" ref="FR160:FR172" si="1060">sum(FP160:FQ160)</f>
        <v>0</v>
      </c>
      <c r="FS160" s="82">
        <f t="shared" ref="FS160:FS172" si="1061">FR160*CI160</f>
        <v>0</v>
      </c>
      <c r="FT160" s="82"/>
      <c r="FU160" s="82"/>
      <c r="FV160" s="82"/>
      <c r="FW160" s="82"/>
      <c r="FX160" s="82">
        <f t="shared" ref="FX160:FX172" si="1062">sum(FT160:FW160)</f>
        <v>0</v>
      </c>
      <c r="FY160" s="82">
        <f t="shared" ref="FY160:FY172" si="1063">FX160*CI160</f>
        <v>0</v>
      </c>
      <c r="FZ160" s="82">
        <f t="shared" ref="FZ160:FZ172" si="1064">FN160+FR160-FX160</f>
        <v>22</v>
      </c>
      <c r="GA160" s="82">
        <f t="shared" ref="GA160:GA172" si="1065">FZ160*E160</f>
        <v>1783782</v>
      </c>
      <c r="GB160" s="82">
        <f t="shared" ref="GB160:GB172" si="1066">ET160+FF160+FR160</f>
        <v>0</v>
      </c>
      <c r="GC160" s="82">
        <f t="shared" ref="GC160:GC172" si="1067">EZ160+FL160+FX160</f>
        <v>0</v>
      </c>
      <c r="GD160" s="82">
        <f t="shared" ref="GD160:GD172" si="1068">EP160+GB160-GC160</f>
        <v>22</v>
      </c>
      <c r="GE160" s="82">
        <f t="shared" ref="GE160:GE172" si="1069">GD160*E160</f>
        <v>1783782</v>
      </c>
      <c r="GF160" s="85"/>
    </row>
    <row r="161" ht="29.25" customHeight="1">
      <c r="A161" s="16"/>
      <c r="B161" s="16"/>
      <c r="C161" s="16"/>
      <c r="D161" s="92" t="s">
        <v>91</v>
      </c>
      <c r="E161" s="86">
        <v>89999.91</v>
      </c>
      <c r="F161" s="80" t="s">
        <v>94</v>
      </c>
      <c r="G161" s="81">
        <v>20.0</v>
      </c>
      <c r="H161" s="82">
        <v>1799998.2000000002</v>
      </c>
      <c r="I161" s="82"/>
      <c r="J161" s="82"/>
      <c r="K161" s="82">
        <f t="shared" si="983"/>
        <v>0</v>
      </c>
      <c r="L161" s="82">
        <f t="shared" si="984"/>
        <v>0</v>
      </c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>
        <f t="shared" si="985"/>
        <v>0</v>
      </c>
      <c r="AC161" s="82">
        <f t="shared" si="986"/>
        <v>0</v>
      </c>
      <c r="AD161" s="82">
        <f t="shared" si="987"/>
        <v>20</v>
      </c>
      <c r="AE161" s="82">
        <f t="shared" si="988"/>
        <v>1799998.2</v>
      </c>
      <c r="AF161" s="82"/>
      <c r="AG161" s="82"/>
      <c r="AH161" s="82">
        <f t="shared" si="989"/>
        <v>0</v>
      </c>
      <c r="AI161" s="82">
        <f t="shared" si="990"/>
        <v>0</v>
      </c>
      <c r="AJ161" s="82"/>
      <c r="AK161" s="82"/>
      <c r="AL161" s="82"/>
      <c r="AM161" s="82"/>
      <c r="AN161" s="82">
        <f t="shared" si="991"/>
        <v>0</v>
      </c>
      <c r="AO161" s="82">
        <f t="shared" si="992"/>
        <v>0</v>
      </c>
      <c r="AP161" s="82">
        <f t="shared" si="993"/>
        <v>20</v>
      </c>
      <c r="AQ161" s="82">
        <f t="shared" si="994"/>
        <v>1799998.2</v>
      </c>
      <c r="AR161" s="82"/>
      <c r="AS161" s="82"/>
      <c r="AT161" s="82"/>
      <c r="AU161" s="82">
        <f t="shared" si="995"/>
        <v>0</v>
      </c>
      <c r="AV161" s="82">
        <f t="shared" si="996"/>
        <v>0</v>
      </c>
      <c r="AW161" s="82"/>
      <c r="AX161" s="82"/>
      <c r="AY161" s="82"/>
      <c r="AZ161" s="82"/>
      <c r="BA161" s="82">
        <f t="shared" si="997"/>
        <v>0</v>
      </c>
      <c r="BB161" s="82">
        <f t="shared" si="998"/>
        <v>0</v>
      </c>
      <c r="BC161" s="82">
        <f t="shared" si="999"/>
        <v>20</v>
      </c>
      <c r="BD161" s="82">
        <f t="shared" si="1000"/>
        <v>1799998.2</v>
      </c>
      <c r="BE161" s="82">
        <f t="shared" si="1001"/>
        <v>0</v>
      </c>
      <c r="BF161" s="82">
        <f t="shared" si="1002"/>
        <v>0</v>
      </c>
      <c r="BG161" s="82">
        <f t="shared" si="1003"/>
        <v>20</v>
      </c>
      <c r="BH161" s="82">
        <f t="shared" si="1004"/>
        <v>1799998.2</v>
      </c>
      <c r="BI161" s="82"/>
      <c r="BJ161" s="83"/>
      <c r="BK161" s="82">
        <f t="shared" si="1005"/>
        <v>0</v>
      </c>
      <c r="BL161" s="82">
        <f t="shared" si="1006"/>
        <v>0</v>
      </c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>
        <f t="shared" si="1007"/>
        <v>0</v>
      </c>
      <c r="BX161" s="82">
        <f t="shared" si="1008"/>
        <v>0</v>
      </c>
      <c r="BY161" s="82">
        <f t="shared" si="1009"/>
        <v>20</v>
      </c>
      <c r="BZ161" s="82">
        <f t="shared" si="1010"/>
        <v>1799998.2</v>
      </c>
      <c r="CA161" s="82"/>
      <c r="CB161" s="82"/>
      <c r="CC161" s="82">
        <f t="shared" si="1011"/>
        <v>0</v>
      </c>
      <c r="CD161" s="82">
        <f t="shared" si="1012"/>
        <v>0</v>
      </c>
      <c r="CE161" s="82"/>
      <c r="CF161" s="82"/>
      <c r="CG161" s="82"/>
      <c r="CH161" s="82"/>
      <c r="CI161" s="82">
        <f t="shared" si="1013"/>
        <v>0</v>
      </c>
      <c r="CJ161" s="82">
        <f t="shared" si="1014"/>
        <v>0</v>
      </c>
      <c r="CK161" s="82">
        <f t="shared" si="1015"/>
        <v>20</v>
      </c>
      <c r="CL161" s="82">
        <f t="shared" si="1016"/>
        <v>1799998.2</v>
      </c>
      <c r="CM161" s="82"/>
      <c r="CN161" s="82"/>
      <c r="CO161" s="82">
        <f t="shared" ref="CO161:CO172" si="1070">SUM(CM161:CN161)</f>
        <v>0</v>
      </c>
      <c r="CP161" s="82">
        <f t="shared" si="1017"/>
        <v>0</v>
      </c>
      <c r="CQ161" s="82"/>
      <c r="CR161" s="82"/>
      <c r="CS161" s="82"/>
      <c r="CT161" s="82"/>
      <c r="CU161" s="82">
        <f t="shared" si="1018"/>
        <v>0</v>
      </c>
      <c r="CV161" s="82">
        <f t="shared" si="1019"/>
        <v>0</v>
      </c>
      <c r="CW161" s="82">
        <f t="shared" si="1020"/>
        <v>20</v>
      </c>
      <c r="CX161" s="82">
        <f t="shared" si="1021"/>
        <v>1799998.2</v>
      </c>
      <c r="CY161" s="82">
        <f t="shared" si="1022"/>
        <v>0</v>
      </c>
      <c r="CZ161" s="82">
        <f t="shared" si="1023"/>
        <v>0</v>
      </c>
      <c r="DA161" s="82">
        <f t="shared" si="1024"/>
        <v>20</v>
      </c>
      <c r="DB161" s="82">
        <f t="shared" si="1025"/>
        <v>1799998.2</v>
      </c>
      <c r="DC161" s="91"/>
      <c r="DD161" s="82"/>
      <c r="DE161" s="82"/>
      <c r="DF161" s="82">
        <f t="shared" ref="DF161:DF189" si="1071">SUM(DD161:DE161)</f>
        <v>0</v>
      </c>
      <c r="DG161" s="82">
        <f t="shared" si="1026"/>
        <v>0</v>
      </c>
      <c r="DH161" s="82"/>
      <c r="DI161" s="82">
        <f t="shared" ref="DI161:DI171" si="1072">SUM(DG161:DH161)</f>
        <v>0</v>
      </c>
      <c r="DJ161" s="82">
        <f t="shared" si="1027"/>
        <v>0</v>
      </c>
      <c r="DK161" s="82"/>
      <c r="DL161" s="82">
        <f t="shared" si="1028"/>
        <v>0</v>
      </c>
      <c r="DM161" s="82">
        <f t="shared" si="1029"/>
        <v>0</v>
      </c>
      <c r="DN161" s="82">
        <f t="shared" si="1030"/>
        <v>20</v>
      </c>
      <c r="DO161" s="82">
        <f t="shared" si="1031"/>
        <v>1799998.2</v>
      </c>
      <c r="DP161" s="82"/>
      <c r="DQ161" s="82"/>
      <c r="DR161" s="82">
        <f t="shared" si="1032"/>
        <v>0</v>
      </c>
      <c r="DS161" s="82">
        <f t="shared" si="1033"/>
        <v>0</v>
      </c>
      <c r="DT161" s="82"/>
      <c r="DU161" s="82"/>
      <c r="DV161" s="82"/>
      <c r="DW161" s="82"/>
      <c r="DX161" s="82">
        <f t="shared" si="1034"/>
        <v>0</v>
      </c>
      <c r="DY161" s="82">
        <f t="shared" si="1035"/>
        <v>0</v>
      </c>
      <c r="DZ161" s="82">
        <f t="shared" si="1036"/>
        <v>20</v>
      </c>
      <c r="EA161" s="82">
        <f t="shared" si="1037"/>
        <v>1799998.2</v>
      </c>
      <c r="EB161" s="82"/>
      <c r="EC161" s="82"/>
      <c r="ED161" s="82">
        <f t="shared" si="1038"/>
        <v>0</v>
      </c>
      <c r="EE161" s="82">
        <f t="shared" si="1039"/>
        <v>0</v>
      </c>
      <c r="EF161" s="82"/>
      <c r="EG161" s="82"/>
      <c r="EH161" s="82"/>
      <c r="EI161" s="82"/>
      <c r="EJ161" s="82">
        <f t="shared" si="1040"/>
        <v>0</v>
      </c>
      <c r="EK161" s="82">
        <f t="shared" si="1041"/>
        <v>0</v>
      </c>
      <c r="EL161" s="82">
        <f t="shared" si="1042"/>
        <v>20</v>
      </c>
      <c r="EM161" s="82">
        <f t="shared" si="1043"/>
        <v>1799998.2</v>
      </c>
      <c r="EN161" s="82">
        <f t="shared" si="1044"/>
        <v>0</v>
      </c>
      <c r="EO161" s="82">
        <f t="shared" si="1045"/>
        <v>0</v>
      </c>
      <c r="EP161" s="82">
        <f t="shared" si="1046"/>
        <v>20</v>
      </c>
      <c r="EQ161" s="82">
        <f t="shared" si="1047"/>
        <v>1799998.2</v>
      </c>
      <c r="ER161" s="82"/>
      <c r="ES161" s="82"/>
      <c r="ET161" s="82">
        <f t="shared" si="1048"/>
        <v>0</v>
      </c>
      <c r="EU161" s="82">
        <f t="shared" si="1049"/>
        <v>0</v>
      </c>
      <c r="EV161" s="82"/>
      <c r="EW161" s="82"/>
      <c r="EX161" s="82"/>
      <c r="EY161" s="82"/>
      <c r="EZ161" s="82">
        <f t="shared" si="1050"/>
        <v>0</v>
      </c>
      <c r="FA161" s="82">
        <f t="shared" si="1051"/>
        <v>0</v>
      </c>
      <c r="FB161" s="82">
        <f t="shared" si="1052"/>
        <v>20</v>
      </c>
      <c r="FC161" s="82">
        <f t="shared" si="1053"/>
        <v>1799998.2</v>
      </c>
      <c r="FD161" s="82"/>
      <c r="FE161" s="82"/>
      <c r="FF161" s="82">
        <f t="shared" si="1054"/>
        <v>0</v>
      </c>
      <c r="FG161" s="82">
        <f t="shared" si="1055"/>
        <v>0</v>
      </c>
      <c r="FH161" s="82"/>
      <c r="FI161" s="82"/>
      <c r="FJ161" s="82"/>
      <c r="FK161" s="82"/>
      <c r="FL161" s="82">
        <f t="shared" si="1056"/>
        <v>0</v>
      </c>
      <c r="FM161" s="82">
        <f t="shared" si="1057"/>
        <v>0</v>
      </c>
      <c r="FN161" s="82">
        <f t="shared" si="1058"/>
        <v>20</v>
      </c>
      <c r="FO161" s="82">
        <f t="shared" si="1059"/>
        <v>1799998.2</v>
      </c>
      <c r="FP161" s="82"/>
      <c r="FQ161" s="82"/>
      <c r="FR161" s="82">
        <f t="shared" si="1060"/>
        <v>0</v>
      </c>
      <c r="FS161" s="82">
        <f t="shared" si="1061"/>
        <v>0</v>
      </c>
      <c r="FT161" s="82"/>
      <c r="FU161" s="82"/>
      <c r="FV161" s="82"/>
      <c r="FW161" s="82"/>
      <c r="FX161" s="82">
        <f t="shared" si="1062"/>
        <v>0</v>
      </c>
      <c r="FY161" s="82">
        <f t="shared" si="1063"/>
        <v>0</v>
      </c>
      <c r="FZ161" s="82">
        <f t="shared" si="1064"/>
        <v>20</v>
      </c>
      <c r="GA161" s="82">
        <f t="shared" si="1065"/>
        <v>1799998.2</v>
      </c>
      <c r="GB161" s="82">
        <f t="shared" si="1066"/>
        <v>0</v>
      </c>
      <c r="GC161" s="82">
        <f t="shared" si="1067"/>
        <v>0</v>
      </c>
      <c r="GD161" s="82">
        <f t="shared" si="1068"/>
        <v>20</v>
      </c>
      <c r="GE161" s="82">
        <f t="shared" si="1069"/>
        <v>1799998.2</v>
      </c>
      <c r="GF161" s="85"/>
    </row>
    <row r="162" ht="29.25" customHeight="1">
      <c r="A162" s="96">
        <v>2.0</v>
      </c>
      <c r="B162" s="58"/>
      <c r="C162" s="77" t="s">
        <v>213</v>
      </c>
      <c r="D162" s="78" t="s">
        <v>99</v>
      </c>
      <c r="E162" s="79">
        <v>21090.0</v>
      </c>
      <c r="F162" s="61" t="s">
        <v>97</v>
      </c>
      <c r="G162" s="81">
        <v>198.0</v>
      </c>
      <c r="H162" s="82">
        <v>4175820.0</v>
      </c>
      <c r="I162" s="82"/>
      <c r="J162" s="82"/>
      <c r="K162" s="82">
        <f t="shared" si="983"/>
        <v>0</v>
      </c>
      <c r="L162" s="82">
        <f t="shared" si="984"/>
        <v>0</v>
      </c>
      <c r="M162" s="82"/>
      <c r="N162" s="83">
        <v>7.0</v>
      </c>
      <c r="O162" s="82"/>
      <c r="P162" s="82"/>
      <c r="Q162" s="82"/>
      <c r="R162" s="82"/>
      <c r="S162" s="82"/>
      <c r="T162" s="82"/>
      <c r="U162" s="83">
        <v>3.0</v>
      </c>
      <c r="V162" s="82"/>
      <c r="W162" s="82"/>
      <c r="X162" s="82"/>
      <c r="Y162" s="82"/>
      <c r="Z162" s="82"/>
      <c r="AA162" s="82"/>
      <c r="AB162" s="82">
        <f t="shared" si="985"/>
        <v>10</v>
      </c>
      <c r="AC162" s="82">
        <f t="shared" si="986"/>
        <v>210900</v>
      </c>
      <c r="AD162" s="82">
        <f t="shared" si="987"/>
        <v>188</v>
      </c>
      <c r="AE162" s="82">
        <f t="shared" si="988"/>
        <v>3964920</v>
      </c>
      <c r="AF162" s="82"/>
      <c r="AG162" s="82"/>
      <c r="AH162" s="82">
        <f t="shared" si="989"/>
        <v>0</v>
      </c>
      <c r="AI162" s="82">
        <f t="shared" si="990"/>
        <v>0</v>
      </c>
      <c r="AJ162" s="82"/>
      <c r="AK162" s="82"/>
      <c r="AL162" s="82"/>
      <c r="AM162" s="82"/>
      <c r="AN162" s="82">
        <f t="shared" si="991"/>
        <v>0</v>
      </c>
      <c r="AO162" s="82">
        <f t="shared" si="992"/>
        <v>0</v>
      </c>
      <c r="AP162" s="82">
        <f t="shared" si="993"/>
        <v>188</v>
      </c>
      <c r="AQ162" s="82">
        <f t="shared" si="994"/>
        <v>3964920</v>
      </c>
      <c r="AR162" s="82"/>
      <c r="AS162" s="82"/>
      <c r="AT162" s="82"/>
      <c r="AU162" s="82">
        <f t="shared" si="995"/>
        <v>0</v>
      </c>
      <c r="AV162" s="82">
        <f t="shared" si="996"/>
        <v>0</v>
      </c>
      <c r="AW162" s="82"/>
      <c r="AX162" s="82"/>
      <c r="AY162" s="82"/>
      <c r="AZ162" s="82"/>
      <c r="BA162" s="82">
        <f t="shared" si="997"/>
        <v>0</v>
      </c>
      <c r="BB162" s="82">
        <f t="shared" si="998"/>
        <v>0</v>
      </c>
      <c r="BC162" s="82">
        <f t="shared" si="999"/>
        <v>188</v>
      </c>
      <c r="BD162" s="82">
        <f t="shared" si="1000"/>
        <v>3964920</v>
      </c>
      <c r="BE162" s="82">
        <f t="shared" si="1001"/>
        <v>0</v>
      </c>
      <c r="BF162" s="82">
        <f t="shared" si="1002"/>
        <v>10</v>
      </c>
      <c r="BG162" s="82">
        <f t="shared" si="1003"/>
        <v>188</v>
      </c>
      <c r="BH162" s="82">
        <f t="shared" si="1004"/>
        <v>3964920</v>
      </c>
      <c r="BI162" s="82"/>
      <c r="BJ162" s="83"/>
      <c r="BK162" s="82">
        <f t="shared" si="1005"/>
        <v>0</v>
      </c>
      <c r="BL162" s="82">
        <f t="shared" si="1006"/>
        <v>0</v>
      </c>
      <c r="BM162" s="82"/>
      <c r="BN162" s="82"/>
      <c r="BO162" s="82"/>
      <c r="BP162" s="82"/>
      <c r="BQ162" s="82"/>
      <c r="BR162" s="82"/>
      <c r="BS162" s="83">
        <v>5.0</v>
      </c>
      <c r="BT162" s="82"/>
      <c r="BU162" s="82"/>
      <c r="BV162" s="82"/>
      <c r="BW162" s="82">
        <f t="shared" si="1007"/>
        <v>5</v>
      </c>
      <c r="BX162" s="82">
        <f t="shared" si="1008"/>
        <v>105450</v>
      </c>
      <c r="BY162" s="82">
        <f t="shared" si="1009"/>
        <v>183</v>
      </c>
      <c r="BZ162" s="82">
        <f t="shared" si="1010"/>
        <v>3859470</v>
      </c>
      <c r="CA162" s="82"/>
      <c r="CB162" s="82"/>
      <c r="CC162" s="82">
        <f t="shared" si="1011"/>
        <v>0</v>
      </c>
      <c r="CD162" s="82">
        <f t="shared" si="1012"/>
        <v>0</v>
      </c>
      <c r="CE162" s="82"/>
      <c r="CF162" s="82"/>
      <c r="CG162" s="82"/>
      <c r="CH162" s="82"/>
      <c r="CI162" s="82">
        <f t="shared" si="1013"/>
        <v>0</v>
      </c>
      <c r="CJ162" s="82">
        <f t="shared" si="1014"/>
        <v>0</v>
      </c>
      <c r="CK162" s="82">
        <f t="shared" si="1015"/>
        <v>183</v>
      </c>
      <c r="CL162" s="82">
        <f t="shared" si="1016"/>
        <v>3859470</v>
      </c>
      <c r="CM162" s="82"/>
      <c r="CN162" s="82"/>
      <c r="CO162" s="82">
        <f t="shared" si="1070"/>
        <v>0</v>
      </c>
      <c r="CP162" s="82">
        <f t="shared" si="1017"/>
        <v>0</v>
      </c>
      <c r="CQ162" s="82"/>
      <c r="CR162" s="82"/>
      <c r="CS162" s="82"/>
      <c r="CT162" s="82"/>
      <c r="CU162" s="82">
        <f t="shared" si="1018"/>
        <v>0</v>
      </c>
      <c r="CV162" s="82">
        <f t="shared" si="1019"/>
        <v>0</v>
      </c>
      <c r="CW162" s="82">
        <f t="shared" si="1020"/>
        <v>183</v>
      </c>
      <c r="CX162" s="82">
        <f t="shared" si="1021"/>
        <v>3859470</v>
      </c>
      <c r="CY162" s="82">
        <f t="shared" si="1022"/>
        <v>0</v>
      </c>
      <c r="CZ162" s="82">
        <f t="shared" si="1023"/>
        <v>5</v>
      </c>
      <c r="DA162" s="82">
        <f t="shared" si="1024"/>
        <v>183</v>
      </c>
      <c r="DB162" s="82">
        <f t="shared" si="1025"/>
        <v>3859470</v>
      </c>
      <c r="DC162" s="91"/>
      <c r="DD162" s="82"/>
      <c r="DE162" s="82"/>
      <c r="DF162" s="82">
        <f t="shared" si="1071"/>
        <v>0</v>
      </c>
      <c r="DG162" s="82">
        <f t="shared" si="1026"/>
        <v>0</v>
      </c>
      <c r="DH162" s="82"/>
      <c r="DI162" s="82">
        <f t="shared" si="1072"/>
        <v>0</v>
      </c>
      <c r="DJ162" s="82">
        <f t="shared" si="1027"/>
        <v>0</v>
      </c>
      <c r="DK162" s="82"/>
      <c r="DL162" s="82">
        <f t="shared" si="1028"/>
        <v>0</v>
      </c>
      <c r="DM162" s="82">
        <f t="shared" si="1029"/>
        <v>0</v>
      </c>
      <c r="DN162" s="82">
        <f t="shared" si="1030"/>
        <v>183</v>
      </c>
      <c r="DO162" s="82">
        <f t="shared" si="1031"/>
        <v>3859470</v>
      </c>
      <c r="DP162" s="82"/>
      <c r="DQ162" s="82"/>
      <c r="DR162" s="82">
        <f t="shared" si="1032"/>
        <v>0</v>
      </c>
      <c r="DS162" s="82">
        <f t="shared" si="1033"/>
        <v>0</v>
      </c>
      <c r="DT162" s="82"/>
      <c r="DU162" s="82"/>
      <c r="DV162" s="82"/>
      <c r="DW162" s="82"/>
      <c r="DX162" s="82">
        <f t="shared" si="1034"/>
        <v>0</v>
      </c>
      <c r="DY162" s="82">
        <f t="shared" si="1035"/>
        <v>0</v>
      </c>
      <c r="DZ162" s="82">
        <f t="shared" si="1036"/>
        <v>183</v>
      </c>
      <c r="EA162" s="82">
        <f t="shared" si="1037"/>
        <v>3859470</v>
      </c>
      <c r="EB162" s="82"/>
      <c r="EC162" s="82"/>
      <c r="ED162" s="82">
        <f t="shared" si="1038"/>
        <v>0</v>
      </c>
      <c r="EE162" s="82">
        <f t="shared" si="1039"/>
        <v>0</v>
      </c>
      <c r="EF162" s="82"/>
      <c r="EG162" s="82"/>
      <c r="EH162" s="82"/>
      <c r="EI162" s="82"/>
      <c r="EJ162" s="82">
        <f t="shared" si="1040"/>
        <v>0</v>
      </c>
      <c r="EK162" s="82">
        <f t="shared" si="1041"/>
        <v>0</v>
      </c>
      <c r="EL162" s="82">
        <f t="shared" si="1042"/>
        <v>183</v>
      </c>
      <c r="EM162" s="82">
        <f t="shared" si="1043"/>
        <v>3859470</v>
      </c>
      <c r="EN162" s="82">
        <f t="shared" si="1044"/>
        <v>0</v>
      </c>
      <c r="EO162" s="82">
        <f t="shared" si="1045"/>
        <v>0</v>
      </c>
      <c r="EP162" s="82">
        <f t="shared" si="1046"/>
        <v>183</v>
      </c>
      <c r="EQ162" s="82">
        <f t="shared" si="1047"/>
        <v>3859470</v>
      </c>
      <c r="ER162" s="82"/>
      <c r="ES162" s="82"/>
      <c r="ET162" s="82">
        <f t="shared" si="1048"/>
        <v>0</v>
      </c>
      <c r="EU162" s="82">
        <f t="shared" si="1049"/>
        <v>0</v>
      </c>
      <c r="EV162" s="82"/>
      <c r="EW162" s="82"/>
      <c r="EX162" s="82"/>
      <c r="EY162" s="82"/>
      <c r="EZ162" s="82">
        <f t="shared" si="1050"/>
        <v>0</v>
      </c>
      <c r="FA162" s="82">
        <f t="shared" si="1051"/>
        <v>0</v>
      </c>
      <c r="FB162" s="82">
        <f t="shared" si="1052"/>
        <v>183</v>
      </c>
      <c r="FC162" s="82">
        <f t="shared" si="1053"/>
        <v>3859470</v>
      </c>
      <c r="FD162" s="82"/>
      <c r="FE162" s="82"/>
      <c r="FF162" s="82">
        <f t="shared" si="1054"/>
        <v>0</v>
      </c>
      <c r="FG162" s="82">
        <f t="shared" si="1055"/>
        <v>0</v>
      </c>
      <c r="FH162" s="82"/>
      <c r="FI162" s="82"/>
      <c r="FJ162" s="82"/>
      <c r="FK162" s="82"/>
      <c r="FL162" s="82">
        <f t="shared" si="1056"/>
        <v>0</v>
      </c>
      <c r="FM162" s="82">
        <f t="shared" si="1057"/>
        <v>0</v>
      </c>
      <c r="FN162" s="82">
        <f t="shared" si="1058"/>
        <v>183</v>
      </c>
      <c r="FO162" s="82">
        <f t="shared" si="1059"/>
        <v>3859470</v>
      </c>
      <c r="FP162" s="82"/>
      <c r="FQ162" s="82"/>
      <c r="FR162" s="82">
        <f t="shared" si="1060"/>
        <v>0</v>
      </c>
      <c r="FS162" s="82">
        <f t="shared" si="1061"/>
        <v>0</v>
      </c>
      <c r="FT162" s="82"/>
      <c r="FU162" s="82"/>
      <c r="FV162" s="82"/>
      <c r="FW162" s="82"/>
      <c r="FX162" s="82">
        <f t="shared" si="1062"/>
        <v>0</v>
      </c>
      <c r="FY162" s="82">
        <f t="shared" si="1063"/>
        <v>0</v>
      </c>
      <c r="FZ162" s="82">
        <f t="shared" si="1064"/>
        <v>183</v>
      </c>
      <c r="GA162" s="82">
        <f t="shared" si="1065"/>
        <v>3859470</v>
      </c>
      <c r="GB162" s="82">
        <f t="shared" si="1066"/>
        <v>0</v>
      </c>
      <c r="GC162" s="82">
        <f t="shared" si="1067"/>
        <v>0</v>
      </c>
      <c r="GD162" s="82">
        <f t="shared" si="1068"/>
        <v>183</v>
      </c>
      <c r="GE162" s="82">
        <f t="shared" si="1069"/>
        <v>3859470</v>
      </c>
      <c r="GF162" s="85"/>
    </row>
    <row r="163" ht="29.25" customHeight="1">
      <c r="A163" s="76">
        <v>3.0</v>
      </c>
      <c r="B163" s="77"/>
      <c r="C163" s="77" t="s">
        <v>214</v>
      </c>
      <c r="D163" s="89" t="s">
        <v>215</v>
      </c>
      <c r="E163" s="79">
        <v>41070.0</v>
      </c>
      <c r="F163" s="61" t="s">
        <v>110</v>
      </c>
      <c r="G163" s="81">
        <v>9.0</v>
      </c>
      <c r="H163" s="82">
        <v>369630.0</v>
      </c>
      <c r="I163" s="82"/>
      <c r="J163" s="82"/>
      <c r="K163" s="82">
        <f t="shared" si="983"/>
        <v>0</v>
      </c>
      <c r="L163" s="82">
        <f t="shared" si="984"/>
        <v>0</v>
      </c>
      <c r="M163" s="82"/>
      <c r="N163" s="83">
        <v>2.0</v>
      </c>
      <c r="O163" s="82"/>
      <c r="P163" s="82"/>
      <c r="Q163" s="82"/>
      <c r="R163" s="82"/>
      <c r="S163" s="82"/>
      <c r="T163" s="82"/>
      <c r="U163" s="83">
        <v>3.0</v>
      </c>
      <c r="V163" s="82"/>
      <c r="W163" s="82"/>
      <c r="X163" s="82"/>
      <c r="Y163" s="82"/>
      <c r="Z163" s="82"/>
      <c r="AA163" s="82"/>
      <c r="AB163" s="82">
        <f t="shared" si="985"/>
        <v>5</v>
      </c>
      <c r="AC163" s="82">
        <f t="shared" si="986"/>
        <v>205350</v>
      </c>
      <c r="AD163" s="82">
        <f t="shared" si="987"/>
        <v>4</v>
      </c>
      <c r="AE163" s="82">
        <f t="shared" si="988"/>
        <v>164280</v>
      </c>
      <c r="AF163" s="82"/>
      <c r="AG163" s="82"/>
      <c r="AH163" s="82">
        <f t="shared" si="989"/>
        <v>0</v>
      </c>
      <c r="AI163" s="82">
        <f t="shared" si="990"/>
        <v>0</v>
      </c>
      <c r="AJ163" s="82"/>
      <c r="AK163" s="82"/>
      <c r="AL163" s="82"/>
      <c r="AM163" s="82"/>
      <c r="AN163" s="82">
        <f t="shared" si="991"/>
        <v>0</v>
      </c>
      <c r="AO163" s="82">
        <f t="shared" si="992"/>
        <v>0</v>
      </c>
      <c r="AP163" s="82">
        <f t="shared" si="993"/>
        <v>4</v>
      </c>
      <c r="AQ163" s="82">
        <f t="shared" si="994"/>
        <v>164280</v>
      </c>
      <c r="AR163" s="82"/>
      <c r="AS163" s="82"/>
      <c r="AT163" s="82"/>
      <c r="AU163" s="82">
        <f t="shared" si="995"/>
        <v>0</v>
      </c>
      <c r="AV163" s="82">
        <f t="shared" si="996"/>
        <v>0</v>
      </c>
      <c r="AW163" s="82"/>
      <c r="AX163" s="82"/>
      <c r="AY163" s="82"/>
      <c r="AZ163" s="82"/>
      <c r="BA163" s="82">
        <f t="shared" si="997"/>
        <v>0</v>
      </c>
      <c r="BB163" s="82">
        <f t="shared" si="998"/>
        <v>0</v>
      </c>
      <c r="BC163" s="82">
        <f t="shared" si="999"/>
        <v>4</v>
      </c>
      <c r="BD163" s="82">
        <f t="shared" si="1000"/>
        <v>164280</v>
      </c>
      <c r="BE163" s="82">
        <f t="shared" si="1001"/>
        <v>0</v>
      </c>
      <c r="BF163" s="82">
        <f t="shared" si="1002"/>
        <v>5</v>
      </c>
      <c r="BG163" s="82">
        <f t="shared" si="1003"/>
        <v>4</v>
      </c>
      <c r="BH163" s="82">
        <f t="shared" si="1004"/>
        <v>164280</v>
      </c>
      <c r="BI163" s="82"/>
      <c r="BJ163" s="83"/>
      <c r="BK163" s="82">
        <f t="shared" si="1005"/>
        <v>0</v>
      </c>
      <c r="BL163" s="82">
        <f t="shared" si="1006"/>
        <v>0</v>
      </c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>
        <f t="shared" si="1007"/>
        <v>0</v>
      </c>
      <c r="BX163" s="82">
        <f t="shared" si="1008"/>
        <v>0</v>
      </c>
      <c r="BY163" s="82">
        <f t="shared" si="1009"/>
        <v>4</v>
      </c>
      <c r="BZ163" s="82">
        <f t="shared" si="1010"/>
        <v>164280</v>
      </c>
      <c r="CA163" s="82"/>
      <c r="CB163" s="82"/>
      <c r="CC163" s="82">
        <f t="shared" si="1011"/>
        <v>0</v>
      </c>
      <c r="CD163" s="82">
        <f t="shared" si="1012"/>
        <v>0</v>
      </c>
      <c r="CE163" s="82"/>
      <c r="CF163" s="82"/>
      <c r="CG163" s="82"/>
      <c r="CH163" s="82"/>
      <c r="CI163" s="82">
        <f t="shared" si="1013"/>
        <v>0</v>
      </c>
      <c r="CJ163" s="82">
        <f t="shared" si="1014"/>
        <v>0</v>
      </c>
      <c r="CK163" s="82">
        <f t="shared" si="1015"/>
        <v>4</v>
      </c>
      <c r="CL163" s="82">
        <f t="shared" si="1016"/>
        <v>164280</v>
      </c>
      <c r="CM163" s="82"/>
      <c r="CN163" s="82"/>
      <c r="CO163" s="82">
        <f t="shared" si="1070"/>
        <v>0</v>
      </c>
      <c r="CP163" s="82">
        <f t="shared" si="1017"/>
        <v>0</v>
      </c>
      <c r="CQ163" s="82"/>
      <c r="CR163" s="82"/>
      <c r="CS163" s="82"/>
      <c r="CT163" s="82"/>
      <c r="CU163" s="82">
        <f t="shared" si="1018"/>
        <v>0</v>
      </c>
      <c r="CV163" s="82">
        <f t="shared" si="1019"/>
        <v>0</v>
      </c>
      <c r="CW163" s="82">
        <f t="shared" si="1020"/>
        <v>4</v>
      </c>
      <c r="CX163" s="82">
        <f t="shared" si="1021"/>
        <v>164280</v>
      </c>
      <c r="CY163" s="82">
        <f t="shared" si="1022"/>
        <v>0</v>
      </c>
      <c r="CZ163" s="82">
        <f t="shared" si="1023"/>
        <v>0</v>
      </c>
      <c r="DA163" s="82">
        <f t="shared" si="1024"/>
        <v>4</v>
      </c>
      <c r="DB163" s="82">
        <f t="shared" si="1025"/>
        <v>164280</v>
      </c>
      <c r="DC163" s="91"/>
      <c r="DD163" s="82"/>
      <c r="DE163" s="82"/>
      <c r="DF163" s="82">
        <f t="shared" si="1071"/>
        <v>0</v>
      </c>
      <c r="DG163" s="82">
        <f t="shared" si="1026"/>
        <v>0</v>
      </c>
      <c r="DH163" s="82"/>
      <c r="DI163" s="82">
        <f t="shared" si="1072"/>
        <v>0</v>
      </c>
      <c r="DJ163" s="82">
        <f t="shared" si="1027"/>
        <v>0</v>
      </c>
      <c r="DK163" s="82"/>
      <c r="DL163" s="82">
        <f t="shared" si="1028"/>
        <v>0</v>
      </c>
      <c r="DM163" s="82">
        <f t="shared" si="1029"/>
        <v>0</v>
      </c>
      <c r="DN163" s="82">
        <f t="shared" si="1030"/>
        <v>4</v>
      </c>
      <c r="DO163" s="82">
        <f t="shared" si="1031"/>
        <v>164280</v>
      </c>
      <c r="DP163" s="82"/>
      <c r="DQ163" s="82"/>
      <c r="DR163" s="82">
        <f t="shared" si="1032"/>
        <v>0</v>
      </c>
      <c r="DS163" s="82">
        <f t="shared" si="1033"/>
        <v>0</v>
      </c>
      <c r="DT163" s="82"/>
      <c r="DU163" s="82"/>
      <c r="DV163" s="82"/>
      <c r="DW163" s="82"/>
      <c r="DX163" s="82">
        <f t="shared" si="1034"/>
        <v>0</v>
      </c>
      <c r="DY163" s="82">
        <f t="shared" si="1035"/>
        <v>0</v>
      </c>
      <c r="DZ163" s="82">
        <f t="shared" si="1036"/>
        <v>4</v>
      </c>
      <c r="EA163" s="82">
        <f t="shared" si="1037"/>
        <v>164280</v>
      </c>
      <c r="EB163" s="82"/>
      <c r="EC163" s="82"/>
      <c r="ED163" s="82">
        <f t="shared" si="1038"/>
        <v>0</v>
      </c>
      <c r="EE163" s="82">
        <f t="shared" si="1039"/>
        <v>0</v>
      </c>
      <c r="EF163" s="82"/>
      <c r="EG163" s="82"/>
      <c r="EH163" s="82"/>
      <c r="EI163" s="82"/>
      <c r="EJ163" s="82">
        <f t="shared" si="1040"/>
        <v>0</v>
      </c>
      <c r="EK163" s="82">
        <f t="shared" si="1041"/>
        <v>0</v>
      </c>
      <c r="EL163" s="82">
        <f t="shared" si="1042"/>
        <v>4</v>
      </c>
      <c r="EM163" s="82">
        <f t="shared" si="1043"/>
        <v>164280</v>
      </c>
      <c r="EN163" s="82">
        <f t="shared" si="1044"/>
        <v>0</v>
      </c>
      <c r="EO163" s="82">
        <f t="shared" si="1045"/>
        <v>0</v>
      </c>
      <c r="EP163" s="82">
        <f t="shared" si="1046"/>
        <v>4</v>
      </c>
      <c r="EQ163" s="82">
        <f t="shared" si="1047"/>
        <v>164280</v>
      </c>
      <c r="ER163" s="82"/>
      <c r="ES163" s="82"/>
      <c r="ET163" s="82">
        <f t="shared" si="1048"/>
        <v>0</v>
      </c>
      <c r="EU163" s="82">
        <f t="shared" si="1049"/>
        <v>0</v>
      </c>
      <c r="EV163" s="82"/>
      <c r="EW163" s="82"/>
      <c r="EX163" s="82"/>
      <c r="EY163" s="82"/>
      <c r="EZ163" s="82">
        <f t="shared" si="1050"/>
        <v>0</v>
      </c>
      <c r="FA163" s="82">
        <f t="shared" si="1051"/>
        <v>0</v>
      </c>
      <c r="FB163" s="82">
        <f t="shared" si="1052"/>
        <v>4</v>
      </c>
      <c r="FC163" s="82">
        <f t="shared" si="1053"/>
        <v>164280</v>
      </c>
      <c r="FD163" s="82"/>
      <c r="FE163" s="82"/>
      <c r="FF163" s="82">
        <f t="shared" si="1054"/>
        <v>0</v>
      </c>
      <c r="FG163" s="82">
        <f t="shared" si="1055"/>
        <v>0</v>
      </c>
      <c r="FH163" s="82"/>
      <c r="FI163" s="82"/>
      <c r="FJ163" s="82"/>
      <c r="FK163" s="82"/>
      <c r="FL163" s="82">
        <f t="shared" si="1056"/>
        <v>0</v>
      </c>
      <c r="FM163" s="82">
        <f t="shared" si="1057"/>
        <v>0</v>
      </c>
      <c r="FN163" s="82">
        <f t="shared" si="1058"/>
        <v>4</v>
      </c>
      <c r="FO163" s="82">
        <f t="shared" si="1059"/>
        <v>164280</v>
      </c>
      <c r="FP163" s="82"/>
      <c r="FQ163" s="82"/>
      <c r="FR163" s="82">
        <f t="shared" si="1060"/>
        <v>0</v>
      </c>
      <c r="FS163" s="82">
        <f t="shared" si="1061"/>
        <v>0</v>
      </c>
      <c r="FT163" s="82"/>
      <c r="FU163" s="82"/>
      <c r="FV163" s="82"/>
      <c r="FW163" s="82"/>
      <c r="FX163" s="82">
        <f t="shared" si="1062"/>
        <v>0</v>
      </c>
      <c r="FY163" s="82">
        <f t="shared" si="1063"/>
        <v>0</v>
      </c>
      <c r="FZ163" s="82">
        <f t="shared" si="1064"/>
        <v>4</v>
      </c>
      <c r="GA163" s="82">
        <f t="shared" si="1065"/>
        <v>164280</v>
      </c>
      <c r="GB163" s="82">
        <f t="shared" si="1066"/>
        <v>0</v>
      </c>
      <c r="GC163" s="82">
        <f t="shared" si="1067"/>
        <v>0</v>
      </c>
      <c r="GD163" s="82">
        <f t="shared" si="1068"/>
        <v>4</v>
      </c>
      <c r="GE163" s="82">
        <f t="shared" si="1069"/>
        <v>164280</v>
      </c>
      <c r="GF163" s="85"/>
    </row>
    <row r="164" ht="29.25" customHeight="1">
      <c r="A164" s="50"/>
      <c r="B164" s="50"/>
      <c r="C164" s="16"/>
      <c r="D164" s="89" t="s">
        <v>99</v>
      </c>
      <c r="E164" s="86">
        <v>34000.41</v>
      </c>
      <c r="F164" s="80" t="s">
        <v>94</v>
      </c>
      <c r="G164" s="81">
        <v>85.0</v>
      </c>
      <c r="H164" s="82">
        <v>2890034.85</v>
      </c>
      <c r="I164" s="82"/>
      <c r="J164" s="82"/>
      <c r="K164" s="82">
        <f t="shared" si="983"/>
        <v>0</v>
      </c>
      <c r="L164" s="82">
        <f t="shared" si="984"/>
        <v>0</v>
      </c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>
        <f t="shared" si="985"/>
        <v>0</v>
      </c>
      <c r="AC164" s="82">
        <f t="shared" si="986"/>
        <v>0</v>
      </c>
      <c r="AD164" s="82">
        <f t="shared" si="987"/>
        <v>85</v>
      </c>
      <c r="AE164" s="82">
        <f t="shared" si="988"/>
        <v>2890034.85</v>
      </c>
      <c r="AF164" s="82"/>
      <c r="AG164" s="82"/>
      <c r="AH164" s="82">
        <f t="shared" si="989"/>
        <v>0</v>
      </c>
      <c r="AI164" s="82">
        <f t="shared" si="990"/>
        <v>0</v>
      </c>
      <c r="AJ164" s="82"/>
      <c r="AK164" s="82"/>
      <c r="AL164" s="82"/>
      <c r="AM164" s="82"/>
      <c r="AN164" s="82">
        <f t="shared" si="991"/>
        <v>0</v>
      </c>
      <c r="AO164" s="82">
        <f t="shared" si="992"/>
        <v>0</v>
      </c>
      <c r="AP164" s="82">
        <f t="shared" si="993"/>
        <v>85</v>
      </c>
      <c r="AQ164" s="82">
        <f t="shared" si="994"/>
        <v>2890034.85</v>
      </c>
      <c r="AR164" s="82"/>
      <c r="AS164" s="82"/>
      <c r="AT164" s="82"/>
      <c r="AU164" s="82">
        <f t="shared" si="995"/>
        <v>0</v>
      </c>
      <c r="AV164" s="82">
        <f t="shared" si="996"/>
        <v>0</v>
      </c>
      <c r="AW164" s="82"/>
      <c r="AX164" s="82"/>
      <c r="AY164" s="82"/>
      <c r="AZ164" s="82"/>
      <c r="BA164" s="82">
        <f t="shared" si="997"/>
        <v>0</v>
      </c>
      <c r="BB164" s="82">
        <f t="shared" si="998"/>
        <v>0</v>
      </c>
      <c r="BC164" s="82">
        <f t="shared" si="999"/>
        <v>85</v>
      </c>
      <c r="BD164" s="82">
        <f t="shared" si="1000"/>
        <v>2890034.85</v>
      </c>
      <c r="BE164" s="82">
        <f t="shared" si="1001"/>
        <v>0</v>
      </c>
      <c r="BF164" s="82">
        <f t="shared" si="1002"/>
        <v>0</v>
      </c>
      <c r="BG164" s="82">
        <f t="shared" si="1003"/>
        <v>85</v>
      </c>
      <c r="BH164" s="82">
        <f t="shared" si="1004"/>
        <v>2890034.85</v>
      </c>
      <c r="BI164" s="82"/>
      <c r="BJ164" s="83"/>
      <c r="BK164" s="82">
        <f t="shared" si="1005"/>
        <v>0</v>
      </c>
      <c r="BL164" s="82">
        <f t="shared" si="1006"/>
        <v>0</v>
      </c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>
        <f t="shared" si="1007"/>
        <v>0</v>
      </c>
      <c r="BX164" s="82">
        <f t="shared" si="1008"/>
        <v>0</v>
      </c>
      <c r="BY164" s="82">
        <f t="shared" si="1009"/>
        <v>85</v>
      </c>
      <c r="BZ164" s="82">
        <f t="shared" si="1010"/>
        <v>2890034.85</v>
      </c>
      <c r="CA164" s="82"/>
      <c r="CB164" s="82"/>
      <c r="CC164" s="82">
        <f t="shared" si="1011"/>
        <v>0</v>
      </c>
      <c r="CD164" s="82">
        <f t="shared" si="1012"/>
        <v>0</v>
      </c>
      <c r="CE164" s="82"/>
      <c r="CF164" s="82"/>
      <c r="CG164" s="82"/>
      <c r="CH164" s="82"/>
      <c r="CI164" s="82">
        <f t="shared" si="1013"/>
        <v>0</v>
      </c>
      <c r="CJ164" s="82">
        <f t="shared" si="1014"/>
        <v>0</v>
      </c>
      <c r="CK164" s="82">
        <f t="shared" si="1015"/>
        <v>85</v>
      </c>
      <c r="CL164" s="82">
        <f t="shared" si="1016"/>
        <v>2890034.85</v>
      </c>
      <c r="CM164" s="82"/>
      <c r="CN164" s="82"/>
      <c r="CO164" s="82">
        <f t="shared" si="1070"/>
        <v>0</v>
      </c>
      <c r="CP164" s="82">
        <f t="shared" si="1017"/>
        <v>0</v>
      </c>
      <c r="CQ164" s="82"/>
      <c r="CR164" s="82"/>
      <c r="CS164" s="82"/>
      <c r="CT164" s="82"/>
      <c r="CU164" s="82">
        <f t="shared" si="1018"/>
        <v>0</v>
      </c>
      <c r="CV164" s="82">
        <f t="shared" si="1019"/>
        <v>0</v>
      </c>
      <c r="CW164" s="82">
        <f t="shared" si="1020"/>
        <v>85</v>
      </c>
      <c r="CX164" s="82">
        <f t="shared" si="1021"/>
        <v>2890034.85</v>
      </c>
      <c r="CY164" s="82">
        <f t="shared" si="1022"/>
        <v>0</v>
      </c>
      <c r="CZ164" s="82">
        <f t="shared" si="1023"/>
        <v>0</v>
      </c>
      <c r="DA164" s="82">
        <f t="shared" si="1024"/>
        <v>85</v>
      </c>
      <c r="DB164" s="82">
        <f t="shared" si="1025"/>
        <v>2890034.85</v>
      </c>
      <c r="DC164" s="91"/>
      <c r="DD164" s="82"/>
      <c r="DE164" s="82"/>
      <c r="DF164" s="82">
        <f t="shared" si="1071"/>
        <v>0</v>
      </c>
      <c r="DG164" s="82">
        <f t="shared" si="1026"/>
        <v>0</v>
      </c>
      <c r="DH164" s="82"/>
      <c r="DI164" s="82">
        <f t="shared" si="1072"/>
        <v>0</v>
      </c>
      <c r="DJ164" s="82">
        <f t="shared" si="1027"/>
        <v>0</v>
      </c>
      <c r="DK164" s="82"/>
      <c r="DL164" s="82">
        <f t="shared" si="1028"/>
        <v>0</v>
      </c>
      <c r="DM164" s="82">
        <f t="shared" si="1029"/>
        <v>0</v>
      </c>
      <c r="DN164" s="82">
        <f t="shared" si="1030"/>
        <v>85</v>
      </c>
      <c r="DO164" s="82">
        <f t="shared" si="1031"/>
        <v>2890034.85</v>
      </c>
      <c r="DP164" s="82"/>
      <c r="DQ164" s="82"/>
      <c r="DR164" s="82">
        <f t="shared" si="1032"/>
        <v>0</v>
      </c>
      <c r="DS164" s="82">
        <f t="shared" si="1033"/>
        <v>0</v>
      </c>
      <c r="DT164" s="82"/>
      <c r="DU164" s="82"/>
      <c r="DV164" s="82"/>
      <c r="DW164" s="82"/>
      <c r="DX164" s="82">
        <f t="shared" si="1034"/>
        <v>0</v>
      </c>
      <c r="DY164" s="82">
        <f t="shared" si="1035"/>
        <v>0</v>
      </c>
      <c r="DZ164" s="82">
        <f t="shared" si="1036"/>
        <v>85</v>
      </c>
      <c r="EA164" s="82">
        <f t="shared" si="1037"/>
        <v>2890034.85</v>
      </c>
      <c r="EB164" s="82"/>
      <c r="EC164" s="82"/>
      <c r="ED164" s="82">
        <f t="shared" si="1038"/>
        <v>0</v>
      </c>
      <c r="EE164" s="82">
        <f t="shared" si="1039"/>
        <v>0</v>
      </c>
      <c r="EF164" s="82"/>
      <c r="EG164" s="82"/>
      <c r="EH164" s="82"/>
      <c r="EI164" s="82"/>
      <c r="EJ164" s="82">
        <f t="shared" si="1040"/>
        <v>0</v>
      </c>
      <c r="EK164" s="82">
        <f t="shared" si="1041"/>
        <v>0</v>
      </c>
      <c r="EL164" s="82">
        <f t="shared" si="1042"/>
        <v>85</v>
      </c>
      <c r="EM164" s="82">
        <f t="shared" si="1043"/>
        <v>2890034.85</v>
      </c>
      <c r="EN164" s="82">
        <f t="shared" si="1044"/>
        <v>0</v>
      </c>
      <c r="EO164" s="82">
        <f t="shared" si="1045"/>
        <v>0</v>
      </c>
      <c r="EP164" s="82">
        <f t="shared" si="1046"/>
        <v>85</v>
      </c>
      <c r="EQ164" s="82">
        <f t="shared" si="1047"/>
        <v>2890034.85</v>
      </c>
      <c r="ER164" s="82"/>
      <c r="ES164" s="82"/>
      <c r="ET164" s="82">
        <f t="shared" si="1048"/>
        <v>0</v>
      </c>
      <c r="EU164" s="82">
        <f t="shared" si="1049"/>
        <v>0</v>
      </c>
      <c r="EV164" s="82"/>
      <c r="EW164" s="82"/>
      <c r="EX164" s="82"/>
      <c r="EY164" s="82"/>
      <c r="EZ164" s="82">
        <f t="shared" si="1050"/>
        <v>0</v>
      </c>
      <c r="FA164" s="82">
        <f t="shared" si="1051"/>
        <v>0</v>
      </c>
      <c r="FB164" s="82">
        <f t="shared" si="1052"/>
        <v>85</v>
      </c>
      <c r="FC164" s="82">
        <f t="shared" si="1053"/>
        <v>2890034.85</v>
      </c>
      <c r="FD164" s="82"/>
      <c r="FE164" s="82"/>
      <c r="FF164" s="82">
        <f t="shared" si="1054"/>
        <v>0</v>
      </c>
      <c r="FG164" s="82">
        <f t="shared" si="1055"/>
        <v>0</v>
      </c>
      <c r="FH164" s="82"/>
      <c r="FI164" s="82"/>
      <c r="FJ164" s="82"/>
      <c r="FK164" s="82"/>
      <c r="FL164" s="82">
        <f t="shared" si="1056"/>
        <v>0</v>
      </c>
      <c r="FM164" s="82">
        <f t="shared" si="1057"/>
        <v>0</v>
      </c>
      <c r="FN164" s="82">
        <f t="shared" si="1058"/>
        <v>85</v>
      </c>
      <c r="FO164" s="82">
        <f t="shared" si="1059"/>
        <v>2890034.85</v>
      </c>
      <c r="FP164" s="82"/>
      <c r="FQ164" s="82"/>
      <c r="FR164" s="82">
        <f t="shared" si="1060"/>
        <v>0</v>
      </c>
      <c r="FS164" s="82">
        <f t="shared" si="1061"/>
        <v>0</v>
      </c>
      <c r="FT164" s="82"/>
      <c r="FU164" s="82"/>
      <c r="FV164" s="82"/>
      <c r="FW164" s="82"/>
      <c r="FX164" s="82">
        <f t="shared" si="1062"/>
        <v>0</v>
      </c>
      <c r="FY164" s="82">
        <f t="shared" si="1063"/>
        <v>0</v>
      </c>
      <c r="FZ164" s="82">
        <f t="shared" si="1064"/>
        <v>85</v>
      </c>
      <c r="GA164" s="82">
        <f t="shared" si="1065"/>
        <v>2890034.85</v>
      </c>
      <c r="GB164" s="82">
        <f t="shared" si="1066"/>
        <v>0</v>
      </c>
      <c r="GC164" s="82">
        <f t="shared" si="1067"/>
        <v>0</v>
      </c>
      <c r="GD164" s="82">
        <f t="shared" si="1068"/>
        <v>85</v>
      </c>
      <c r="GE164" s="82">
        <f t="shared" si="1069"/>
        <v>2890034.85</v>
      </c>
      <c r="GF164" s="85"/>
    </row>
    <row r="165" ht="29.25" customHeight="1">
      <c r="A165" s="96">
        <v>4.0</v>
      </c>
      <c r="B165" s="58"/>
      <c r="C165" s="77" t="s">
        <v>216</v>
      </c>
      <c r="D165" s="89" t="s">
        <v>99</v>
      </c>
      <c r="E165" s="86">
        <v>34000.41</v>
      </c>
      <c r="F165" s="80" t="s">
        <v>94</v>
      </c>
      <c r="G165" s="81">
        <v>85.0</v>
      </c>
      <c r="H165" s="82">
        <v>2890034.85</v>
      </c>
      <c r="I165" s="82"/>
      <c r="J165" s="82"/>
      <c r="K165" s="82">
        <f t="shared" si="983"/>
        <v>0</v>
      </c>
      <c r="L165" s="82">
        <f t="shared" si="984"/>
        <v>0</v>
      </c>
      <c r="M165" s="82"/>
      <c r="N165" s="82"/>
      <c r="O165" s="83">
        <v>2.0</v>
      </c>
      <c r="P165" s="82"/>
      <c r="Q165" s="82"/>
      <c r="R165" s="82"/>
      <c r="S165" s="82"/>
      <c r="T165" s="82"/>
      <c r="U165" s="83">
        <v>3.0</v>
      </c>
      <c r="V165" s="82"/>
      <c r="W165" s="82"/>
      <c r="X165" s="82"/>
      <c r="Y165" s="82"/>
      <c r="Z165" s="82"/>
      <c r="AA165" s="82"/>
      <c r="AB165" s="82">
        <f t="shared" si="985"/>
        <v>5</v>
      </c>
      <c r="AC165" s="82">
        <f t="shared" si="986"/>
        <v>170002.05</v>
      </c>
      <c r="AD165" s="82">
        <f t="shared" si="987"/>
        <v>80</v>
      </c>
      <c r="AE165" s="82">
        <f t="shared" si="988"/>
        <v>2720032.8</v>
      </c>
      <c r="AF165" s="82"/>
      <c r="AG165" s="82"/>
      <c r="AH165" s="82">
        <f t="shared" si="989"/>
        <v>0</v>
      </c>
      <c r="AI165" s="82">
        <f t="shared" si="990"/>
        <v>0</v>
      </c>
      <c r="AJ165" s="82"/>
      <c r="AK165" s="82"/>
      <c r="AL165" s="82"/>
      <c r="AM165" s="82"/>
      <c r="AN165" s="82">
        <f t="shared" si="991"/>
        <v>0</v>
      </c>
      <c r="AO165" s="82">
        <f t="shared" si="992"/>
        <v>0</v>
      </c>
      <c r="AP165" s="82">
        <f t="shared" si="993"/>
        <v>80</v>
      </c>
      <c r="AQ165" s="82">
        <f t="shared" si="994"/>
        <v>2720032.8</v>
      </c>
      <c r="AR165" s="82"/>
      <c r="AS165" s="82"/>
      <c r="AT165" s="82"/>
      <c r="AU165" s="82">
        <f t="shared" si="995"/>
        <v>0</v>
      </c>
      <c r="AV165" s="82">
        <f t="shared" si="996"/>
        <v>0</v>
      </c>
      <c r="AW165" s="82"/>
      <c r="AX165" s="82"/>
      <c r="AY165" s="82"/>
      <c r="AZ165" s="82"/>
      <c r="BA165" s="82">
        <f t="shared" si="997"/>
        <v>0</v>
      </c>
      <c r="BB165" s="82">
        <f t="shared" si="998"/>
        <v>0</v>
      </c>
      <c r="BC165" s="82">
        <f t="shared" si="999"/>
        <v>80</v>
      </c>
      <c r="BD165" s="82">
        <f t="shared" si="1000"/>
        <v>2720032.8</v>
      </c>
      <c r="BE165" s="82">
        <f t="shared" si="1001"/>
        <v>0</v>
      </c>
      <c r="BF165" s="82">
        <f t="shared" si="1002"/>
        <v>5</v>
      </c>
      <c r="BG165" s="82">
        <f t="shared" si="1003"/>
        <v>80</v>
      </c>
      <c r="BH165" s="82">
        <f t="shared" si="1004"/>
        <v>2720032.8</v>
      </c>
      <c r="BI165" s="82"/>
      <c r="BJ165" s="83"/>
      <c r="BK165" s="82">
        <f t="shared" si="1005"/>
        <v>0</v>
      </c>
      <c r="BL165" s="82">
        <f t="shared" si="1006"/>
        <v>0</v>
      </c>
      <c r="BM165" s="82"/>
      <c r="BN165" s="82"/>
      <c r="BO165" s="82"/>
      <c r="BP165" s="82"/>
      <c r="BQ165" s="82"/>
      <c r="BR165" s="82"/>
      <c r="BS165" s="83">
        <v>20.0</v>
      </c>
      <c r="BT165" s="82"/>
      <c r="BU165" s="82"/>
      <c r="BV165" s="82"/>
      <c r="BW165" s="82">
        <f t="shared" si="1007"/>
        <v>20</v>
      </c>
      <c r="BX165" s="82">
        <f t="shared" si="1008"/>
        <v>680008.2</v>
      </c>
      <c r="BY165" s="82">
        <f t="shared" si="1009"/>
        <v>60</v>
      </c>
      <c r="BZ165" s="82">
        <f t="shared" si="1010"/>
        <v>2040024.6</v>
      </c>
      <c r="CA165" s="82"/>
      <c r="CB165" s="82"/>
      <c r="CC165" s="82">
        <f t="shared" si="1011"/>
        <v>0</v>
      </c>
      <c r="CD165" s="82">
        <f t="shared" si="1012"/>
        <v>0</v>
      </c>
      <c r="CE165" s="82"/>
      <c r="CF165" s="82"/>
      <c r="CG165" s="82"/>
      <c r="CH165" s="82"/>
      <c r="CI165" s="82">
        <f t="shared" si="1013"/>
        <v>0</v>
      </c>
      <c r="CJ165" s="82">
        <f t="shared" si="1014"/>
        <v>0</v>
      </c>
      <c r="CK165" s="82">
        <f t="shared" si="1015"/>
        <v>60</v>
      </c>
      <c r="CL165" s="82">
        <f t="shared" si="1016"/>
        <v>2040024.6</v>
      </c>
      <c r="CM165" s="82"/>
      <c r="CN165" s="82"/>
      <c r="CO165" s="82">
        <f t="shared" si="1070"/>
        <v>0</v>
      </c>
      <c r="CP165" s="82">
        <f t="shared" si="1017"/>
        <v>0</v>
      </c>
      <c r="CQ165" s="82"/>
      <c r="CR165" s="82"/>
      <c r="CS165" s="82"/>
      <c r="CT165" s="82"/>
      <c r="CU165" s="82">
        <f t="shared" si="1018"/>
        <v>0</v>
      </c>
      <c r="CV165" s="82">
        <f t="shared" si="1019"/>
        <v>0</v>
      </c>
      <c r="CW165" s="82">
        <f t="shared" si="1020"/>
        <v>60</v>
      </c>
      <c r="CX165" s="82">
        <f t="shared" si="1021"/>
        <v>2040024.6</v>
      </c>
      <c r="CY165" s="82">
        <f t="shared" si="1022"/>
        <v>0</v>
      </c>
      <c r="CZ165" s="82">
        <f t="shared" si="1023"/>
        <v>20</v>
      </c>
      <c r="DA165" s="82">
        <f t="shared" si="1024"/>
        <v>60</v>
      </c>
      <c r="DB165" s="82">
        <f t="shared" si="1025"/>
        <v>2040024.6</v>
      </c>
      <c r="DC165" s="91"/>
      <c r="DD165" s="82"/>
      <c r="DE165" s="82"/>
      <c r="DF165" s="82">
        <f t="shared" si="1071"/>
        <v>0</v>
      </c>
      <c r="DG165" s="82">
        <f t="shared" si="1026"/>
        <v>0</v>
      </c>
      <c r="DH165" s="82"/>
      <c r="DI165" s="82">
        <f t="shared" si="1072"/>
        <v>0</v>
      </c>
      <c r="DJ165" s="82">
        <f t="shared" si="1027"/>
        <v>0</v>
      </c>
      <c r="DK165" s="82"/>
      <c r="DL165" s="82">
        <f t="shared" si="1028"/>
        <v>0</v>
      </c>
      <c r="DM165" s="82">
        <f t="shared" si="1029"/>
        <v>0</v>
      </c>
      <c r="DN165" s="82">
        <f t="shared" si="1030"/>
        <v>60</v>
      </c>
      <c r="DO165" s="82">
        <f t="shared" si="1031"/>
        <v>2040024.6</v>
      </c>
      <c r="DP165" s="82"/>
      <c r="DQ165" s="82"/>
      <c r="DR165" s="82">
        <f t="shared" si="1032"/>
        <v>0</v>
      </c>
      <c r="DS165" s="82">
        <f t="shared" si="1033"/>
        <v>0</v>
      </c>
      <c r="DT165" s="82"/>
      <c r="DU165" s="82"/>
      <c r="DV165" s="82"/>
      <c r="DW165" s="82"/>
      <c r="DX165" s="82">
        <f t="shared" si="1034"/>
        <v>0</v>
      </c>
      <c r="DY165" s="82">
        <f t="shared" si="1035"/>
        <v>0</v>
      </c>
      <c r="DZ165" s="82">
        <f t="shared" si="1036"/>
        <v>60</v>
      </c>
      <c r="EA165" s="82">
        <f t="shared" si="1037"/>
        <v>2040024.6</v>
      </c>
      <c r="EB165" s="82"/>
      <c r="EC165" s="82"/>
      <c r="ED165" s="82">
        <f t="shared" si="1038"/>
        <v>0</v>
      </c>
      <c r="EE165" s="82">
        <f t="shared" si="1039"/>
        <v>0</v>
      </c>
      <c r="EF165" s="82"/>
      <c r="EG165" s="82"/>
      <c r="EH165" s="82"/>
      <c r="EI165" s="82"/>
      <c r="EJ165" s="82">
        <f t="shared" si="1040"/>
        <v>0</v>
      </c>
      <c r="EK165" s="82">
        <f t="shared" si="1041"/>
        <v>0</v>
      </c>
      <c r="EL165" s="82">
        <f t="shared" si="1042"/>
        <v>60</v>
      </c>
      <c r="EM165" s="82">
        <f t="shared" si="1043"/>
        <v>2040024.6</v>
      </c>
      <c r="EN165" s="82">
        <f t="shared" si="1044"/>
        <v>0</v>
      </c>
      <c r="EO165" s="82">
        <f t="shared" si="1045"/>
        <v>0</v>
      </c>
      <c r="EP165" s="82">
        <f t="shared" si="1046"/>
        <v>60</v>
      </c>
      <c r="EQ165" s="82">
        <f t="shared" si="1047"/>
        <v>2040024.6</v>
      </c>
      <c r="ER165" s="82"/>
      <c r="ES165" s="82"/>
      <c r="ET165" s="82">
        <f t="shared" si="1048"/>
        <v>0</v>
      </c>
      <c r="EU165" s="82">
        <f t="shared" si="1049"/>
        <v>0</v>
      </c>
      <c r="EV165" s="82"/>
      <c r="EW165" s="82"/>
      <c r="EX165" s="82"/>
      <c r="EY165" s="82"/>
      <c r="EZ165" s="82">
        <f t="shared" si="1050"/>
        <v>0</v>
      </c>
      <c r="FA165" s="82">
        <f t="shared" si="1051"/>
        <v>0</v>
      </c>
      <c r="FB165" s="82">
        <f t="shared" si="1052"/>
        <v>60</v>
      </c>
      <c r="FC165" s="82">
        <f t="shared" si="1053"/>
        <v>2040024.6</v>
      </c>
      <c r="FD165" s="82"/>
      <c r="FE165" s="82"/>
      <c r="FF165" s="82">
        <f t="shared" si="1054"/>
        <v>0</v>
      </c>
      <c r="FG165" s="82">
        <f t="shared" si="1055"/>
        <v>0</v>
      </c>
      <c r="FH165" s="82"/>
      <c r="FI165" s="82"/>
      <c r="FJ165" s="82"/>
      <c r="FK165" s="82"/>
      <c r="FL165" s="82">
        <f t="shared" si="1056"/>
        <v>0</v>
      </c>
      <c r="FM165" s="82">
        <f t="shared" si="1057"/>
        <v>0</v>
      </c>
      <c r="FN165" s="82">
        <f t="shared" si="1058"/>
        <v>60</v>
      </c>
      <c r="FO165" s="82">
        <f t="shared" si="1059"/>
        <v>2040024.6</v>
      </c>
      <c r="FP165" s="82"/>
      <c r="FQ165" s="82"/>
      <c r="FR165" s="82">
        <f t="shared" si="1060"/>
        <v>0</v>
      </c>
      <c r="FS165" s="82">
        <f t="shared" si="1061"/>
        <v>0</v>
      </c>
      <c r="FT165" s="82"/>
      <c r="FU165" s="82"/>
      <c r="FV165" s="82"/>
      <c r="FW165" s="82"/>
      <c r="FX165" s="82">
        <f t="shared" si="1062"/>
        <v>0</v>
      </c>
      <c r="FY165" s="82">
        <f t="shared" si="1063"/>
        <v>0</v>
      </c>
      <c r="FZ165" s="82">
        <f t="shared" si="1064"/>
        <v>60</v>
      </c>
      <c r="GA165" s="82">
        <f t="shared" si="1065"/>
        <v>2040024.6</v>
      </c>
      <c r="GB165" s="82">
        <f t="shared" si="1066"/>
        <v>0</v>
      </c>
      <c r="GC165" s="82">
        <f t="shared" si="1067"/>
        <v>0</v>
      </c>
      <c r="GD165" s="82">
        <f t="shared" si="1068"/>
        <v>60</v>
      </c>
      <c r="GE165" s="82">
        <f t="shared" si="1069"/>
        <v>2040024.6</v>
      </c>
      <c r="GF165" s="85"/>
    </row>
    <row r="166" ht="29.25" customHeight="1">
      <c r="A166" s="76">
        <v>5.0</v>
      </c>
      <c r="B166" s="88"/>
      <c r="C166" s="88" t="s">
        <v>217</v>
      </c>
      <c r="D166" s="89" t="s">
        <v>99</v>
      </c>
      <c r="E166" s="86">
        <v>30631.0</v>
      </c>
      <c r="F166" s="80" t="s">
        <v>86</v>
      </c>
      <c r="G166" s="81">
        <v>18.0</v>
      </c>
      <c r="H166" s="82">
        <v>551358.0</v>
      </c>
      <c r="I166" s="82"/>
      <c r="J166" s="82"/>
      <c r="K166" s="82">
        <f t="shared" si="983"/>
        <v>0</v>
      </c>
      <c r="L166" s="82">
        <f t="shared" si="984"/>
        <v>0</v>
      </c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>
        <f t="shared" si="985"/>
        <v>0</v>
      </c>
      <c r="AC166" s="82">
        <f t="shared" si="986"/>
        <v>0</v>
      </c>
      <c r="AD166" s="82">
        <f t="shared" si="987"/>
        <v>18</v>
      </c>
      <c r="AE166" s="82">
        <f t="shared" si="988"/>
        <v>551358</v>
      </c>
      <c r="AF166" s="82"/>
      <c r="AG166" s="82"/>
      <c r="AH166" s="82">
        <f t="shared" si="989"/>
        <v>0</v>
      </c>
      <c r="AI166" s="82">
        <f t="shared" si="990"/>
        <v>0</v>
      </c>
      <c r="AJ166" s="82"/>
      <c r="AK166" s="82"/>
      <c r="AL166" s="82"/>
      <c r="AM166" s="82"/>
      <c r="AN166" s="82">
        <f t="shared" si="991"/>
        <v>0</v>
      </c>
      <c r="AO166" s="82">
        <f t="shared" si="992"/>
        <v>0</v>
      </c>
      <c r="AP166" s="82">
        <f t="shared" si="993"/>
        <v>18</v>
      </c>
      <c r="AQ166" s="82">
        <f t="shared" si="994"/>
        <v>551358</v>
      </c>
      <c r="AR166" s="82"/>
      <c r="AS166" s="82"/>
      <c r="AT166" s="82"/>
      <c r="AU166" s="82">
        <f t="shared" si="995"/>
        <v>0</v>
      </c>
      <c r="AV166" s="82">
        <f t="shared" si="996"/>
        <v>0</v>
      </c>
      <c r="AW166" s="82"/>
      <c r="AX166" s="82"/>
      <c r="AY166" s="82"/>
      <c r="AZ166" s="82"/>
      <c r="BA166" s="82">
        <f t="shared" si="997"/>
        <v>0</v>
      </c>
      <c r="BB166" s="82">
        <f t="shared" si="998"/>
        <v>0</v>
      </c>
      <c r="BC166" s="82">
        <f t="shared" si="999"/>
        <v>18</v>
      </c>
      <c r="BD166" s="82">
        <f t="shared" si="1000"/>
        <v>551358</v>
      </c>
      <c r="BE166" s="82">
        <f t="shared" si="1001"/>
        <v>0</v>
      </c>
      <c r="BF166" s="82">
        <f t="shared" si="1002"/>
        <v>0</v>
      </c>
      <c r="BG166" s="82">
        <f t="shared" si="1003"/>
        <v>18</v>
      </c>
      <c r="BH166" s="82">
        <f t="shared" si="1004"/>
        <v>551358</v>
      </c>
      <c r="BI166" s="82"/>
      <c r="BJ166" s="83"/>
      <c r="BK166" s="82">
        <f t="shared" si="1005"/>
        <v>0</v>
      </c>
      <c r="BL166" s="82">
        <f t="shared" si="1006"/>
        <v>0</v>
      </c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>
        <f t="shared" si="1007"/>
        <v>0</v>
      </c>
      <c r="BX166" s="82">
        <f t="shared" si="1008"/>
        <v>0</v>
      </c>
      <c r="BY166" s="82">
        <f t="shared" si="1009"/>
        <v>18</v>
      </c>
      <c r="BZ166" s="82">
        <f t="shared" si="1010"/>
        <v>551358</v>
      </c>
      <c r="CA166" s="82"/>
      <c r="CB166" s="82"/>
      <c r="CC166" s="82">
        <f t="shared" si="1011"/>
        <v>0</v>
      </c>
      <c r="CD166" s="82">
        <f t="shared" si="1012"/>
        <v>0</v>
      </c>
      <c r="CE166" s="82"/>
      <c r="CF166" s="82"/>
      <c r="CG166" s="82"/>
      <c r="CH166" s="82"/>
      <c r="CI166" s="82">
        <f t="shared" si="1013"/>
        <v>0</v>
      </c>
      <c r="CJ166" s="82">
        <f t="shared" si="1014"/>
        <v>0</v>
      </c>
      <c r="CK166" s="82">
        <f t="shared" si="1015"/>
        <v>18</v>
      </c>
      <c r="CL166" s="82">
        <f t="shared" si="1016"/>
        <v>551358</v>
      </c>
      <c r="CM166" s="82"/>
      <c r="CN166" s="82"/>
      <c r="CO166" s="82">
        <f t="shared" si="1070"/>
        <v>0</v>
      </c>
      <c r="CP166" s="82">
        <f t="shared" si="1017"/>
        <v>0</v>
      </c>
      <c r="CQ166" s="82"/>
      <c r="CR166" s="82"/>
      <c r="CS166" s="82"/>
      <c r="CT166" s="82"/>
      <c r="CU166" s="82">
        <f t="shared" si="1018"/>
        <v>0</v>
      </c>
      <c r="CV166" s="82">
        <f t="shared" si="1019"/>
        <v>0</v>
      </c>
      <c r="CW166" s="82">
        <f t="shared" si="1020"/>
        <v>18</v>
      </c>
      <c r="CX166" s="82">
        <f t="shared" si="1021"/>
        <v>551358</v>
      </c>
      <c r="CY166" s="82">
        <f t="shared" si="1022"/>
        <v>0</v>
      </c>
      <c r="CZ166" s="82">
        <f t="shared" si="1023"/>
        <v>0</v>
      </c>
      <c r="DA166" s="82">
        <f t="shared" si="1024"/>
        <v>18</v>
      </c>
      <c r="DB166" s="82">
        <f t="shared" si="1025"/>
        <v>551358</v>
      </c>
      <c r="DC166" s="91"/>
      <c r="DD166" s="82"/>
      <c r="DE166" s="82"/>
      <c r="DF166" s="82">
        <f t="shared" si="1071"/>
        <v>0</v>
      </c>
      <c r="DG166" s="82">
        <f t="shared" si="1026"/>
        <v>0</v>
      </c>
      <c r="DH166" s="82"/>
      <c r="DI166" s="82">
        <f t="shared" si="1072"/>
        <v>0</v>
      </c>
      <c r="DJ166" s="82">
        <f t="shared" si="1027"/>
        <v>0</v>
      </c>
      <c r="DK166" s="82"/>
      <c r="DL166" s="82">
        <f t="shared" si="1028"/>
        <v>0</v>
      </c>
      <c r="DM166" s="82">
        <f t="shared" si="1029"/>
        <v>0</v>
      </c>
      <c r="DN166" s="82">
        <f t="shared" si="1030"/>
        <v>18</v>
      </c>
      <c r="DO166" s="82">
        <f t="shared" si="1031"/>
        <v>551358</v>
      </c>
      <c r="DP166" s="82"/>
      <c r="DQ166" s="82"/>
      <c r="DR166" s="82">
        <f t="shared" si="1032"/>
        <v>0</v>
      </c>
      <c r="DS166" s="82">
        <f t="shared" si="1033"/>
        <v>0</v>
      </c>
      <c r="DT166" s="82"/>
      <c r="DU166" s="82"/>
      <c r="DV166" s="82"/>
      <c r="DW166" s="82"/>
      <c r="DX166" s="82">
        <f t="shared" si="1034"/>
        <v>0</v>
      </c>
      <c r="DY166" s="82">
        <f t="shared" si="1035"/>
        <v>0</v>
      </c>
      <c r="DZ166" s="82">
        <f t="shared" si="1036"/>
        <v>18</v>
      </c>
      <c r="EA166" s="82">
        <f t="shared" si="1037"/>
        <v>551358</v>
      </c>
      <c r="EB166" s="82"/>
      <c r="EC166" s="82"/>
      <c r="ED166" s="82">
        <f t="shared" si="1038"/>
        <v>0</v>
      </c>
      <c r="EE166" s="82">
        <f t="shared" si="1039"/>
        <v>0</v>
      </c>
      <c r="EF166" s="82"/>
      <c r="EG166" s="82"/>
      <c r="EH166" s="82"/>
      <c r="EI166" s="82"/>
      <c r="EJ166" s="82">
        <f t="shared" si="1040"/>
        <v>0</v>
      </c>
      <c r="EK166" s="82">
        <f t="shared" si="1041"/>
        <v>0</v>
      </c>
      <c r="EL166" s="82">
        <f t="shared" si="1042"/>
        <v>18</v>
      </c>
      <c r="EM166" s="82">
        <f t="shared" si="1043"/>
        <v>551358</v>
      </c>
      <c r="EN166" s="82">
        <f t="shared" si="1044"/>
        <v>0</v>
      </c>
      <c r="EO166" s="82">
        <f t="shared" si="1045"/>
        <v>0</v>
      </c>
      <c r="EP166" s="82">
        <f t="shared" si="1046"/>
        <v>18</v>
      </c>
      <c r="EQ166" s="82">
        <f t="shared" si="1047"/>
        <v>551358</v>
      </c>
      <c r="ER166" s="82"/>
      <c r="ES166" s="82"/>
      <c r="ET166" s="82">
        <f t="shared" si="1048"/>
        <v>0</v>
      </c>
      <c r="EU166" s="82">
        <f t="shared" si="1049"/>
        <v>0</v>
      </c>
      <c r="EV166" s="82"/>
      <c r="EW166" s="82"/>
      <c r="EX166" s="82"/>
      <c r="EY166" s="82"/>
      <c r="EZ166" s="82">
        <f t="shared" si="1050"/>
        <v>0</v>
      </c>
      <c r="FA166" s="82">
        <f t="shared" si="1051"/>
        <v>0</v>
      </c>
      <c r="FB166" s="82">
        <f t="shared" si="1052"/>
        <v>18</v>
      </c>
      <c r="FC166" s="82">
        <f t="shared" si="1053"/>
        <v>551358</v>
      </c>
      <c r="FD166" s="82"/>
      <c r="FE166" s="82"/>
      <c r="FF166" s="82">
        <f t="shared" si="1054"/>
        <v>0</v>
      </c>
      <c r="FG166" s="82">
        <f t="shared" si="1055"/>
        <v>0</v>
      </c>
      <c r="FH166" s="82"/>
      <c r="FI166" s="82"/>
      <c r="FJ166" s="82"/>
      <c r="FK166" s="82"/>
      <c r="FL166" s="82">
        <f t="shared" si="1056"/>
        <v>0</v>
      </c>
      <c r="FM166" s="82">
        <f t="shared" si="1057"/>
        <v>0</v>
      </c>
      <c r="FN166" s="82">
        <f t="shared" si="1058"/>
        <v>18</v>
      </c>
      <c r="FO166" s="82">
        <f t="shared" si="1059"/>
        <v>551358</v>
      </c>
      <c r="FP166" s="82"/>
      <c r="FQ166" s="82"/>
      <c r="FR166" s="82">
        <f t="shared" si="1060"/>
        <v>0</v>
      </c>
      <c r="FS166" s="82">
        <f t="shared" si="1061"/>
        <v>0</v>
      </c>
      <c r="FT166" s="82"/>
      <c r="FU166" s="82"/>
      <c r="FV166" s="82"/>
      <c r="FW166" s="82"/>
      <c r="FX166" s="82">
        <f t="shared" si="1062"/>
        <v>0</v>
      </c>
      <c r="FY166" s="82">
        <f t="shared" si="1063"/>
        <v>0</v>
      </c>
      <c r="FZ166" s="82">
        <f t="shared" si="1064"/>
        <v>18</v>
      </c>
      <c r="GA166" s="82">
        <f t="shared" si="1065"/>
        <v>551358</v>
      </c>
      <c r="GB166" s="82">
        <f t="shared" si="1066"/>
        <v>0</v>
      </c>
      <c r="GC166" s="82">
        <f t="shared" si="1067"/>
        <v>0</v>
      </c>
      <c r="GD166" s="82">
        <f t="shared" si="1068"/>
        <v>18</v>
      </c>
      <c r="GE166" s="82">
        <f t="shared" si="1069"/>
        <v>551358</v>
      </c>
      <c r="GF166" s="85"/>
    </row>
    <row r="167" ht="29.25" customHeight="1">
      <c r="A167" s="50"/>
      <c r="B167" s="50"/>
      <c r="C167" s="16"/>
      <c r="D167" s="89" t="s">
        <v>99</v>
      </c>
      <c r="E167" s="86">
        <v>34000.41</v>
      </c>
      <c r="F167" s="80" t="s">
        <v>94</v>
      </c>
      <c r="G167" s="81">
        <v>85.0</v>
      </c>
      <c r="H167" s="82">
        <v>2890034.85</v>
      </c>
      <c r="I167" s="82"/>
      <c r="J167" s="82"/>
      <c r="K167" s="82">
        <f t="shared" si="983"/>
        <v>0</v>
      </c>
      <c r="L167" s="82">
        <f t="shared" si="984"/>
        <v>0</v>
      </c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>
        <f t="shared" si="985"/>
        <v>0</v>
      </c>
      <c r="AC167" s="82">
        <f t="shared" si="986"/>
        <v>0</v>
      </c>
      <c r="AD167" s="82">
        <f t="shared" si="987"/>
        <v>85</v>
      </c>
      <c r="AE167" s="82">
        <f t="shared" si="988"/>
        <v>2890034.85</v>
      </c>
      <c r="AF167" s="82"/>
      <c r="AG167" s="82"/>
      <c r="AH167" s="82">
        <f t="shared" si="989"/>
        <v>0</v>
      </c>
      <c r="AI167" s="82">
        <f t="shared" si="990"/>
        <v>0</v>
      </c>
      <c r="AJ167" s="82"/>
      <c r="AK167" s="82"/>
      <c r="AL167" s="82"/>
      <c r="AM167" s="82"/>
      <c r="AN167" s="82">
        <f t="shared" si="991"/>
        <v>0</v>
      </c>
      <c r="AO167" s="82">
        <f t="shared" si="992"/>
        <v>0</v>
      </c>
      <c r="AP167" s="82">
        <f t="shared" si="993"/>
        <v>85</v>
      </c>
      <c r="AQ167" s="82">
        <f t="shared" si="994"/>
        <v>2890034.85</v>
      </c>
      <c r="AR167" s="82"/>
      <c r="AS167" s="82"/>
      <c r="AT167" s="82"/>
      <c r="AU167" s="82">
        <f t="shared" si="995"/>
        <v>0</v>
      </c>
      <c r="AV167" s="82">
        <f t="shared" si="996"/>
        <v>0</v>
      </c>
      <c r="AW167" s="82"/>
      <c r="AX167" s="82"/>
      <c r="AY167" s="82"/>
      <c r="AZ167" s="82"/>
      <c r="BA167" s="82">
        <f t="shared" si="997"/>
        <v>0</v>
      </c>
      <c r="BB167" s="82">
        <f t="shared" si="998"/>
        <v>0</v>
      </c>
      <c r="BC167" s="82">
        <f t="shared" si="999"/>
        <v>85</v>
      </c>
      <c r="BD167" s="82">
        <f t="shared" si="1000"/>
        <v>2890034.85</v>
      </c>
      <c r="BE167" s="82">
        <f t="shared" si="1001"/>
        <v>0</v>
      </c>
      <c r="BF167" s="82">
        <f t="shared" si="1002"/>
        <v>0</v>
      </c>
      <c r="BG167" s="82">
        <f t="shared" si="1003"/>
        <v>85</v>
      </c>
      <c r="BH167" s="82">
        <f t="shared" si="1004"/>
        <v>2890034.85</v>
      </c>
      <c r="BI167" s="82"/>
      <c r="BJ167" s="83"/>
      <c r="BK167" s="82">
        <f t="shared" si="1005"/>
        <v>0</v>
      </c>
      <c r="BL167" s="82">
        <f t="shared" si="1006"/>
        <v>0</v>
      </c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>
        <f t="shared" si="1007"/>
        <v>0</v>
      </c>
      <c r="BX167" s="82">
        <f t="shared" si="1008"/>
        <v>0</v>
      </c>
      <c r="BY167" s="82">
        <f t="shared" si="1009"/>
        <v>85</v>
      </c>
      <c r="BZ167" s="82">
        <f t="shared" si="1010"/>
        <v>2890034.85</v>
      </c>
      <c r="CA167" s="82"/>
      <c r="CB167" s="82"/>
      <c r="CC167" s="82">
        <f t="shared" si="1011"/>
        <v>0</v>
      </c>
      <c r="CD167" s="82">
        <f t="shared" si="1012"/>
        <v>0</v>
      </c>
      <c r="CE167" s="82"/>
      <c r="CF167" s="82"/>
      <c r="CG167" s="82"/>
      <c r="CH167" s="82"/>
      <c r="CI167" s="82">
        <f t="shared" si="1013"/>
        <v>0</v>
      </c>
      <c r="CJ167" s="82">
        <f t="shared" si="1014"/>
        <v>0</v>
      </c>
      <c r="CK167" s="82">
        <f t="shared" si="1015"/>
        <v>85</v>
      </c>
      <c r="CL167" s="82">
        <f t="shared" si="1016"/>
        <v>2890034.85</v>
      </c>
      <c r="CM167" s="82"/>
      <c r="CN167" s="82"/>
      <c r="CO167" s="82">
        <f t="shared" si="1070"/>
        <v>0</v>
      </c>
      <c r="CP167" s="82">
        <f t="shared" si="1017"/>
        <v>0</v>
      </c>
      <c r="CQ167" s="82"/>
      <c r="CR167" s="82"/>
      <c r="CS167" s="82"/>
      <c r="CT167" s="82"/>
      <c r="CU167" s="82">
        <f t="shared" si="1018"/>
        <v>0</v>
      </c>
      <c r="CV167" s="82">
        <f t="shared" si="1019"/>
        <v>0</v>
      </c>
      <c r="CW167" s="82">
        <f t="shared" si="1020"/>
        <v>85</v>
      </c>
      <c r="CX167" s="82">
        <f t="shared" si="1021"/>
        <v>2890034.85</v>
      </c>
      <c r="CY167" s="82">
        <f t="shared" si="1022"/>
        <v>0</v>
      </c>
      <c r="CZ167" s="82">
        <f t="shared" si="1023"/>
        <v>0</v>
      </c>
      <c r="DA167" s="82">
        <f t="shared" si="1024"/>
        <v>85</v>
      </c>
      <c r="DB167" s="82">
        <f t="shared" si="1025"/>
        <v>2890034.85</v>
      </c>
      <c r="DC167" s="91"/>
      <c r="DD167" s="82"/>
      <c r="DE167" s="82"/>
      <c r="DF167" s="82">
        <f t="shared" si="1071"/>
        <v>0</v>
      </c>
      <c r="DG167" s="82">
        <f t="shared" si="1026"/>
        <v>0</v>
      </c>
      <c r="DH167" s="82"/>
      <c r="DI167" s="82">
        <f t="shared" si="1072"/>
        <v>0</v>
      </c>
      <c r="DJ167" s="82">
        <f t="shared" si="1027"/>
        <v>0</v>
      </c>
      <c r="DK167" s="82"/>
      <c r="DL167" s="82">
        <f t="shared" si="1028"/>
        <v>0</v>
      </c>
      <c r="DM167" s="82">
        <f t="shared" si="1029"/>
        <v>0</v>
      </c>
      <c r="DN167" s="82">
        <f t="shared" si="1030"/>
        <v>85</v>
      </c>
      <c r="DO167" s="82">
        <f t="shared" si="1031"/>
        <v>2890034.85</v>
      </c>
      <c r="DP167" s="82"/>
      <c r="DQ167" s="82"/>
      <c r="DR167" s="82">
        <f t="shared" si="1032"/>
        <v>0</v>
      </c>
      <c r="DS167" s="82">
        <f t="shared" si="1033"/>
        <v>0</v>
      </c>
      <c r="DT167" s="82"/>
      <c r="DU167" s="82"/>
      <c r="DV167" s="82"/>
      <c r="DW167" s="82"/>
      <c r="DX167" s="82">
        <f t="shared" si="1034"/>
        <v>0</v>
      </c>
      <c r="DY167" s="82">
        <f t="shared" si="1035"/>
        <v>0</v>
      </c>
      <c r="DZ167" s="82">
        <f t="shared" si="1036"/>
        <v>85</v>
      </c>
      <c r="EA167" s="82">
        <f t="shared" si="1037"/>
        <v>2890034.85</v>
      </c>
      <c r="EB167" s="82"/>
      <c r="EC167" s="82"/>
      <c r="ED167" s="82">
        <f t="shared" si="1038"/>
        <v>0</v>
      </c>
      <c r="EE167" s="82">
        <f t="shared" si="1039"/>
        <v>0</v>
      </c>
      <c r="EF167" s="82"/>
      <c r="EG167" s="82"/>
      <c r="EH167" s="82"/>
      <c r="EI167" s="82"/>
      <c r="EJ167" s="82">
        <f t="shared" si="1040"/>
        <v>0</v>
      </c>
      <c r="EK167" s="82">
        <f t="shared" si="1041"/>
        <v>0</v>
      </c>
      <c r="EL167" s="82">
        <f t="shared" si="1042"/>
        <v>85</v>
      </c>
      <c r="EM167" s="82">
        <f t="shared" si="1043"/>
        <v>2890034.85</v>
      </c>
      <c r="EN167" s="82">
        <f t="shared" si="1044"/>
        <v>0</v>
      </c>
      <c r="EO167" s="82">
        <f t="shared" si="1045"/>
        <v>0</v>
      </c>
      <c r="EP167" s="82">
        <f t="shared" si="1046"/>
        <v>85</v>
      </c>
      <c r="EQ167" s="82">
        <f t="shared" si="1047"/>
        <v>2890034.85</v>
      </c>
      <c r="ER167" s="82"/>
      <c r="ES167" s="82"/>
      <c r="ET167" s="82">
        <f t="shared" si="1048"/>
        <v>0</v>
      </c>
      <c r="EU167" s="82">
        <f t="shared" si="1049"/>
        <v>0</v>
      </c>
      <c r="EV167" s="82"/>
      <c r="EW167" s="82"/>
      <c r="EX167" s="82"/>
      <c r="EY167" s="82"/>
      <c r="EZ167" s="82">
        <f t="shared" si="1050"/>
        <v>0</v>
      </c>
      <c r="FA167" s="82">
        <f t="shared" si="1051"/>
        <v>0</v>
      </c>
      <c r="FB167" s="82">
        <f t="shared" si="1052"/>
        <v>85</v>
      </c>
      <c r="FC167" s="82">
        <f t="shared" si="1053"/>
        <v>2890034.85</v>
      </c>
      <c r="FD167" s="82"/>
      <c r="FE167" s="82"/>
      <c r="FF167" s="82">
        <f t="shared" si="1054"/>
        <v>0</v>
      </c>
      <c r="FG167" s="82">
        <f t="shared" si="1055"/>
        <v>0</v>
      </c>
      <c r="FH167" s="82"/>
      <c r="FI167" s="82"/>
      <c r="FJ167" s="82"/>
      <c r="FK167" s="82"/>
      <c r="FL167" s="82">
        <f t="shared" si="1056"/>
        <v>0</v>
      </c>
      <c r="FM167" s="82">
        <f t="shared" si="1057"/>
        <v>0</v>
      </c>
      <c r="FN167" s="82">
        <f t="shared" si="1058"/>
        <v>85</v>
      </c>
      <c r="FO167" s="82">
        <f t="shared" si="1059"/>
        <v>2890034.85</v>
      </c>
      <c r="FP167" s="82"/>
      <c r="FQ167" s="82"/>
      <c r="FR167" s="82">
        <f t="shared" si="1060"/>
        <v>0</v>
      </c>
      <c r="FS167" s="82">
        <f t="shared" si="1061"/>
        <v>0</v>
      </c>
      <c r="FT167" s="82"/>
      <c r="FU167" s="82"/>
      <c r="FV167" s="82"/>
      <c r="FW167" s="82"/>
      <c r="FX167" s="82">
        <f t="shared" si="1062"/>
        <v>0</v>
      </c>
      <c r="FY167" s="82">
        <f t="shared" si="1063"/>
        <v>0</v>
      </c>
      <c r="FZ167" s="82">
        <f t="shared" si="1064"/>
        <v>85</v>
      </c>
      <c r="GA167" s="82">
        <f t="shared" si="1065"/>
        <v>2890034.85</v>
      </c>
      <c r="GB167" s="82">
        <f t="shared" si="1066"/>
        <v>0</v>
      </c>
      <c r="GC167" s="82">
        <f t="shared" si="1067"/>
        <v>0</v>
      </c>
      <c r="GD167" s="82">
        <f t="shared" si="1068"/>
        <v>85</v>
      </c>
      <c r="GE167" s="82">
        <f t="shared" si="1069"/>
        <v>2890034.85</v>
      </c>
      <c r="GF167" s="85"/>
    </row>
    <row r="168" ht="29.25" customHeight="1">
      <c r="A168" s="76">
        <v>6.0</v>
      </c>
      <c r="B168" s="77"/>
      <c r="C168" s="77" t="s">
        <v>218</v>
      </c>
      <c r="D168" s="78" t="s">
        <v>99</v>
      </c>
      <c r="E168" s="79">
        <v>41070.0</v>
      </c>
      <c r="F168" s="61" t="s">
        <v>110</v>
      </c>
      <c r="G168" s="81">
        <v>84.0</v>
      </c>
      <c r="H168" s="82">
        <v>3449880.0</v>
      </c>
      <c r="I168" s="82"/>
      <c r="J168" s="82"/>
      <c r="K168" s="82">
        <f t="shared" si="983"/>
        <v>0</v>
      </c>
      <c r="L168" s="82">
        <f t="shared" si="984"/>
        <v>0</v>
      </c>
      <c r="M168" s="82"/>
      <c r="N168" s="83">
        <v>3.0</v>
      </c>
      <c r="O168" s="82"/>
      <c r="P168" s="82"/>
      <c r="Q168" s="82"/>
      <c r="R168" s="82"/>
      <c r="S168" s="82"/>
      <c r="T168" s="82"/>
      <c r="U168" s="83">
        <v>2.0</v>
      </c>
      <c r="V168" s="82"/>
      <c r="W168" s="82"/>
      <c r="X168" s="82"/>
      <c r="Y168" s="82"/>
      <c r="Z168" s="82"/>
      <c r="AA168" s="82"/>
      <c r="AB168" s="82">
        <f t="shared" si="985"/>
        <v>5</v>
      </c>
      <c r="AC168" s="82">
        <f t="shared" si="986"/>
        <v>205350</v>
      </c>
      <c r="AD168" s="82">
        <f t="shared" si="987"/>
        <v>79</v>
      </c>
      <c r="AE168" s="82">
        <f t="shared" si="988"/>
        <v>3244530</v>
      </c>
      <c r="AF168" s="82"/>
      <c r="AG168" s="82"/>
      <c r="AH168" s="82">
        <f t="shared" si="989"/>
        <v>0</v>
      </c>
      <c r="AI168" s="82">
        <f t="shared" si="990"/>
        <v>0</v>
      </c>
      <c r="AJ168" s="82"/>
      <c r="AK168" s="82"/>
      <c r="AL168" s="82"/>
      <c r="AM168" s="82"/>
      <c r="AN168" s="82">
        <f t="shared" si="991"/>
        <v>0</v>
      </c>
      <c r="AO168" s="82">
        <f t="shared" si="992"/>
        <v>0</v>
      </c>
      <c r="AP168" s="82">
        <f t="shared" si="993"/>
        <v>79</v>
      </c>
      <c r="AQ168" s="82">
        <f t="shared" si="994"/>
        <v>3244530</v>
      </c>
      <c r="AR168" s="82"/>
      <c r="AS168" s="82"/>
      <c r="AT168" s="82"/>
      <c r="AU168" s="82">
        <f t="shared" si="995"/>
        <v>0</v>
      </c>
      <c r="AV168" s="82">
        <f t="shared" si="996"/>
        <v>0</v>
      </c>
      <c r="AW168" s="82"/>
      <c r="AX168" s="82"/>
      <c r="AY168" s="82"/>
      <c r="AZ168" s="82"/>
      <c r="BA168" s="82">
        <f t="shared" si="997"/>
        <v>0</v>
      </c>
      <c r="BB168" s="82">
        <f t="shared" si="998"/>
        <v>0</v>
      </c>
      <c r="BC168" s="82">
        <f t="shared" si="999"/>
        <v>79</v>
      </c>
      <c r="BD168" s="82">
        <f t="shared" si="1000"/>
        <v>3244530</v>
      </c>
      <c r="BE168" s="82">
        <f t="shared" si="1001"/>
        <v>0</v>
      </c>
      <c r="BF168" s="82">
        <f t="shared" si="1002"/>
        <v>5</v>
      </c>
      <c r="BG168" s="82">
        <f t="shared" si="1003"/>
        <v>79</v>
      </c>
      <c r="BH168" s="82">
        <f t="shared" si="1004"/>
        <v>3244530</v>
      </c>
      <c r="BI168" s="82"/>
      <c r="BJ168" s="83"/>
      <c r="BK168" s="82">
        <f t="shared" si="1005"/>
        <v>0</v>
      </c>
      <c r="BL168" s="82">
        <f t="shared" si="1006"/>
        <v>0</v>
      </c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>
        <f t="shared" si="1007"/>
        <v>0</v>
      </c>
      <c r="BX168" s="82">
        <f t="shared" si="1008"/>
        <v>0</v>
      </c>
      <c r="BY168" s="82">
        <f t="shared" si="1009"/>
        <v>79</v>
      </c>
      <c r="BZ168" s="82">
        <f t="shared" si="1010"/>
        <v>3244530</v>
      </c>
      <c r="CA168" s="82"/>
      <c r="CB168" s="82"/>
      <c r="CC168" s="82">
        <f t="shared" si="1011"/>
        <v>0</v>
      </c>
      <c r="CD168" s="82">
        <f t="shared" si="1012"/>
        <v>0</v>
      </c>
      <c r="CE168" s="82"/>
      <c r="CF168" s="82"/>
      <c r="CG168" s="82"/>
      <c r="CH168" s="82"/>
      <c r="CI168" s="82">
        <f t="shared" si="1013"/>
        <v>0</v>
      </c>
      <c r="CJ168" s="82">
        <f t="shared" si="1014"/>
        <v>0</v>
      </c>
      <c r="CK168" s="82">
        <f t="shared" si="1015"/>
        <v>79</v>
      </c>
      <c r="CL168" s="82">
        <f t="shared" si="1016"/>
        <v>3244530</v>
      </c>
      <c r="CM168" s="82"/>
      <c r="CN168" s="82"/>
      <c r="CO168" s="82">
        <f t="shared" si="1070"/>
        <v>0</v>
      </c>
      <c r="CP168" s="82">
        <f t="shared" si="1017"/>
        <v>0</v>
      </c>
      <c r="CQ168" s="82"/>
      <c r="CR168" s="82"/>
      <c r="CS168" s="82"/>
      <c r="CT168" s="82"/>
      <c r="CU168" s="82">
        <f t="shared" si="1018"/>
        <v>0</v>
      </c>
      <c r="CV168" s="82">
        <f t="shared" si="1019"/>
        <v>0</v>
      </c>
      <c r="CW168" s="82">
        <f t="shared" si="1020"/>
        <v>79</v>
      </c>
      <c r="CX168" s="82">
        <f t="shared" si="1021"/>
        <v>3244530</v>
      </c>
      <c r="CY168" s="82">
        <f t="shared" si="1022"/>
        <v>0</v>
      </c>
      <c r="CZ168" s="82">
        <f t="shared" si="1023"/>
        <v>0</v>
      </c>
      <c r="DA168" s="82">
        <f t="shared" si="1024"/>
        <v>79</v>
      </c>
      <c r="DB168" s="82">
        <f t="shared" si="1025"/>
        <v>3244530</v>
      </c>
      <c r="DC168" s="91"/>
      <c r="DD168" s="82"/>
      <c r="DE168" s="82"/>
      <c r="DF168" s="82">
        <f t="shared" si="1071"/>
        <v>0</v>
      </c>
      <c r="DG168" s="82">
        <f t="shared" si="1026"/>
        <v>0</v>
      </c>
      <c r="DH168" s="82"/>
      <c r="DI168" s="82">
        <f t="shared" si="1072"/>
        <v>0</v>
      </c>
      <c r="DJ168" s="82">
        <f t="shared" si="1027"/>
        <v>0</v>
      </c>
      <c r="DK168" s="82"/>
      <c r="DL168" s="82">
        <f t="shared" si="1028"/>
        <v>0</v>
      </c>
      <c r="DM168" s="82">
        <f t="shared" si="1029"/>
        <v>0</v>
      </c>
      <c r="DN168" s="82">
        <f t="shared" si="1030"/>
        <v>79</v>
      </c>
      <c r="DO168" s="82">
        <f t="shared" si="1031"/>
        <v>3244530</v>
      </c>
      <c r="DP168" s="82"/>
      <c r="DQ168" s="82"/>
      <c r="DR168" s="82">
        <f t="shared" si="1032"/>
        <v>0</v>
      </c>
      <c r="DS168" s="82">
        <f t="shared" si="1033"/>
        <v>0</v>
      </c>
      <c r="DT168" s="82"/>
      <c r="DU168" s="82"/>
      <c r="DV168" s="82"/>
      <c r="DW168" s="82"/>
      <c r="DX168" s="82">
        <f t="shared" si="1034"/>
        <v>0</v>
      </c>
      <c r="DY168" s="82">
        <f t="shared" si="1035"/>
        <v>0</v>
      </c>
      <c r="DZ168" s="82">
        <f t="shared" si="1036"/>
        <v>79</v>
      </c>
      <c r="EA168" s="82">
        <f t="shared" si="1037"/>
        <v>3244530</v>
      </c>
      <c r="EB168" s="82"/>
      <c r="EC168" s="82"/>
      <c r="ED168" s="82">
        <f t="shared" si="1038"/>
        <v>0</v>
      </c>
      <c r="EE168" s="82">
        <f t="shared" si="1039"/>
        <v>0</v>
      </c>
      <c r="EF168" s="82"/>
      <c r="EG168" s="82"/>
      <c r="EH168" s="82"/>
      <c r="EI168" s="82"/>
      <c r="EJ168" s="82">
        <f t="shared" si="1040"/>
        <v>0</v>
      </c>
      <c r="EK168" s="82">
        <f t="shared" si="1041"/>
        <v>0</v>
      </c>
      <c r="EL168" s="82">
        <f t="shared" si="1042"/>
        <v>79</v>
      </c>
      <c r="EM168" s="82">
        <f t="shared" si="1043"/>
        <v>3244530</v>
      </c>
      <c r="EN168" s="82">
        <f t="shared" si="1044"/>
        <v>0</v>
      </c>
      <c r="EO168" s="82">
        <f t="shared" si="1045"/>
        <v>0</v>
      </c>
      <c r="EP168" s="82">
        <f t="shared" si="1046"/>
        <v>79</v>
      </c>
      <c r="EQ168" s="82">
        <f t="shared" si="1047"/>
        <v>3244530</v>
      </c>
      <c r="ER168" s="82"/>
      <c r="ES168" s="82"/>
      <c r="ET168" s="82">
        <f t="shared" si="1048"/>
        <v>0</v>
      </c>
      <c r="EU168" s="82">
        <f t="shared" si="1049"/>
        <v>0</v>
      </c>
      <c r="EV168" s="82"/>
      <c r="EW168" s="82"/>
      <c r="EX168" s="82"/>
      <c r="EY168" s="82"/>
      <c r="EZ168" s="82">
        <f t="shared" si="1050"/>
        <v>0</v>
      </c>
      <c r="FA168" s="82">
        <f t="shared" si="1051"/>
        <v>0</v>
      </c>
      <c r="FB168" s="82">
        <f t="shared" si="1052"/>
        <v>79</v>
      </c>
      <c r="FC168" s="82">
        <f t="shared" si="1053"/>
        <v>3244530</v>
      </c>
      <c r="FD168" s="82"/>
      <c r="FE168" s="82"/>
      <c r="FF168" s="82">
        <f t="shared" si="1054"/>
        <v>0</v>
      </c>
      <c r="FG168" s="82">
        <f t="shared" si="1055"/>
        <v>0</v>
      </c>
      <c r="FH168" s="82"/>
      <c r="FI168" s="82"/>
      <c r="FJ168" s="82"/>
      <c r="FK168" s="82"/>
      <c r="FL168" s="82">
        <f t="shared" si="1056"/>
        <v>0</v>
      </c>
      <c r="FM168" s="82">
        <f t="shared" si="1057"/>
        <v>0</v>
      </c>
      <c r="FN168" s="82">
        <f t="shared" si="1058"/>
        <v>79</v>
      </c>
      <c r="FO168" s="82">
        <f t="shared" si="1059"/>
        <v>3244530</v>
      </c>
      <c r="FP168" s="82"/>
      <c r="FQ168" s="82"/>
      <c r="FR168" s="82">
        <f t="shared" si="1060"/>
        <v>0</v>
      </c>
      <c r="FS168" s="82">
        <f t="shared" si="1061"/>
        <v>0</v>
      </c>
      <c r="FT168" s="82"/>
      <c r="FU168" s="82"/>
      <c r="FV168" s="82"/>
      <c r="FW168" s="82"/>
      <c r="FX168" s="82">
        <f t="shared" si="1062"/>
        <v>0</v>
      </c>
      <c r="FY168" s="82">
        <f t="shared" si="1063"/>
        <v>0</v>
      </c>
      <c r="FZ168" s="82">
        <f t="shared" si="1064"/>
        <v>79</v>
      </c>
      <c r="GA168" s="82">
        <f t="shared" si="1065"/>
        <v>3244530</v>
      </c>
      <c r="GB168" s="82">
        <f t="shared" si="1066"/>
        <v>0</v>
      </c>
      <c r="GC168" s="82">
        <f t="shared" si="1067"/>
        <v>0</v>
      </c>
      <c r="GD168" s="82">
        <f t="shared" si="1068"/>
        <v>79</v>
      </c>
      <c r="GE168" s="82">
        <f t="shared" si="1069"/>
        <v>3244530</v>
      </c>
      <c r="GF168" s="85"/>
    </row>
    <row r="169" ht="29.25" customHeight="1">
      <c r="A169" s="16"/>
      <c r="B169" s="16"/>
      <c r="C169" s="16"/>
      <c r="D169" s="92" t="s">
        <v>99</v>
      </c>
      <c r="E169" s="79">
        <v>37000.0</v>
      </c>
      <c r="F169" s="61" t="s">
        <v>110</v>
      </c>
      <c r="G169" s="81">
        <v>20.0</v>
      </c>
      <c r="H169" s="82">
        <v>740000.0</v>
      </c>
      <c r="I169" s="82"/>
      <c r="J169" s="82"/>
      <c r="K169" s="82">
        <f t="shared" si="983"/>
        <v>0</v>
      </c>
      <c r="L169" s="82">
        <f t="shared" si="984"/>
        <v>0</v>
      </c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>
        <f t="shared" si="985"/>
        <v>0</v>
      </c>
      <c r="AC169" s="82">
        <f t="shared" si="986"/>
        <v>0</v>
      </c>
      <c r="AD169" s="82">
        <f t="shared" si="987"/>
        <v>20</v>
      </c>
      <c r="AE169" s="82">
        <f t="shared" si="988"/>
        <v>740000</v>
      </c>
      <c r="AF169" s="82"/>
      <c r="AG169" s="82"/>
      <c r="AH169" s="82">
        <f t="shared" si="989"/>
        <v>0</v>
      </c>
      <c r="AI169" s="82">
        <f t="shared" si="990"/>
        <v>0</v>
      </c>
      <c r="AJ169" s="82"/>
      <c r="AK169" s="82"/>
      <c r="AL169" s="82"/>
      <c r="AM169" s="82"/>
      <c r="AN169" s="82">
        <f t="shared" si="991"/>
        <v>0</v>
      </c>
      <c r="AO169" s="82">
        <f t="shared" si="992"/>
        <v>0</v>
      </c>
      <c r="AP169" s="82">
        <f t="shared" si="993"/>
        <v>20</v>
      </c>
      <c r="AQ169" s="82">
        <f t="shared" si="994"/>
        <v>740000</v>
      </c>
      <c r="AR169" s="82"/>
      <c r="AS169" s="82"/>
      <c r="AT169" s="82"/>
      <c r="AU169" s="82">
        <f t="shared" si="995"/>
        <v>0</v>
      </c>
      <c r="AV169" s="82">
        <f t="shared" si="996"/>
        <v>0</v>
      </c>
      <c r="AW169" s="82"/>
      <c r="AX169" s="82"/>
      <c r="AY169" s="82"/>
      <c r="AZ169" s="82"/>
      <c r="BA169" s="82">
        <f t="shared" si="997"/>
        <v>0</v>
      </c>
      <c r="BB169" s="82">
        <f t="shared" si="998"/>
        <v>0</v>
      </c>
      <c r="BC169" s="82">
        <f t="shared" si="999"/>
        <v>20</v>
      </c>
      <c r="BD169" s="82">
        <f t="shared" si="1000"/>
        <v>740000</v>
      </c>
      <c r="BE169" s="82">
        <f t="shared" si="1001"/>
        <v>0</v>
      </c>
      <c r="BF169" s="82">
        <f t="shared" si="1002"/>
        <v>0</v>
      </c>
      <c r="BG169" s="82">
        <f t="shared" si="1003"/>
        <v>20</v>
      </c>
      <c r="BH169" s="82">
        <f t="shared" si="1004"/>
        <v>740000</v>
      </c>
      <c r="BI169" s="82"/>
      <c r="BJ169" s="83"/>
      <c r="BK169" s="82">
        <f t="shared" si="1005"/>
        <v>0</v>
      </c>
      <c r="BL169" s="82">
        <f t="shared" si="1006"/>
        <v>0</v>
      </c>
      <c r="BM169" s="82"/>
      <c r="BN169" s="82"/>
      <c r="BO169" s="82"/>
      <c r="BP169" s="82"/>
      <c r="BQ169" s="82"/>
      <c r="BR169" s="82"/>
      <c r="BS169" s="83">
        <v>20.0</v>
      </c>
      <c r="BT169" s="82"/>
      <c r="BU169" s="82"/>
      <c r="BV169" s="82"/>
      <c r="BW169" s="82">
        <f t="shared" si="1007"/>
        <v>20</v>
      </c>
      <c r="BX169" s="82">
        <f t="shared" si="1008"/>
        <v>740000</v>
      </c>
      <c r="BY169" s="82">
        <f t="shared" si="1009"/>
        <v>0</v>
      </c>
      <c r="BZ169" s="82">
        <f t="shared" si="1010"/>
        <v>0</v>
      </c>
      <c r="CA169" s="82"/>
      <c r="CB169" s="82"/>
      <c r="CC169" s="82">
        <f t="shared" si="1011"/>
        <v>0</v>
      </c>
      <c r="CD169" s="82">
        <f t="shared" si="1012"/>
        <v>0</v>
      </c>
      <c r="CE169" s="82"/>
      <c r="CF169" s="82"/>
      <c r="CG169" s="82"/>
      <c r="CH169" s="82"/>
      <c r="CI169" s="82">
        <f t="shared" si="1013"/>
        <v>0</v>
      </c>
      <c r="CJ169" s="82">
        <f t="shared" si="1014"/>
        <v>0</v>
      </c>
      <c r="CK169" s="82">
        <f t="shared" si="1015"/>
        <v>0</v>
      </c>
      <c r="CL169" s="82">
        <f t="shared" si="1016"/>
        <v>0</v>
      </c>
      <c r="CM169" s="82"/>
      <c r="CN169" s="82"/>
      <c r="CO169" s="82">
        <f t="shared" si="1070"/>
        <v>0</v>
      </c>
      <c r="CP169" s="82">
        <f t="shared" si="1017"/>
        <v>0</v>
      </c>
      <c r="CQ169" s="82"/>
      <c r="CR169" s="82"/>
      <c r="CS169" s="82"/>
      <c r="CT169" s="82"/>
      <c r="CU169" s="82">
        <f t="shared" si="1018"/>
        <v>0</v>
      </c>
      <c r="CV169" s="82">
        <f t="shared" si="1019"/>
        <v>0</v>
      </c>
      <c r="CW169" s="82">
        <f t="shared" si="1020"/>
        <v>0</v>
      </c>
      <c r="CX169" s="82">
        <f t="shared" si="1021"/>
        <v>0</v>
      </c>
      <c r="CY169" s="82">
        <f t="shared" si="1022"/>
        <v>0</v>
      </c>
      <c r="CZ169" s="82">
        <f t="shared" si="1023"/>
        <v>20</v>
      </c>
      <c r="DA169" s="82">
        <f t="shared" si="1024"/>
        <v>0</v>
      </c>
      <c r="DB169" s="82">
        <f t="shared" si="1025"/>
        <v>0</v>
      </c>
      <c r="DC169" s="91"/>
      <c r="DD169" s="82"/>
      <c r="DE169" s="82"/>
      <c r="DF169" s="82">
        <f t="shared" si="1071"/>
        <v>0</v>
      </c>
      <c r="DG169" s="82">
        <f t="shared" si="1026"/>
        <v>0</v>
      </c>
      <c r="DH169" s="82"/>
      <c r="DI169" s="82">
        <f t="shared" si="1072"/>
        <v>0</v>
      </c>
      <c r="DJ169" s="82">
        <f t="shared" si="1027"/>
        <v>0</v>
      </c>
      <c r="DK169" s="82"/>
      <c r="DL169" s="82">
        <f t="shared" si="1028"/>
        <v>0</v>
      </c>
      <c r="DM169" s="82">
        <f t="shared" si="1029"/>
        <v>0</v>
      </c>
      <c r="DN169" s="82">
        <f t="shared" si="1030"/>
        <v>0</v>
      </c>
      <c r="DO169" s="82">
        <f t="shared" si="1031"/>
        <v>0</v>
      </c>
      <c r="DP169" s="82"/>
      <c r="DQ169" s="82"/>
      <c r="DR169" s="82">
        <f t="shared" si="1032"/>
        <v>0</v>
      </c>
      <c r="DS169" s="82">
        <f t="shared" si="1033"/>
        <v>0</v>
      </c>
      <c r="DT169" s="82"/>
      <c r="DU169" s="82"/>
      <c r="DV169" s="82"/>
      <c r="DW169" s="82"/>
      <c r="DX169" s="82">
        <f t="shared" si="1034"/>
        <v>0</v>
      </c>
      <c r="DY169" s="82">
        <f t="shared" si="1035"/>
        <v>0</v>
      </c>
      <c r="DZ169" s="82">
        <f t="shared" si="1036"/>
        <v>0</v>
      </c>
      <c r="EA169" s="82">
        <f t="shared" si="1037"/>
        <v>0</v>
      </c>
      <c r="EB169" s="82"/>
      <c r="EC169" s="82"/>
      <c r="ED169" s="82">
        <f t="shared" si="1038"/>
        <v>0</v>
      </c>
      <c r="EE169" s="82">
        <f t="shared" si="1039"/>
        <v>0</v>
      </c>
      <c r="EF169" s="82"/>
      <c r="EG169" s="82"/>
      <c r="EH169" s="82"/>
      <c r="EI169" s="82"/>
      <c r="EJ169" s="82">
        <f t="shared" si="1040"/>
        <v>0</v>
      </c>
      <c r="EK169" s="82">
        <f t="shared" si="1041"/>
        <v>0</v>
      </c>
      <c r="EL169" s="82">
        <f t="shared" si="1042"/>
        <v>0</v>
      </c>
      <c r="EM169" s="82">
        <f t="shared" si="1043"/>
        <v>0</v>
      </c>
      <c r="EN169" s="82">
        <f t="shared" si="1044"/>
        <v>0</v>
      </c>
      <c r="EO169" s="82">
        <f t="shared" si="1045"/>
        <v>0</v>
      </c>
      <c r="EP169" s="82">
        <f t="shared" si="1046"/>
        <v>0</v>
      </c>
      <c r="EQ169" s="82">
        <f t="shared" si="1047"/>
        <v>0</v>
      </c>
      <c r="ER169" s="82"/>
      <c r="ES169" s="82"/>
      <c r="ET169" s="82">
        <f t="shared" si="1048"/>
        <v>0</v>
      </c>
      <c r="EU169" s="82">
        <f t="shared" si="1049"/>
        <v>0</v>
      </c>
      <c r="EV169" s="82"/>
      <c r="EW169" s="82"/>
      <c r="EX169" s="82"/>
      <c r="EY169" s="82"/>
      <c r="EZ169" s="82">
        <f t="shared" si="1050"/>
        <v>0</v>
      </c>
      <c r="FA169" s="82">
        <f t="shared" si="1051"/>
        <v>0</v>
      </c>
      <c r="FB169" s="82">
        <f t="shared" si="1052"/>
        <v>0</v>
      </c>
      <c r="FC169" s="82">
        <f t="shared" si="1053"/>
        <v>0</v>
      </c>
      <c r="FD169" s="82"/>
      <c r="FE169" s="82"/>
      <c r="FF169" s="82">
        <f t="shared" si="1054"/>
        <v>0</v>
      </c>
      <c r="FG169" s="82">
        <f t="shared" si="1055"/>
        <v>0</v>
      </c>
      <c r="FH169" s="82"/>
      <c r="FI169" s="82"/>
      <c r="FJ169" s="82"/>
      <c r="FK169" s="82"/>
      <c r="FL169" s="82">
        <f t="shared" si="1056"/>
        <v>0</v>
      </c>
      <c r="FM169" s="82">
        <f t="shared" si="1057"/>
        <v>0</v>
      </c>
      <c r="FN169" s="82">
        <f t="shared" si="1058"/>
        <v>0</v>
      </c>
      <c r="FO169" s="82">
        <f t="shared" si="1059"/>
        <v>0</v>
      </c>
      <c r="FP169" s="82"/>
      <c r="FQ169" s="82"/>
      <c r="FR169" s="82">
        <f t="shared" si="1060"/>
        <v>0</v>
      </c>
      <c r="FS169" s="82">
        <f t="shared" si="1061"/>
        <v>0</v>
      </c>
      <c r="FT169" s="82"/>
      <c r="FU169" s="82"/>
      <c r="FV169" s="82"/>
      <c r="FW169" s="82"/>
      <c r="FX169" s="82">
        <f t="shared" si="1062"/>
        <v>0</v>
      </c>
      <c r="FY169" s="82">
        <f t="shared" si="1063"/>
        <v>0</v>
      </c>
      <c r="FZ169" s="82">
        <f t="shared" si="1064"/>
        <v>0</v>
      </c>
      <c r="GA169" s="82">
        <f t="shared" si="1065"/>
        <v>0</v>
      </c>
      <c r="GB169" s="82">
        <f t="shared" si="1066"/>
        <v>0</v>
      </c>
      <c r="GC169" s="82">
        <f t="shared" si="1067"/>
        <v>0</v>
      </c>
      <c r="GD169" s="82">
        <f t="shared" si="1068"/>
        <v>0</v>
      </c>
      <c r="GE169" s="82">
        <f t="shared" si="1069"/>
        <v>0</v>
      </c>
      <c r="GF169" s="85"/>
    </row>
    <row r="170" ht="29.25" customHeight="1">
      <c r="A170" s="16"/>
      <c r="B170" s="16"/>
      <c r="C170" s="16"/>
      <c r="D170" s="89" t="s">
        <v>99</v>
      </c>
      <c r="E170" s="86">
        <v>30631.0</v>
      </c>
      <c r="F170" s="80" t="s">
        <v>86</v>
      </c>
      <c r="G170" s="81">
        <v>20.0</v>
      </c>
      <c r="H170" s="82">
        <v>612620.0</v>
      </c>
      <c r="I170" s="82"/>
      <c r="J170" s="82"/>
      <c r="K170" s="82">
        <f t="shared" si="983"/>
        <v>0</v>
      </c>
      <c r="L170" s="82">
        <f t="shared" si="984"/>
        <v>0</v>
      </c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>
        <f t="shared" si="985"/>
        <v>0</v>
      </c>
      <c r="AC170" s="82">
        <f t="shared" si="986"/>
        <v>0</v>
      </c>
      <c r="AD170" s="82">
        <f t="shared" si="987"/>
        <v>20</v>
      </c>
      <c r="AE170" s="82">
        <f t="shared" si="988"/>
        <v>612620</v>
      </c>
      <c r="AF170" s="82"/>
      <c r="AG170" s="82"/>
      <c r="AH170" s="82">
        <f t="shared" si="989"/>
        <v>0</v>
      </c>
      <c r="AI170" s="82">
        <f t="shared" si="990"/>
        <v>0</v>
      </c>
      <c r="AJ170" s="82"/>
      <c r="AK170" s="82"/>
      <c r="AL170" s="82"/>
      <c r="AM170" s="82"/>
      <c r="AN170" s="82">
        <f t="shared" si="991"/>
        <v>0</v>
      </c>
      <c r="AO170" s="82">
        <f t="shared" si="992"/>
        <v>0</v>
      </c>
      <c r="AP170" s="82">
        <f t="shared" si="993"/>
        <v>20</v>
      </c>
      <c r="AQ170" s="82">
        <f t="shared" si="994"/>
        <v>612620</v>
      </c>
      <c r="AR170" s="82"/>
      <c r="AS170" s="82"/>
      <c r="AT170" s="82"/>
      <c r="AU170" s="82">
        <f t="shared" si="995"/>
        <v>0</v>
      </c>
      <c r="AV170" s="82">
        <f t="shared" si="996"/>
        <v>0</v>
      </c>
      <c r="AW170" s="82"/>
      <c r="AX170" s="82"/>
      <c r="AY170" s="82"/>
      <c r="AZ170" s="82"/>
      <c r="BA170" s="82">
        <f t="shared" si="997"/>
        <v>0</v>
      </c>
      <c r="BB170" s="82">
        <f t="shared" si="998"/>
        <v>0</v>
      </c>
      <c r="BC170" s="82">
        <f t="shared" si="999"/>
        <v>20</v>
      </c>
      <c r="BD170" s="82">
        <f t="shared" si="1000"/>
        <v>612620</v>
      </c>
      <c r="BE170" s="82">
        <f t="shared" si="1001"/>
        <v>0</v>
      </c>
      <c r="BF170" s="82">
        <f t="shared" si="1002"/>
        <v>0</v>
      </c>
      <c r="BG170" s="82">
        <f t="shared" si="1003"/>
        <v>20</v>
      </c>
      <c r="BH170" s="82">
        <f t="shared" si="1004"/>
        <v>612620</v>
      </c>
      <c r="BI170" s="82"/>
      <c r="BJ170" s="83"/>
      <c r="BK170" s="82">
        <f t="shared" si="1005"/>
        <v>0</v>
      </c>
      <c r="BL170" s="82">
        <f t="shared" si="1006"/>
        <v>0</v>
      </c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>
        <f t="shared" si="1007"/>
        <v>0</v>
      </c>
      <c r="BX170" s="82">
        <f t="shared" si="1008"/>
        <v>0</v>
      </c>
      <c r="BY170" s="82">
        <f t="shared" si="1009"/>
        <v>20</v>
      </c>
      <c r="BZ170" s="82">
        <f t="shared" si="1010"/>
        <v>612620</v>
      </c>
      <c r="CA170" s="82"/>
      <c r="CB170" s="82"/>
      <c r="CC170" s="82">
        <f t="shared" si="1011"/>
        <v>0</v>
      </c>
      <c r="CD170" s="82">
        <f t="shared" si="1012"/>
        <v>0</v>
      </c>
      <c r="CE170" s="82"/>
      <c r="CF170" s="82"/>
      <c r="CG170" s="82"/>
      <c r="CH170" s="82"/>
      <c r="CI170" s="82">
        <f t="shared" si="1013"/>
        <v>0</v>
      </c>
      <c r="CJ170" s="82">
        <f t="shared" si="1014"/>
        <v>0</v>
      </c>
      <c r="CK170" s="82">
        <f t="shared" si="1015"/>
        <v>20</v>
      </c>
      <c r="CL170" s="82">
        <f t="shared" si="1016"/>
        <v>612620</v>
      </c>
      <c r="CM170" s="82"/>
      <c r="CN170" s="82"/>
      <c r="CO170" s="82">
        <f t="shared" si="1070"/>
        <v>0</v>
      </c>
      <c r="CP170" s="82">
        <f t="shared" si="1017"/>
        <v>0</v>
      </c>
      <c r="CQ170" s="82"/>
      <c r="CR170" s="82"/>
      <c r="CS170" s="82"/>
      <c r="CT170" s="82"/>
      <c r="CU170" s="82">
        <f t="shared" si="1018"/>
        <v>0</v>
      </c>
      <c r="CV170" s="82">
        <f t="shared" si="1019"/>
        <v>0</v>
      </c>
      <c r="CW170" s="82">
        <f t="shared" si="1020"/>
        <v>20</v>
      </c>
      <c r="CX170" s="82">
        <f t="shared" si="1021"/>
        <v>612620</v>
      </c>
      <c r="CY170" s="82">
        <f t="shared" si="1022"/>
        <v>0</v>
      </c>
      <c r="CZ170" s="82">
        <f t="shared" si="1023"/>
        <v>0</v>
      </c>
      <c r="DA170" s="82">
        <f t="shared" si="1024"/>
        <v>20</v>
      </c>
      <c r="DB170" s="82">
        <f t="shared" si="1025"/>
        <v>612620</v>
      </c>
      <c r="DC170" s="91"/>
      <c r="DD170" s="82"/>
      <c r="DE170" s="82"/>
      <c r="DF170" s="82">
        <f t="shared" si="1071"/>
        <v>0</v>
      </c>
      <c r="DG170" s="82">
        <f t="shared" si="1026"/>
        <v>0</v>
      </c>
      <c r="DH170" s="82"/>
      <c r="DI170" s="82">
        <f t="shared" si="1072"/>
        <v>0</v>
      </c>
      <c r="DJ170" s="82">
        <f t="shared" si="1027"/>
        <v>0</v>
      </c>
      <c r="DK170" s="82"/>
      <c r="DL170" s="82">
        <f t="shared" si="1028"/>
        <v>0</v>
      </c>
      <c r="DM170" s="82">
        <f t="shared" si="1029"/>
        <v>0</v>
      </c>
      <c r="DN170" s="82">
        <f t="shared" si="1030"/>
        <v>20</v>
      </c>
      <c r="DO170" s="82">
        <f t="shared" si="1031"/>
        <v>612620</v>
      </c>
      <c r="DP170" s="82"/>
      <c r="DQ170" s="82"/>
      <c r="DR170" s="82">
        <f t="shared" si="1032"/>
        <v>0</v>
      </c>
      <c r="DS170" s="82">
        <f t="shared" si="1033"/>
        <v>0</v>
      </c>
      <c r="DT170" s="82"/>
      <c r="DU170" s="82"/>
      <c r="DV170" s="82"/>
      <c r="DW170" s="82"/>
      <c r="DX170" s="82">
        <f t="shared" si="1034"/>
        <v>0</v>
      </c>
      <c r="DY170" s="82">
        <f t="shared" si="1035"/>
        <v>0</v>
      </c>
      <c r="DZ170" s="82">
        <f t="shared" si="1036"/>
        <v>20</v>
      </c>
      <c r="EA170" s="82">
        <f t="shared" si="1037"/>
        <v>612620</v>
      </c>
      <c r="EB170" s="82"/>
      <c r="EC170" s="82"/>
      <c r="ED170" s="82">
        <f t="shared" si="1038"/>
        <v>0</v>
      </c>
      <c r="EE170" s="82">
        <f t="shared" si="1039"/>
        <v>0</v>
      </c>
      <c r="EF170" s="82"/>
      <c r="EG170" s="82"/>
      <c r="EH170" s="82"/>
      <c r="EI170" s="82"/>
      <c r="EJ170" s="82">
        <f t="shared" si="1040"/>
        <v>0</v>
      </c>
      <c r="EK170" s="82">
        <f t="shared" si="1041"/>
        <v>0</v>
      </c>
      <c r="EL170" s="82">
        <f t="shared" si="1042"/>
        <v>20</v>
      </c>
      <c r="EM170" s="82">
        <f t="shared" si="1043"/>
        <v>612620</v>
      </c>
      <c r="EN170" s="82">
        <f t="shared" si="1044"/>
        <v>0</v>
      </c>
      <c r="EO170" s="82">
        <f t="shared" si="1045"/>
        <v>0</v>
      </c>
      <c r="EP170" s="82">
        <f t="shared" si="1046"/>
        <v>20</v>
      </c>
      <c r="EQ170" s="82">
        <f t="shared" si="1047"/>
        <v>612620</v>
      </c>
      <c r="ER170" s="82"/>
      <c r="ES170" s="82"/>
      <c r="ET170" s="82">
        <f t="shared" si="1048"/>
        <v>0</v>
      </c>
      <c r="EU170" s="82">
        <f t="shared" si="1049"/>
        <v>0</v>
      </c>
      <c r="EV170" s="82"/>
      <c r="EW170" s="82"/>
      <c r="EX170" s="82"/>
      <c r="EY170" s="82"/>
      <c r="EZ170" s="82">
        <f t="shared" si="1050"/>
        <v>0</v>
      </c>
      <c r="FA170" s="82">
        <f t="shared" si="1051"/>
        <v>0</v>
      </c>
      <c r="FB170" s="82">
        <f t="shared" si="1052"/>
        <v>20</v>
      </c>
      <c r="FC170" s="82">
        <f t="shared" si="1053"/>
        <v>612620</v>
      </c>
      <c r="FD170" s="82"/>
      <c r="FE170" s="82"/>
      <c r="FF170" s="82">
        <f t="shared" si="1054"/>
        <v>0</v>
      </c>
      <c r="FG170" s="82">
        <f t="shared" si="1055"/>
        <v>0</v>
      </c>
      <c r="FH170" s="82"/>
      <c r="FI170" s="82"/>
      <c r="FJ170" s="82"/>
      <c r="FK170" s="82"/>
      <c r="FL170" s="82">
        <f t="shared" si="1056"/>
        <v>0</v>
      </c>
      <c r="FM170" s="82">
        <f t="shared" si="1057"/>
        <v>0</v>
      </c>
      <c r="FN170" s="82">
        <f t="shared" si="1058"/>
        <v>20</v>
      </c>
      <c r="FO170" s="82">
        <f t="shared" si="1059"/>
        <v>612620</v>
      </c>
      <c r="FP170" s="82"/>
      <c r="FQ170" s="82"/>
      <c r="FR170" s="82">
        <f t="shared" si="1060"/>
        <v>0</v>
      </c>
      <c r="FS170" s="82">
        <f t="shared" si="1061"/>
        <v>0</v>
      </c>
      <c r="FT170" s="82"/>
      <c r="FU170" s="82"/>
      <c r="FV170" s="82"/>
      <c r="FW170" s="82"/>
      <c r="FX170" s="82">
        <f t="shared" si="1062"/>
        <v>0</v>
      </c>
      <c r="FY170" s="82">
        <f t="shared" si="1063"/>
        <v>0</v>
      </c>
      <c r="FZ170" s="82">
        <f t="shared" si="1064"/>
        <v>20</v>
      </c>
      <c r="GA170" s="82">
        <f t="shared" si="1065"/>
        <v>612620</v>
      </c>
      <c r="GB170" s="82">
        <f t="shared" si="1066"/>
        <v>0</v>
      </c>
      <c r="GC170" s="82">
        <f t="shared" si="1067"/>
        <v>0</v>
      </c>
      <c r="GD170" s="82">
        <f t="shared" si="1068"/>
        <v>20</v>
      </c>
      <c r="GE170" s="82">
        <f t="shared" si="1069"/>
        <v>612620</v>
      </c>
      <c r="GF170" s="85"/>
    </row>
    <row r="171" ht="29.25" customHeight="1">
      <c r="A171" s="50"/>
      <c r="B171" s="50"/>
      <c r="C171" s="16"/>
      <c r="D171" s="89" t="s">
        <v>99</v>
      </c>
      <c r="E171" s="86">
        <v>34000.41</v>
      </c>
      <c r="F171" s="80" t="s">
        <v>94</v>
      </c>
      <c r="G171" s="81">
        <v>85.0</v>
      </c>
      <c r="H171" s="82">
        <v>2890034.85</v>
      </c>
      <c r="I171" s="82"/>
      <c r="J171" s="82"/>
      <c r="K171" s="82">
        <f t="shared" si="983"/>
        <v>0</v>
      </c>
      <c r="L171" s="82">
        <f t="shared" si="984"/>
        <v>0</v>
      </c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>
        <f t="shared" si="985"/>
        <v>0</v>
      </c>
      <c r="AC171" s="82">
        <f t="shared" si="986"/>
        <v>0</v>
      </c>
      <c r="AD171" s="82">
        <f t="shared" si="987"/>
        <v>85</v>
      </c>
      <c r="AE171" s="82">
        <f t="shared" si="988"/>
        <v>2890034.85</v>
      </c>
      <c r="AF171" s="82"/>
      <c r="AG171" s="82"/>
      <c r="AH171" s="82">
        <f t="shared" si="989"/>
        <v>0</v>
      </c>
      <c r="AI171" s="82">
        <f t="shared" si="990"/>
        <v>0</v>
      </c>
      <c r="AJ171" s="82"/>
      <c r="AK171" s="82"/>
      <c r="AL171" s="82"/>
      <c r="AM171" s="82"/>
      <c r="AN171" s="82">
        <f t="shared" si="991"/>
        <v>0</v>
      </c>
      <c r="AO171" s="82">
        <f t="shared" si="992"/>
        <v>0</v>
      </c>
      <c r="AP171" s="82">
        <f t="shared" si="993"/>
        <v>85</v>
      </c>
      <c r="AQ171" s="82">
        <f t="shared" si="994"/>
        <v>2890034.85</v>
      </c>
      <c r="AR171" s="82"/>
      <c r="AS171" s="82"/>
      <c r="AT171" s="82"/>
      <c r="AU171" s="82">
        <f t="shared" si="995"/>
        <v>0</v>
      </c>
      <c r="AV171" s="82">
        <f t="shared" si="996"/>
        <v>0</v>
      </c>
      <c r="AW171" s="82"/>
      <c r="AX171" s="82"/>
      <c r="AY171" s="82"/>
      <c r="AZ171" s="82"/>
      <c r="BA171" s="82">
        <f t="shared" si="997"/>
        <v>0</v>
      </c>
      <c r="BB171" s="82">
        <f t="shared" si="998"/>
        <v>0</v>
      </c>
      <c r="BC171" s="82">
        <f t="shared" si="999"/>
        <v>85</v>
      </c>
      <c r="BD171" s="82">
        <f t="shared" si="1000"/>
        <v>2890034.85</v>
      </c>
      <c r="BE171" s="82">
        <f t="shared" si="1001"/>
        <v>0</v>
      </c>
      <c r="BF171" s="82">
        <f t="shared" si="1002"/>
        <v>0</v>
      </c>
      <c r="BG171" s="82">
        <f t="shared" si="1003"/>
        <v>85</v>
      </c>
      <c r="BH171" s="82">
        <f t="shared" si="1004"/>
        <v>2890034.85</v>
      </c>
      <c r="BI171" s="82"/>
      <c r="BJ171" s="83"/>
      <c r="BK171" s="82">
        <f t="shared" si="1005"/>
        <v>0</v>
      </c>
      <c r="BL171" s="82">
        <f t="shared" si="1006"/>
        <v>0</v>
      </c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>
        <f t="shared" si="1007"/>
        <v>0</v>
      </c>
      <c r="BX171" s="82">
        <f t="shared" si="1008"/>
        <v>0</v>
      </c>
      <c r="BY171" s="82">
        <f t="shared" si="1009"/>
        <v>85</v>
      </c>
      <c r="BZ171" s="82">
        <f t="shared" si="1010"/>
        <v>2890034.85</v>
      </c>
      <c r="CA171" s="82"/>
      <c r="CB171" s="82"/>
      <c r="CC171" s="82">
        <f t="shared" si="1011"/>
        <v>0</v>
      </c>
      <c r="CD171" s="82">
        <f t="shared" si="1012"/>
        <v>0</v>
      </c>
      <c r="CE171" s="82"/>
      <c r="CF171" s="82"/>
      <c r="CG171" s="82"/>
      <c r="CH171" s="82"/>
      <c r="CI171" s="82">
        <f t="shared" si="1013"/>
        <v>0</v>
      </c>
      <c r="CJ171" s="82">
        <f t="shared" si="1014"/>
        <v>0</v>
      </c>
      <c r="CK171" s="82">
        <f t="shared" si="1015"/>
        <v>85</v>
      </c>
      <c r="CL171" s="82">
        <f t="shared" si="1016"/>
        <v>2890034.85</v>
      </c>
      <c r="CM171" s="82"/>
      <c r="CN171" s="82"/>
      <c r="CO171" s="82">
        <f t="shared" si="1070"/>
        <v>0</v>
      </c>
      <c r="CP171" s="82">
        <f t="shared" si="1017"/>
        <v>0</v>
      </c>
      <c r="CQ171" s="82"/>
      <c r="CR171" s="82"/>
      <c r="CS171" s="82"/>
      <c r="CT171" s="82"/>
      <c r="CU171" s="82">
        <f t="shared" si="1018"/>
        <v>0</v>
      </c>
      <c r="CV171" s="82">
        <f t="shared" si="1019"/>
        <v>0</v>
      </c>
      <c r="CW171" s="82">
        <f t="shared" si="1020"/>
        <v>85</v>
      </c>
      <c r="CX171" s="82">
        <f t="shared" si="1021"/>
        <v>2890034.85</v>
      </c>
      <c r="CY171" s="82">
        <f t="shared" si="1022"/>
        <v>0</v>
      </c>
      <c r="CZ171" s="82">
        <f t="shared" si="1023"/>
        <v>0</v>
      </c>
      <c r="DA171" s="82">
        <f t="shared" si="1024"/>
        <v>85</v>
      </c>
      <c r="DB171" s="82">
        <f t="shared" si="1025"/>
        <v>2890034.85</v>
      </c>
      <c r="DC171" s="91"/>
      <c r="DD171" s="82"/>
      <c r="DE171" s="82"/>
      <c r="DF171" s="82">
        <f t="shared" si="1071"/>
        <v>0</v>
      </c>
      <c r="DG171" s="82">
        <f t="shared" si="1026"/>
        <v>0</v>
      </c>
      <c r="DH171" s="82"/>
      <c r="DI171" s="82">
        <f t="shared" si="1072"/>
        <v>0</v>
      </c>
      <c r="DJ171" s="82">
        <f t="shared" si="1027"/>
        <v>0</v>
      </c>
      <c r="DK171" s="82"/>
      <c r="DL171" s="82">
        <f t="shared" si="1028"/>
        <v>0</v>
      </c>
      <c r="DM171" s="82">
        <f t="shared" si="1029"/>
        <v>0</v>
      </c>
      <c r="DN171" s="82">
        <f t="shared" si="1030"/>
        <v>85</v>
      </c>
      <c r="DO171" s="82">
        <f t="shared" si="1031"/>
        <v>2890034.85</v>
      </c>
      <c r="DP171" s="82"/>
      <c r="DQ171" s="82"/>
      <c r="DR171" s="82">
        <f t="shared" si="1032"/>
        <v>0</v>
      </c>
      <c r="DS171" s="82">
        <f t="shared" si="1033"/>
        <v>0</v>
      </c>
      <c r="DT171" s="82"/>
      <c r="DU171" s="82"/>
      <c r="DV171" s="82"/>
      <c r="DW171" s="82"/>
      <c r="DX171" s="82">
        <f t="shared" si="1034"/>
        <v>0</v>
      </c>
      <c r="DY171" s="82">
        <f t="shared" si="1035"/>
        <v>0</v>
      </c>
      <c r="DZ171" s="82">
        <f t="shared" si="1036"/>
        <v>85</v>
      </c>
      <c r="EA171" s="82">
        <f t="shared" si="1037"/>
        <v>2890034.85</v>
      </c>
      <c r="EB171" s="82"/>
      <c r="EC171" s="82"/>
      <c r="ED171" s="82">
        <f t="shared" si="1038"/>
        <v>0</v>
      </c>
      <c r="EE171" s="82">
        <f t="shared" si="1039"/>
        <v>0</v>
      </c>
      <c r="EF171" s="82"/>
      <c r="EG171" s="82"/>
      <c r="EH171" s="82"/>
      <c r="EI171" s="82"/>
      <c r="EJ171" s="82">
        <f t="shared" si="1040"/>
        <v>0</v>
      </c>
      <c r="EK171" s="82">
        <f t="shared" si="1041"/>
        <v>0</v>
      </c>
      <c r="EL171" s="82">
        <f t="shared" si="1042"/>
        <v>85</v>
      </c>
      <c r="EM171" s="82">
        <f t="shared" si="1043"/>
        <v>2890034.85</v>
      </c>
      <c r="EN171" s="82">
        <f t="shared" si="1044"/>
        <v>0</v>
      </c>
      <c r="EO171" s="82">
        <f t="shared" si="1045"/>
        <v>0</v>
      </c>
      <c r="EP171" s="82">
        <f t="shared" si="1046"/>
        <v>85</v>
      </c>
      <c r="EQ171" s="82">
        <f t="shared" si="1047"/>
        <v>2890034.85</v>
      </c>
      <c r="ER171" s="82"/>
      <c r="ES171" s="82"/>
      <c r="ET171" s="82">
        <f t="shared" si="1048"/>
        <v>0</v>
      </c>
      <c r="EU171" s="82">
        <f t="shared" si="1049"/>
        <v>0</v>
      </c>
      <c r="EV171" s="82"/>
      <c r="EW171" s="82"/>
      <c r="EX171" s="82"/>
      <c r="EY171" s="82"/>
      <c r="EZ171" s="82">
        <f t="shared" si="1050"/>
        <v>0</v>
      </c>
      <c r="FA171" s="82">
        <f t="shared" si="1051"/>
        <v>0</v>
      </c>
      <c r="FB171" s="82">
        <f t="shared" si="1052"/>
        <v>85</v>
      </c>
      <c r="FC171" s="82">
        <f t="shared" si="1053"/>
        <v>2890034.85</v>
      </c>
      <c r="FD171" s="82"/>
      <c r="FE171" s="82"/>
      <c r="FF171" s="82">
        <f t="shared" si="1054"/>
        <v>0</v>
      </c>
      <c r="FG171" s="82">
        <f t="shared" si="1055"/>
        <v>0</v>
      </c>
      <c r="FH171" s="82"/>
      <c r="FI171" s="82"/>
      <c r="FJ171" s="82"/>
      <c r="FK171" s="82"/>
      <c r="FL171" s="82">
        <f t="shared" si="1056"/>
        <v>0</v>
      </c>
      <c r="FM171" s="82">
        <f t="shared" si="1057"/>
        <v>0</v>
      </c>
      <c r="FN171" s="82">
        <f t="shared" si="1058"/>
        <v>85</v>
      </c>
      <c r="FO171" s="82">
        <f t="shared" si="1059"/>
        <v>2890034.85</v>
      </c>
      <c r="FP171" s="82"/>
      <c r="FQ171" s="82"/>
      <c r="FR171" s="82">
        <f t="shared" si="1060"/>
        <v>0</v>
      </c>
      <c r="FS171" s="82">
        <f t="shared" si="1061"/>
        <v>0</v>
      </c>
      <c r="FT171" s="82"/>
      <c r="FU171" s="82"/>
      <c r="FV171" s="82"/>
      <c r="FW171" s="82"/>
      <c r="FX171" s="82">
        <f t="shared" si="1062"/>
        <v>0</v>
      </c>
      <c r="FY171" s="82">
        <f t="shared" si="1063"/>
        <v>0</v>
      </c>
      <c r="FZ171" s="82">
        <f t="shared" si="1064"/>
        <v>85</v>
      </c>
      <c r="GA171" s="82">
        <f t="shared" si="1065"/>
        <v>2890034.85</v>
      </c>
      <c r="GB171" s="82">
        <f t="shared" si="1066"/>
        <v>0</v>
      </c>
      <c r="GC171" s="82">
        <f t="shared" si="1067"/>
        <v>0</v>
      </c>
      <c r="GD171" s="82">
        <f t="shared" si="1068"/>
        <v>85</v>
      </c>
      <c r="GE171" s="82">
        <f t="shared" si="1069"/>
        <v>2890034.85</v>
      </c>
      <c r="GF171" s="85"/>
    </row>
    <row r="172" ht="29.25" customHeight="1">
      <c r="A172" s="76">
        <v>7.0</v>
      </c>
      <c r="B172" s="77"/>
      <c r="C172" s="77" t="s">
        <v>219</v>
      </c>
      <c r="D172" s="89" t="s">
        <v>99</v>
      </c>
      <c r="E172" s="86">
        <f t="shared" ref="E172:E173" si="1073">40000+(40000*11%)</f>
        <v>44400</v>
      </c>
      <c r="F172" s="80" t="s">
        <v>220</v>
      </c>
      <c r="G172" s="81">
        <v>0.0</v>
      </c>
      <c r="H172" s="82">
        <v>0.0</v>
      </c>
      <c r="I172" s="82"/>
      <c r="J172" s="82"/>
      <c r="K172" s="82">
        <f t="shared" si="983"/>
        <v>0</v>
      </c>
      <c r="L172" s="82">
        <f t="shared" si="984"/>
        <v>0</v>
      </c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>
        <f t="shared" si="985"/>
        <v>0</v>
      </c>
      <c r="AC172" s="82">
        <f t="shared" si="986"/>
        <v>0</v>
      </c>
      <c r="AD172" s="82">
        <f t="shared" si="987"/>
        <v>0</v>
      </c>
      <c r="AE172" s="82">
        <f t="shared" si="988"/>
        <v>0</v>
      </c>
      <c r="AF172" s="82"/>
      <c r="AG172" s="82"/>
      <c r="AH172" s="82">
        <f t="shared" si="989"/>
        <v>0</v>
      </c>
      <c r="AI172" s="82">
        <f t="shared" si="990"/>
        <v>0</v>
      </c>
      <c r="AJ172" s="82"/>
      <c r="AK172" s="82"/>
      <c r="AL172" s="82"/>
      <c r="AM172" s="82"/>
      <c r="AN172" s="82">
        <f t="shared" si="991"/>
        <v>0</v>
      </c>
      <c r="AO172" s="82">
        <f t="shared" si="992"/>
        <v>0</v>
      </c>
      <c r="AP172" s="82">
        <f t="shared" si="993"/>
        <v>0</v>
      </c>
      <c r="AQ172" s="82">
        <f t="shared" si="994"/>
        <v>0</v>
      </c>
      <c r="AR172" s="82"/>
      <c r="AS172" s="82"/>
      <c r="AT172" s="82"/>
      <c r="AU172" s="82">
        <f t="shared" si="995"/>
        <v>0</v>
      </c>
      <c r="AV172" s="82">
        <f t="shared" si="996"/>
        <v>0</v>
      </c>
      <c r="AW172" s="82"/>
      <c r="AX172" s="82"/>
      <c r="AY172" s="82"/>
      <c r="AZ172" s="82"/>
      <c r="BA172" s="82">
        <f t="shared" si="997"/>
        <v>0</v>
      </c>
      <c r="BB172" s="82">
        <f t="shared" si="998"/>
        <v>0</v>
      </c>
      <c r="BC172" s="82">
        <f t="shared" si="999"/>
        <v>0</v>
      </c>
      <c r="BD172" s="82">
        <f t="shared" si="1000"/>
        <v>0</v>
      </c>
      <c r="BE172" s="82">
        <f t="shared" si="1001"/>
        <v>0</v>
      </c>
      <c r="BF172" s="82">
        <f t="shared" si="1002"/>
        <v>0</v>
      </c>
      <c r="BG172" s="82">
        <f t="shared" si="1003"/>
        <v>0</v>
      </c>
      <c r="BH172" s="82">
        <f t="shared" si="1004"/>
        <v>0</v>
      </c>
      <c r="BI172" s="82"/>
      <c r="BJ172" s="83"/>
      <c r="BK172" s="82">
        <f t="shared" si="1005"/>
        <v>0</v>
      </c>
      <c r="BL172" s="82">
        <f t="shared" si="1006"/>
        <v>0</v>
      </c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>
        <f t="shared" si="1007"/>
        <v>0</v>
      </c>
      <c r="BX172" s="82">
        <f t="shared" si="1008"/>
        <v>0</v>
      </c>
      <c r="BY172" s="82">
        <f t="shared" si="1009"/>
        <v>0</v>
      </c>
      <c r="BZ172" s="82">
        <f t="shared" si="1010"/>
        <v>0</v>
      </c>
      <c r="CA172" s="82"/>
      <c r="CB172" s="82"/>
      <c r="CC172" s="82">
        <f t="shared" si="1011"/>
        <v>0</v>
      </c>
      <c r="CD172" s="82">
        <f t="shared" si="1012"/>
        <v>0</v>
      </c>
      <c r="CE172" s="82"/>
      <c r="CF172" s="82"/>
      <c r="CG172" s="82"/>
      <c r="CH172" s="82"/>
      <c r="CI172" s="82">
        <f t="shared" si="1013"/>
        <v>0</v>
      </c>
      <c r="CJ172" s="82">
        <f t="shared" si="1014"/>
        <v>0</v>
      </c>
      <c r="CK172" s="82">
        <f t="shared" si="1015"/>
        <v>0</v>
      </c>
      <c r="CL172" s="82">
        <f t="shared" si="1016"/>
        <v>0</v>
      </c>
      <c r="CM172" s="83">
        <v>0.0</v>
      </c>
      <c r="CN172" s="82"/>
      <c r="CO172" s="82">
        <f t="shared" si="1070"/>
        <v>0</v>
      </c>
      <c r="CP172" s="82">
        <f t="shared" si="1017"/>
        <v>0</v>
      </c>
      <c r="CQ172" s="82"/>
      <c r="CR172" s="82"/>
      <c r="CS172" s="82"/>
      <c r="CT172" s="82"/>
      <c r="CU172" s="82">
        <f t="shared" si="1018"/>
        <v>0</v>
      </c>
      <c r="CV172" s="82">
        <f t="shared" si="1019"/>
        <v>0</v>
      </c>
      <c r="CW172" s="82">
        <f t="shared" si="1020"/>
        <v>0</v>
      </c>
      <c r="CX172" s="82">
        <f t="shared" si="1021"/>
        <v>0</v>
      </c>
      <c r="CY172" s="82">
        <f t="shared" si="1022"/>
        <v>0</v>
      </c>
      <c r="CZ172" s="82">
        <f t="shared" si="1023"/>
        <v>0</v>
      </c>
      <c r="DA172" s="82">
        <f t="shared" si="1024"/>
        <v>0</v>
      </c>
      <c r="DB172" s="82">
        <f t="shared" si="1025"/>
        <v>0</v>
      </c>
      <c r="DC172" s="84"/>
      <c r="DD172" s="83">
        <v>50.0</v>
      </c>
      <c r="DE172" s="82"/>
      <c r="DF172" s="82">
        <f t="shared" si="1071"/>
        <v>50</v>
      </c>
      <c r="DG172" s="82">
        <f t="shared" ref="DG172:DG173" si="1074">DD172*E172</f>
        <v>2220000</v>
      </c>
      <c r="DH172" s="82"/>
      <c r="DI172" s="83">
        <v>0.0</v>
      </c>
      <c r="DJ172" s="82">
        <f t="shared" si="1027"/>
        <v>0</v>
      </c>
      <c r="DK172" s="82"/>
      <c r="DL172" s="82">
        <f t="shared" si="1028"/>
        <v>0</v>
      </c>
      <c r="DM172" s="82">
        <f t="shared" si="1029"/>
        <v>0</v>
      </c>
      <c r="DN172" s="82">
        <f t="shared" si="1030"/>
        <v>50</v>
      </c>
      <c r="DO172" s="82">
        <f t="shared" si="1031"/>
        <v>2220000</v>
      </c>
      <c r="DP172" s="82"/>
      <c r="DQ172" s="82"/>
      <c r="DR172" s="82">
        <f t="shared" si="1032"/>
        <v>0</v>
      </c>
      <c r="DS172" s="82">
        <f t="shared" si="1033"/>
        <v>0</v>
      </c>
      <c r="DT172" s="82"/>
      <c r="DU172" s="82"/>
      <c r="DV172" s="82"/>
      <c r="DW172" s="82"/>
      <c r="DX172" s="82">
        <f t="shared" si="1034"/>
        <v>0</v>
      </c>
      <c r="DY172" s="82">
        <f t="shared" si="1035"/>
        <v>0</v>
      </c>
      <c r="DZ172" s="82">
        <f t="shared" si="1036"/>
        <v>50</v>
      </c>
      <c r="EA172" s="82">
        <f t="shared" si="1037"/>
        <v>2220000</v>
      </c>
      <c r="EB172" s="82"/>
      <c r="EC172" s="82"/>
      <c r="ED172" s="82">
        <f t="shared" si="1038"/>
        <v>0</v>
      </c>
      <c r="EE172" s="82">
        <f t="shared" si="1039"/>
        <v>0</v>
      </c>
      <c r="EF172" s="82"/>
      <c r="EG172" s="82"/>
      <c r="EH172" s="82"/>
      <c r="EI172" s="82"/>
      <c r="EJ172" s="82">
        <f t="shared" si="1040"/>
        <v>0</v>
      </c>
      <c r="EK172" s="82">
        <f t="shared" si="1041"/>
        <v>0</v>
      </c>
      <c r="EL172" s="82">
        <f t="shared" si="1042"/>
        <v>50</v>
      </c>
      <c r="EM172" s="82">
        <f t="shared" si="1043"/>
        <v>2220000</v>
      </c>
      <c r="EN172" s="82">
        <f t="shared" si="1044"/>
        <v>50</v>
      </c>
      <c r="EO172" s="82">
        <f t="shared" si="1045"/>
        <v>0</v>
      </c>
      <c r="EP172" s="82">
        <f t="shared" si="1046"/>
        <v>50</v>
      </c>
      <c r="EQ172" s="82">
        <f t="shared" si="1047"/>
        <v>2220000</v>
      </c>
      <c r="ER172" s="82"/>
      <c r="ES172" s="82"/>
      <c r="ET172" s="82">
        <f t="shared" si="1048"/>
        <v>0</v>
      </c>
      <c r="EU172" s="82">
        <f t="shared" si="1049"/>
        <v>0</v>
      </c>
      <c r="EV172" s="82"/>
      <c r="EW172" s="82"/>
      <c r="EX172" s="82"/>
      <c r="EY172" s="82"/>
      <c r="EZ172" s="82">
        <f t="shared" si="1050"/>
        <v>0</v>
      </c>
      <c r="FA172" s="82">
        <f t="shared" si="1051"/>
        <v>0</v>
      </c>
      <c r="FB172" s="82">
        <f t="shared" si="1052"/>
        <v>50</v>
      </c>
      <c r="FC172" s="82">
        <f t="shared" si="1053"/>
        <v>2220000</v>
      </c>
      <c r="FD172" s="82"/>
      <c r="FE172" s="82"/>
      <c r="FF172" s="82">
        <f t="shared" si="1054"/>
        <v>0</v>
      </c>
      <c r="FG172" s="82">
        <f t="shared" si="1055"/>
        <v>0</v>
      </c>
      <c r="FH172" s="82"/>
      <c r="FI172" s="82"/>
      <c r="FJ172" s="82"/>
      <c r="FK172" s="82"/>
      <c r="FL172" s="82">
        <f t="shared" si="1056"/>
        <v>0</v>
      </c>
      <c r="FM172" s="82">
        <f t="shared" si="1057"/>
        <v>0</v>
      </c>
      <c r="FN172" s="82">
        <f t="shared" si="1058"/>
        <v>50</v>
      </c>
      <c r="FO172" s="82">
        <f t="shared" si="1059"/>
        <v>2220000</v>
      </c>
      <c r="FP172" s="82"/>
      <c r="FQ172" s="82"/>
      <c r="FR172" s="82">
        <f t="shared" si="1060"/>
        <v>0</v>
      </c>
      <c r="FS172" s="82">
        <f t="shared" si="1061"/>
        <v>0</v>
      </c>
      <c r="FT172" s="82"/>
      <c r="FU172" s="82"/>
      <c r="FV172" s="82"/>
      <c r="FW172" s="82"/>
      <c r="FX172" s="82">
        <f t="shared" si="1062"/>
        <v>0</v>
      </c>
      <c r="FY172" s="82">
        <f t="shared" si="1063"/>
        <v>0</v>
      </c>
      <c r="FZ172" s="82">
        <f t="shared" si="1064"/>
        <v>50</v>
      </c>
      <c r="GA172" s="82">
        <f t="shared" si="1065"/>
        <v>2220000</v>
      </c>
      <c r="GB172" s="82">
        <f t="shared" si="1066"/>
        <v>0</v>
      </c>
      <c r="GC172" s="82">
        <f t="shared" si="1067"/>
        <v>0</v>
      </c>
      <c r="GD172" s="82">
        <f t="shared" si="1068"/>
        <v>50</v>
      </c>
      <c r="GE172" s="82">
        <f t="shared" si="1069"/>
        <v>2220000</v>
      </c>
      <c r="GF172" s="85"/>
    </row>
    <row r="173" ht="29.25" customHeight="1">
      <c r="A173" s="76"/>
      <c r="B173" s="77"/>
      <c r="C173" s="88" t="s">
        <v>221</v>
      </c>
      <c r="D173" s="89" t="s">
        <v>222</v>
      </c>
      <c r="E173" s="86">
        <f t="shared" si="1073"/>
        <v>44400</v>
      </c>
      <c r="F173" s="80" t="s">
        <v>220</v>
      </c>
      <c r="G173" s="81"/>
      <c r="H173" s="82"/>
      <c r="I173" s="82"/>
      <c r="J173" s="82"/>
      <c r="K173" s="82"/>
      <c r="L173" s="82"/>
      <c r="M173" s="82"/>
      <c r="N173" s="83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3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82"/>
      <c r="CU173" s="82"/>
      <c r="CV173" s="82"/>
      <c r="CW173" s="82"/>
      <c r="CX173" s="82"/>
      <c r="CY173" s="82"/>
      <c r="CZ173" s="82"/>
      <c r="DA173" s="82"/>
      <c r="DB173" s="82"/>
      <c r="DC173" s="91"/>
      <c r="DD173" s="83">
        <v>50.0</v>
      </c>
      <c r="DE173" s="82"/>
      <c r="DF173" s="82">
        <f t="shared" si="1071"/>
        <v>50</v>
      </c>
      <c r="DG173" s="82">
        <f t="shared" si="1074"/>
        <v>2220000</v>
      </c>
      <c r="DH173" s="82"/>
      <c r="DI173" s="82"/>
      <c r="DJ173" s="82"/>
      <c r="DK173" s="82"/>
      <c r="DL173" s="82"/>
      <c r="DM173" s="82"/>
      <c r="DN173" s="82"/>
      <c r="DO173" s="82"/>
      <c r="DP173" s="82"/>
      <c r="DQ173" s="82"/>
      <c r="DR173" s="82"/>
      <c r="DS173" s="82"/>
      <c r="DT173" s="82"/>
      <c r="DU173" s="82"/>
      <c r="DV173" s="82"/>
      <c r="DW173" s="82"/>
      <c r="DX173" s="82"/>
      <c r="DY173" s="82"/>
      <c r="DZ173" s="82"/>
      <c r="EA173" s="82"/>
      <c r="EB173" s="82"/>
      <c r="EC173" s="82"/>
      <c r="ED173" s="82"/>
      <c r="EE173" s="82"/>
      <c r="EF173" s="82"/>
      <c r="EG173" s="82"/>
      <c r="EH173" s="82"/>
      <c r="EI173" s="82"/>
      <c r="EJ173" s="82"/>
      <c r="EK173" s="82"/>
      <c r="EL173" s="82"/>
      <c r="EM173" s="82"/>
      <c r="EN173" s="82"/>
      <c r="EO173" s="82"/>
      <c r="EP173" s="82"/>
      <c r="EQ173" s="82"/>
      <c r="ER173" s="82"/>
      <c r="ES173" s="82"/>
      <c r="ET173" s="82"/>
      <c r="EU173" s="82"/>
      <c r="EV173" s="82"/>
      <c r="EW173" s="82"/>
      <c r="EX173" s="82"/>
      <c r="EY173" s="82"/>
      <c r="EZ173" s="82"/>
      <c r="FA173" s="82"/>
      <c r="FB173" s="82"/>
      <c r="FC173" s="82"/>
      <c r="FD173" s="82"/>
      <c r="FE173" s="82"/>
      <c r="FF173" s="82"/>
      <c r="FG173" s="82"/>
      <c r="FH173" s="82"/>
      <c r="FI173" s="82"/>
      <c r="FJ173" s="82"/>
      <c r="FK173" s="82"/>
      <c r="FL173" s="82"/>
      <c r="FM173" s="82"/>
      <c r="FN173" s="82"/>
      <c r="FO173" s="82"/>
      <c r="FP173" s="82"/>
      <c r="FQ173" s="82"/>
      <c r="FR173" s="82"/>
      <c r="FS173" s="82"/>
      <c r="FT173" s="82"/>
      <c r="FU173" s="82"/>
      <c r="FV173" s="82"/>
      <c r="FW173" s="82"/>
      <c r="FX173" s="82"/>
      <c r="FY173" s="82"/>
      <c r="FZ173" s="82"/>
      <c r="GA173" s="82"/>
      <c r="GB173" s="82"/>
      <c r="GC173" s="82"/>
      <c r="GD173" s="82"/>
      <c r="GE173" s="82"/>
      <c r="GF173" s="85"/>
    </row>
    <row r="174" ht="29.25" customHeight="1">
      <c r="A174" s="96">
        <v>8.0</v>
      </c>
      <c r="B174" s="58"/>
      <c r="C174" s="58" t="s">
        <v>223</v>
      </c>
      <c r="D174" s="78" t="s">
        <v>134</v>
      </c>
      <c r="E174" s="79">
        <v>166500.0</v>
      </c>
      <c r="F174" s="61" t="s">
        <v>97</v>
      </c>
      <c r="G174" s="81">
        <v>1.0</v>
      </c>
      <c r="H174" s="82">
        <v>166500.0</v>
      </c>
      <c r="I174" s="82"/>
      <c r="J174" s="82"/>
      <c r="K174" s="82">
        <f t="shared" ref="K174:K189" si="1075">SUM(I174:J174)</f>
        <v>0</v>
      </c>
      <c r="L174" s="82">
        <f t="shared" ref="L174:L189" si="1076">K174*E174</f>
        <v>0</v>
      </c>
      <c r="M174" s="82"/>
      <c r="N174" s="83">
        <v>1.0</v>
      </c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>
        <f t="shared" ref="AB174:AB189" si="1077">SUM(M174:AA174)</f>
        <v>1</v>
      </c>
      <c r="AC174" s="82">
        <f t="shared" ref="AC174:AC189" si="1078">AB174*E174</f>
        <v>166500</v>
      </c>
      <c r="AD174" s="82">
        <f t="shared" ref="AD174:AD189" si="1079">G174+K174-AB174</f>
        <v>0</v>
      </c>
      <c r="AE174" s="82">
        <f t="shared" ref="AE174:AE189" si="1080">AD174*E174</f>
        <v>0</v>
      </c>
      <c r="AF174" s="82"/>
      <c r="AG174" s="82"/>
      <c r="AH174" s="82">
        <f t="shared" ref="AH174:AH189" si="1081">SUM(AF174:AG174)</f>
        <v>0</v>
      </c>
      <c r="AI174" s="82">
        <f t="shared" ref="AI174:AI189" si="1082">AH174*E174</f>
        <v>0</v>
      </c>
      <c r="AJ174" s="82"/>
      <c r="AK174" s="82"/>
      <c r="AL174" s="82"/>
      <c r="AM174" s="82"/>
      <c r="AN174" s="82">
        <f t="shared" ref="AN174:AN189" si="1083">SUM(AJ174:AM174)</f>
        <v>0</v>
      </c>
      <c r="AO174" s="82">
        <f t="shared" ref="AO174:AO189" si="1084">AN174*E174</f>
        <v>0</v>
      </c>
      <c r="AP174" s="82">
        <f t="shared" ref="AP174:AP189" si="1085">AD174+AH174-AN174</f>
        <v>0</v>
      </c>
      <c r="AQ174" s="82">
        <f t="shared" ref="AQ174:AQ189" si="1086">AP174*E174</f>
        <v>0</v>
      </c>
      <c r="AR174" s="82"/>
      <c r="AS174" s="82"/>
      <c r="AT174" s="82"/>
      <c r="AU174" s="82">
        <f t="shared" ref="AU174:AU189" si="1087">SUM(AS174:AT174)</f>
        <v>0</v>
      </c>
      <c r="AV174" s="82">
        <f t="shared" ref="AV174:AV189" si="1088">AU174*AB174</f>
        <v>0</v>
      </c>
      <c r="AW174" s="82"/>
      <c r="AX174" s="82"/>
      <c r="AY174" s="82"/>
      <c r="AZ174" s="82"/>
      <c r="BA174" s="82">
        <f t="shared" ref="BA174:BA189" si="1089">SUM(AW174:AZ174)</f>
        <v>0</v>
      </c>
      <c r="BB174" s="82">
        <f t="shared" ref="BB174:BB189" si="1090">BA174*AB174</f>
        <v>0</v>
      </c>
      <c r="BC174" s="82">
        <f t="shared" ref="BC174:BC189" si="1091">AP174+AU174-BA174</f>
        <v>0</v>
      </c>
      <c r="BD174" s="82">
        <f t="shared" ref="BD174:BD189" si="1092">BC174*E174</f>
        <v>0</v>
      </c>
      <c r="BE174" s="82">
        <f t="shared" ref="BE174:BE189" si="1093">K174+AH174+AU174</f>
        <v>0</v>
      </c>
      <c r="BF174" s="82">
        <f t="shared" ref="BF174:BF189" si="1094">AB174+AN174+BA174</f>
        <v>1</v>
      </c>
      <c r="BG174" s="82">
        <f t="shared" ref="BG174:BG189" si="1095">G174+BE174-BF174</f>
        <v>0</v>
      </c>
      <c r="BH174" s="82">
        <f t="shared" ref="BH174:BH189" si="1096">BG174*E174</f>
        <v>0</v>
      </c>
      <c r="BI174" s="82"/>
      <c r="BJ174" s="83"/>
      <c r="BK174" s="82">
        <f t="shared" ref="BK174:BK189" si="1097">SUM(BI174:BJ174)</f>
        <v>0</v>
      </c>
      <c r="BL174" s="82">
        <f t="shared" ref="BL174:BL189" si="1098">BK174*E174</f>
        <v>0</v>
      </c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>
        <f t="shared" ref="BW174:BW189" si="1099">SUM(BM174:BV174)</f>
        <v>0</v>
      </c>
      <c r="BX174" s="82">
        <f t="shared" ref="BX174:BX189" si="1100">BW174*E174</f>
        <v>0</v>
      </c>
      <c r="BY174" s="82">
        <f t="shared" ref="BY174:BY189" si="1101">BG174+BK174-BW174</f>
        <v>0</v>
      </c>
      <c r="BZ174" s="82">
        <f t="shared" ref="BZ174:BZ189" si="1102">BY174*E174</f>
        <v>0</v>
      </c>
      <c r="CA174" s="82"/>
      <c r="CB174" s="82"/>
      <c r="CC174" s="82">
        <f t="shared" ref="CC174:CC189" si="1103">sum(CA174:CB174)</f>
        <v>0</v>
      </c>
      <c r="CD174" s="82">
        <f t="shared" ref="CD174:CD189" si="1104">CC174*E174</f>
        <v>0</v>
      </c>
      <c r="CE174" s="82"/>
      <c r="CF174" s="82"/>
      <c r="CG174" s="82"/>
      <c r="CH174" s="82"/>
      <c r="CI174" s="82">
        <f t="shared" ref="CI174:CI189" si="1105">sum(CE174:CH174)</f>
        <v>0</v>
      </c>
      <c r="CJ174" s="82">
        <f t="shared" ref="CJ174:CJ189" si="1106">CI174*E174</f>
        <v>0</v>
      </c>
      <c r="CK174" s="82">
        <f t="shared" ref="CK174:CK189" si="1107">BY174+CC174-CI174</f>
        <v>0</v>
      </c>
      <c r="CL174" s="82">
        <f t="shared" ref="CL174:CL189" si="1108">CK174*E174</f>
        <v>0</v>
      </c>
      <c r="CM174" s="82"/>
      <c r="CN174" s="82"/>
      <c r="CO174" s="82">
        <f t="shared" ref="CO174:CO189" si="1109">SUM(CM174:CN174)</f>
        <v>0</v>
      </c>
      <c r="CP174" s="82">
        <f t="shared" ref="CP174:CP189" si="1110">CO174*E174</f>
        <v>0</v>
      </c>
      <c r="CQ174" s="82"/>
      <c r="CR174" s="82"/>
      <c r="CS174" s="82"/>
      <c r="CT174" s="82"/>
      <c r="CU174" s="82">
        <f t="shared" ref="CU174:CU189" si="1111">sum(CQ174:CT174)</f>
        <v>0</v>
      </c>
      <c r="CV174" s="82">
        <f t="shared" ref="CV174:CV189" si="1112">CU174*E174</f>
        <v>0</v>
      </c>
      <c r="CW174" s="82">
        <f t="shared" ref="CW174:CW189" si="1113">CK174+CO174-CU174</f>
        <v>0</v>
      </c>
      <c r="CX174" s="82">
        <f t="shared" ref="CX174:CX189" si="1114">CW174*E174</f>
        <v>0</v>
      </c>
      <c r="CY174" s="82">
        <f t="shared" ref="CY174:CY189" si="1115">BK174+CC174+CO174</f>
        <v>0</v>
      </c>
      <c r="CZ174" s="82">
        <f t="shared" ref="CZ174:CZ189" si="1116">BW174+CI174+CU174</f>
        <v>0</v>
      </c>
      <c r="DA174" s="82">
        <f t="shared" ref="DA174:DA189" si="1117">BG174+CY174-CZ174</f>
        <v>0</v>
      </c>
      <c r="DB174" s="82">
        <f t="shared" ref="DB174:DB189" si="1118">DA174*E174</f>
        <v>0</v>
      </c>
      <c r="DC174" s="91"/>
      <c r="DD174" s="82"/>
      <c r="DE174" s="82"/>
      <c r="DF174" s="82">
        <f t="shared" si="1071"/>
        <v>0</v>
      </c>
      <c r="DG174" s="82">
        <f t="shared" ref="DG174:DG189" si="1119">DF174*U174</f>
        <v>0</v>
      </c>
      <c r="DH174" s="82"/>
      <c r="DI174" s="82">
        <f t="shared" ref="DI174:DI189" si="1120">SUM(DG174:DH174)</f>
        <v>0</v>
      </c>
      <c r="DJ174" s="82">
        <f t="shared" ref="DJ174:DJ189" si="1121">DI174*X174</f>
        <v>0</v>
      </c>
      <c r="DK174" s="82"/>
      <c r="DL174" s="82">
        <f t="shared" ref="DL174:DL189" si="1122">sum(DH174:DK174)</f>
        <v>0</v>
      </c>
      <c r="DM174" s="82">
        <f t="shared" ref="DM174:DM189" si="1123">DL174*E174</f>
        <v>0</v>
      </c>
      <c r="DN174" s="82">
        <f t="shared" ref="DN174:DN189" si="1124">DA174+DF174-DL174</f>
        <v>0</v>
      </c>
      <c r="DO174" s="82">
        <f t="shared" ref="DO174:DO189" si="1125">DN174*E174</f>
        <v>0</v>
      </c>
      <c r="DP174" s="82"/>
      <c r="DQ174" s="82"/>
      <c r="DR174" s="82">
        <f t="shared" ref="DR174:DR189" si="1126">sum(DP174:DQ174)</f>
        <v>0</v>
      </c>
      <c r="DS174" s="82">
        <f t="shared" ref="DS174:DS189" si="1127">DR174*AB174</f>
        <v>0</v>
      </c>
      <c r="DT174" s="82"/>
      <c r="DU174" s="82"/>
      <c r="DV174" s="82"/>
      <c r="DW174" s="82"/>
      <c r="DX174" s="82">
        <f t="shared" ref="DX174:DX189" si="1128">sum(DT174:DW174)</f>
        <v>0</v>
      </c>
      <c r="DY174" s="82">
        <f t="shared" ref="DY174:DY189" si="1129">DX174*AB174</f>
        <v>0</v>
      </c>
      <c r="DZ174" s="82">
        <f t="shared" ref="DZ174:DZ189" si="1130">DN174+DR174-DX174</f>
        <v>0</v>
      </c>
      <c r="EA174" s="82">
        <f t="shared" ref="EA174:EA189" si="1131">DZ174*E174</f>
        <v>0</v>
      </c>
      <c r="EB174" s="82"/>
      <c r="EC174" s="82"/>
      <c r="ED174" s="82">
        <f t="shared" ref="ED174:ED189" si="1132">sum(EB174:EC174)</f>
        <v>0</v>
      </c>
      <c r="EE174" s="82">
        <f t="shared" ref="EE174:EE189" si="1133">ED174*AN174</f>
        <v>0</v>
      </c>
      <c r="EF174" s="82"/>
      <c r="EG174" s="82"/>
      <c r="EH174" s="82"/>
      <c r="EI174" s="82"/>
      <c r="EJ174" s="82">
        <f t="shared" ref="EJ174:EJ189" si="1134">sum(EF174:EI174)</f>
        <v>0</v>
      </c>
      <c r="EK174" s="82">
        <f t="shared" ref="EK174:EK189" si="1135">EJ174*AN174</f>
        <v>0</v>
      </c>
      <c r="EL174" s="82">
        <f t="shared" ref="EL174:EL189" si="1136">DZ174+ED174-EJ174</f>
        <v>0</v>
      </c>
      <c r="EM174" s="82">
        <f t="shared" ref="EM174:EM189" si="1137">EL174*E174</f>
        <v>0</v>
      </c>
      <c r="EN174" s="82">
        <f t="shared" ref="EN174:EN189" si="1138">DF174+DR174+ED174</f>
        <v>0</v>
      </c>
      <c r="EO174" s="82">
        <f t="shared" ref="EO174:EO189" si="1139">DL174+DX174+EJ174</f>
        <v>0</v>
      </c>
      <c r="EP174" s="82">
        <f t="shared" ref="EP174:EP189" si="1140">DA174+EN174-EO174</f>
        <v>0</v>
      </c>
      <c r="EQ174" s="82">
        <f t="shared" ref="EQ174:EQ189" si="1141">EP174*E174</f>
        <v>0</v>
      </c>
      <c r="ER174" s="82"/>
      <c r="ES174" s="82"/>
      <c r="ET174" s="82">
        <f t="shared" ref="ET174:ET189" si="1142">sum(ER174:ES174)</f>
        <v>0</v>
      </c>
      <c r="EU174" s="82">
        <f t="shared" ref="EU174:EU189" si="1143">ET174*BE174</f>
        <v>0</v>
      </c>
      <c r="EV174" s="82"/>
      <c r="EW174" s="82"/>
      <c r="EX174" s="82"/>
      <c r="EY174" s="82"/>
      <c r="EZ174" s="82">
        <f t="shared" ref="EZ174:EZ189" si="1144">sum(EV174:EY174)</f>
        <v>0</v>
      </c>
      <c r="FA174" s="82">
        <f t="shared" ref="FA174:FA189" si="1145">EZ174*BE174</f>
        <v>0</v>
      </c>
      <c r="FB174" s="82">
        <f t="shared" ref="FB174:FB189" si="1146">EP174+ET174-EZ174</f>
        <v>0</v>
      </c>
      <c r="FC174" s="82">
        <f t="shared" ref="FC174:FC189" si="1147">FB174*E174</f>
        <v>0</v>
      </c>
      <c r="FD174" s="82"/>
      <c r="FE174" s="82"/>
      <c r="FF174" s="82">
        <f t="shared" ref="FF174:FF189" si="1148">sum(FD174:FE174)</f>
        <v>0</v>
      </c>
      <c r="FG174" s="82">
        <f t="shared" ref="FG174:FG189" si="1149">FF174*BW174</f>
        <v>0</v>
      </c>
      <c r="FH174" s="82"/>
      <c r="FI174" s="82"/>
      <c r="FJ174" s="82"/>
      <c r="FK174" s="82"/>
      <c r="FL174" s="82">
        <f t="shared" ref="FL174:FL189" si="1150">sum(FH174:FK174)</f>
        <v>0</v>
      </c>
      <c r="FM174" s="82">
        <f t="shared" ref="FM174:FM189" si="1151">FL174*BW174</f>
        <v>0</v>
      </c>
      <c r="FN174" s="82">
        <f t="shared" ref="FN174:FN189" si="1152">FB174+FF174-FL174</f>
        <v>0</v>
      </c>
      <c r="FO174" s="82">
        <f t="shared" ref="FO174:FO189" si="1153">FN174*E174</f>
        <v>0</v>
      </c>
      <c r="FP174" s="82"/>
      <c r="FQ174" s="82"/>
      <c r="FR174" s="82">
        <f t="shared" ref="FR174:FR189" si="1154">sum(FP174:FQ174)</f>
        <v>0</v>
      </c>
      <c r="FS174" s="82">
        <f t="shared" ref="FS174:FS189" si="1155">FR174*CI174</f>
        <v>0</v>
      </c>
      <c r="FT174" s="82"/>
      <c r="FU174" s="82"/>
      <c r="FV174" s="82"/>
      <c r="FW174" s="82"/>
      <c r="FX174" s="82">
        <f t="shared" ref="FX174:FX189" si="1156">sum(FT174:FW174)</f>
        <v>0</v>
      </c>
      <c r="FY174" s="82">
        <f t="shared" ref="FY174:FY189" si="1157">FX174*CI174</f>
        <v>0</v>
      </c>
      <c r="FZ174" s="82">
        <f t="shared" ref="FZ174:FZ189" si="1158">FN174+FR174-FX174</f>
        <v>0</v>
      </c>
      <c r="GA174" s="82">
        <f t="shared" ref="GA174:GA189" si="1159">FZ174*E174</f>
        <v>0</v>
      </c>
      <c r="GB174" s="82">
        <f t="shared" ref="GB174:GB189" si="1160">ET174+FF174+FR174</f>
        <v>0</v>
      </c>
      <c r="GC174" s="82">
        <f t="shared" ref="GC174:GC189" si="1161">EZ174+FL174+FX174</f>
        <v>0</v>
      </c>
      <c r="GD174" s="82">
        <f t="shared" ref="GD174:GD189" si="1162">EP174+GB174-GC174</f>
        <v>0</v>
      </c>
      <c r="GE174" s="82">
        <f t="shared" ref="GE174:GE189" si="1163">GD174*E174</f>
        <v>0</v>
      </c>
      <c r="GF174" s="85"/>
    </row>
    <row r="175" ht="29.25" customHeight="1">
      <c r="A175" s="96">
        <v>9.0</v>
      </c>
      <c r="B175" s="58"/>
      <c r="C175" s="58" t="s">
        <v>224</v>
      </c>
      <c r="D175" s="78" t="s">
        <v>134</v>
      </c>
      <c r="E175" s="79">
        <v>166500.0</v>
      </c>
      <c r="F175" s="61" t="s">
        <v>97</v>
      </c>
      <c r="G175" s="81">
        <v>1.0</v>
      </c>
      <c r="H175" s="82">
        <v>166500.0</v>
      </c>
      <c r="I175" s="82"/>
      <c r="J175" s="82"/>
      <c r="K175" s="82">
        <f t="shared" si="1075"/>
        <v>0</v>
      </c>
      <c r="L175" s="82">
        <f t="shared" si="1076"/>
        <v>0</v>
      </c>
      <c r="M175" s="82"/>
      <c r="N175" s="83">
        <v>1.0</v>
      </c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>
        <f t="shared" si="1077"/>
        <v>1</v>
      </c>
      <c r="AC175" s="82">
        <f t="shared" si="1078"/>
        <v>166500</v>
      </c>
      <c r="AD175" s="82">
        <f t="shared" si="1079"/>
        <v>0</v>
      </c>
      <c r="AE175" s="82">
        <f t="shared" si="1080"/>
        <v>0</v>
      </c>
      <c r="AF175" s="82"/>
      <c r="AG175" s="82"/>
      <c r="AH175" s="82">
        <f t="shared" si="1081"/>
        <v>0</v>
      </c>
      <c r="AI175" s="82">
        <f t="shared" si="1082"/>
        <v>0</v>
      </c>
      <c r="AJ175" s="82"/>
      <c r="AK175" s="82"/>
      <c r="AL175" s="82"/>
      <c r="AM175" s="82"/>
      <c r="AN175" s="82">
        <f t="shared" si="1083"/>
        <v>0</v>
      </c>
      <c r="AO175" s="82">
        <f t="shared" si="1084"/>
        <v>0</v>
      </c>
      <c r="AP175" s="82">
        <f t="shared" si="1085"/>
        <v>0</v>
      </c>
      <c r="AQ175" s="82">
        <f t="shared" si="1086"/>
        <v>0</v>
      </c>
      <c r="AR175" s="82"/>
      <c r="AS175" s="82"/>
      <c r="AT175" s="82"/>
      <c r="AU175" s="82">
        <f t="shared" si="1087"/>
        <v>0</v>
      </c>
      <c r="AV175" s="82">
        <f t="shared" si="1088"/>
        <v>0</v>
      </c>
      <c r="AW175" s="82"/>
      <c r="AX175" s="82"/>
      <c r="AY175" s="82"/>
      <c r="AZ175" s="82"/>
      <c r="BA175" s="82">
        <f t="shared" si="1089"/>
        <v>0</v>
      </c>
      <c r="BB175" s="82">
        <f t="shared" si="1090"/>
        <v>0</v>
      </c>
      <c r="BC175" s="82">
        <f t="shared" si="1091"/>
        <v>0</v>
      </c>
      <c r="BD175" s="82">
        <f t="shared" si="1092"/>
        <v>0</v>
      </c>
      <c r="BE175" s="82">
        <f t="shared" si="1093"/>
        <v>0</v>
      </c>
      <c r="BF175" s="82">
        <f t="shared" si="1094"/>
        <v>1</v>
      </c>
      <c r="BG175" s="82">
        <f t="shared" si="1095"/>
        <v>0</v>
      </c>
      <c r="BH175" s="82">
        <f t="shared" si="1096"/>
        <v>0</v>
      </c>
      <c r="BI175" s="82"/>
      <c r="BJ175" s="83"/>
      <c r="BK175" s="82">
        <f t="shared" si="1097"/>
        <v>0</v>
      </c>
      <c r="BL175" s="82">
        <f t="shared" si="1098"/>
        <v>0</v>
      </c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>
        <f t="shared" si="1099"/>
        <v>0</v>
      </c>
      <c r="BX175" s="82">
        <f t="shared" si="1100"/>
        <v>0</v>
      </c>
      <c r="BY175" s="82">
        <f t="shared" si="1101"/>
        <v>0</v>
      </c>
      <c r="BZ175" s="82">
        <f t="shared" si="1102"/>
        <v>0</v>
      </c>
      <c r="CA175" s="82"/>
      <c r="CB175" s="82"/>
      <c r="CC175" s="82">
        <f t="shared" si="1103"/>
        <v>0</v>
      </c>
      <c r="CD175" s="82">
        <f t="shared" si="1104"/>
        <v>0</v>
      </c>
      <c r="CE175" s="82"/>
      <c r="CF175" s="82"/>
      <c r="CG175" s="82"/>
      <c r="CH175" s="82"/>
      <c r="CI175" s="82">
        <f t="shared" si="1105"/>
        <v>0</v>
      </c>
      <c r="CJ175" s="82">
        <f t="shared" si="1106"/>
        <v>0</v>
      </c>
      <c r="CK175" s="82">
        <f t="shared" si="1107"/>
        <v>0</v>
      </c>
      <c r="CL175" s="82">
        <f t="shared" si="1108"/>
        <v>0</v>
      </c>
      <c r="CM175" s="82"/>
      <c r="CN175" s="82"/>
      <c r="CO175" s="82">
        <f t="shared" si="1109"/>
        <v>0</v>
      </c>
      <c r="CP175" s="82">
        <f t="shared" si="1110"/>
        <v>0</v>
      </c>
      <c r="CQ175" s="82"/>
      <c r="CR175" s="82"/>
      <c r="CS175" s="82"/>
      <c r="CT175" s="82"/>
      <c r="CU175" s="82">
        <f t="shared" si="1111"/>
        <v>0</v>
      </c>
      <c r="CV175" s="82">
        <f t="shared" si="1112"/>
        <v>0</v>
      </c>
      <c r="CW175" s="82">
        <f t="shared" si="1113"/>
        <v>0</v>
      </c>
      <c r="CX175" s="82">
        <f t="shared" si="1114"/>
        <v>0</v>
      </c>
      <c r="CY175" s="82">
        <f t="shared" si="1115"/>
        <v>0</v>
      </c>
      <c r="CZ175" s="82">
        <f t="shared" si="1116"/>
        <v>0</v>
      </c>
      <c r="DA175" s="82">
        <f t="shared" si="1117"/>
        <v>0</v>
      </c>
      <c r="DB175" s="82">
        <f t="shared" si="1118"/>
        <v>0</v>
      </c>
      <c r="DC175" s="91"/>
      <c r="DD175" s="82"/>
      <c r="DE175" s="82"/>
      <c r="DF175" s="82">
        <f t="shared" si="1071"/>
        <v>0</v>
      </c>
      <c r="DG175" s="82">
        <f t="shared" si="1119"/>
        <v>0</v>
      </c>
      <c r="DH175" s="82"/>
      <c r="DI175" s="82">
        <f t="shared" si="1120"/>
        <v>0</v>
      </c>
      <c r="DJ175" s="82">
        <f t="shared" si="1121"/>
        <v>0</v>
      </c>
      <c r="DK175" s="82"/>
      <c r="DL175" s="82">
        <f t="shared" si="1122"/>
        <v>0</v>
      </c>
      <c r="DM175" s="82">
        <f t="shared" si="1123"/>
        <v>0</v>
      </c>
      <c r="DN175" s="82">
        <f t="shared" si="1124"/>
        <v>0</v>
      </c>
      <c r="DO175" s="82">
        <f t="shared" si="1125"/>
        <v>0</v>
      </c>
      <c r="DP175" s="82"/>
      <c r="DQ175" s="82"/>
      <c r="DR175" s="82">
        <f t="shared" si="1126"/>
        <v>0</v>
      </c>
      <c r="DS175" s="82">
        <f t="shared" si="1127"/>
        <v>0</v>
      </c>
      <c r="DT175" s="82"/>
      <c r="DU175" s="82"/>
      <c r="DV175" s="82"/>
      <c r="DW175" s="82"/>
      <c r="DX175" s="82">
        <f t="shared" si="1128"/>
        <v>0</v>
      </c>
      <c r="DY175" s="82">
        <f t="shared" si="1129"/>
        <v>0</v>
      </c>
      <c r="DZ175" s="82">
        <f t="shared" si="1130"/>
        <v>0</v>
      </c>
      <c r="EA175" s="82">
        <f t="shared" si="1131"/>
        <v>0</v>
      </c>
      <c r="EB175" s="82"/>
      <c r="EC175" s="82"/>
      <c r="ED175" s="82">
        <f t="shared" si="1132"/>
        <v>0</v>
      </c>
      <c r="EE175" s="82">
        <f t="shared" si="1133"/>
        <v>0</v>
      </c>
      <c r="EF175" s="82"/>
      <c r="EG175" s="82"/>
      <c r="EH175" s="82"/>
      <c r="EI175" s="82"/>
      <c r="EJ175" s="82">
        <f t="shared" si="1134"/>
        <v>0</v>
      </c>
      <c r="EK175" s="82">
        <f t="shared" si="1135"/>
        <v>0</v>
      </c>
      <c r="EL175" s="82">
        <f t="shared" si="1136"/>
        <v>0</v>
      </c>
      <c r="EM175" s="82">
        <f t="shared" si="1137"/>
        <v>0</v>
      </c>
      <c r="EN175" s="82">
        <f t="shared" si="1138"/>
        <v>0</v>
      </c>
      <c r="EO175" s="82">
        <f t="shared" si="1139"/>
        <v>0</v>
      </c>
      <c r="EP175" s="82">
        <f t="shared" si="1140"/>
        <v>0</v>
      </c>
      <c r="EQ175" s="82">
        <f t="shared" si="1141"/>
        <v>0</v>
      </c>
      <c r="ER175" s="82"/>
      <c r="ES175" s="82"/>
      <c r="ET175" s="82">
        <f t="shared" si="1142"/>
        <v>0</v>
      </c>
      <c r="EU175" s="82">
        <f t="shared" si="1143"/>
        <v>0</v>
      </c>
      <c r="EV175" s="82"/>
      <c r="EW175" s="82"/>
      <c r="EX175" s="82"/>
      <c r="EY175" s="82"/>
      <c r="EZ175" s="82">
        <f t="shared" si="1144"/>
        <v>0</v>
      </c>
      <c r="FA175" s="82">
        <f t="shared" si="1145"/>
        <v>0</v>
      </c>
      <c r="FB175" s="82">
        <f t="shared" si="1146"/>
        <v>0</v>
      </c>
      <c r="FC175" s="82">
        <f t="shared" si="1147"/>
        <v>0</v>
      </c>
      <c r="FD175" s="82"/>
      <c r="FE175" s="82"/>
      <c r="FF175" s="82">
        <f t="shared" si="1148"/>
        <v>0</v>
      </c>
      <c r="FG175" s="82">
        <f t="shared" si="1149"/>
        <v>0</v>
      </c>
      <c r="FH175" s="82"/>
      <c r="FI175" s="82"/>
      <c r="FJ175" s="82"/>
      <c r="FK175" s="82"/>
      <c r="FL175" s="82">
        <f t="shared" si="1150"/>
        <v>0</v>
      </c>
      <c r="FM175" s="82">
        <f t="shared" si="1151"/>
        <v>0</v>
      </c>
      <c r="FN175" s="82">
        <f t="shared" si="1152"/>
        <v>0</v>
      </c>
      <c r="FO175" s="82">
        <f t="shared" si="1153"/>
        <v>0</v>
      </c>
      <c r="FP175" s="82"/>
      <c r="FQ175" s="82"/>
      <c r="FR175" s="82">
        <f t="shared" si="1154"/>
        <v>0</v>
      </c>
      <c r="FS175" s="82">
        <f t="shared" si="1155"/>
        <v>0</v>
      </c>
      <c r="FT175" s="82"/>
      <c r="FU175" s="82"/>
      <c r="FV175" s="82"/>
      <c r="FW175" s="82"/>
      <c r="FX175" s="82">
        <f t="shared" si="1156"/>
        <v>0</v>
      </c>
      <c r="FY175" s="82">
        <f t="shared" si="1157"/>
        <v>0</v>
      </c>
      <c r="FZ175" s="82">
        <f t="shared" si="1158"/>
        <v>0</v>
      </c>
      <c r="GA175" s="82">
        <f t="shared" si="1159"/>
        <v>0</v>
      </c>
      <c r="GB175" s="82">
        <f t="shared" si="1160"/>
        <v>0</v>
      </c>
      <c r="GC175" s="82">
        <f t="shared" si="1161"/>
        <v>0</v>
      </c>
      <c r="GD175" s="82">
        <f t="shared" si="1162"/>
        <v>0</v>
      </c>
      <c r="GE175" s="82">
        <f t="shared" si="1163"/>
        <v>0</v>
      </c>
      <c r="GF175" s="85"/>
    </row>
    <row r="176" ht="29.25" customHeight="1">
      <c r="A176" s="96">
        <v>10.0</v>
      </c>
      <c r="B176" s="58"/>
      <c r="C176" s="58" t="s">
        <v>225</v>
      </c>
      <c r="D176" s="78" t="s">
        <v>134</v>
      </c>
      <c r="E176" s="79">
        <v>166500.0</v>
      </c>
      <c r="F176" s="61" t="s">
        <v>97</v>
      </c>
      <c r="G176" s="81">
        <v>1.0</v>
      </c>
      <c r="H176" s="82">
        <v>166500.0</v>
      </c>
      <c r="I176" s="82"/>
      <c r="J176" s="82"/>
      <c r="K176" s="82">
        <f t="shared" si="1075"/>
        <v>0</v>
      </c>
      <c r="L176" s="82">
        <f t="shared" si="1076"/>
        <v>0</v>
      </c>
      <c r="M176" s="82"/>
      <c r="N176" s="83">
        <v>1.0</v>
      </c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>
        <f t="shared" si="1077"/>
        <v>1</v>
      </c>
      <c r="AC176" s="82">
        <f t="shared" si="1078"/>
        <v>166500</v>
      </c>
      <c r="AD176" s="82">
        <f t="shared" si="1079"/>
        <v>0</v>
      </c>
      <c r="AE176" s="82">
        <f t="shared" si="1080"/>
        <v>0</v>
      </c>
      <c r="AF176" s="82"/>
      <c r="AG176" s="82"/>
      <c r="AH176" s="82">
        <f t="shared" si="1081"/>
        <v>0</v>
      </c>
      <c r="AI176" s="82">
        <f t="shared" si="1082"/>
        <v>0</v>
      </c>
      <c r="AJ176" s="82"/>
      <c r="AK176" s="82"/>
      <c r="AL176" s="82"/>
      <c r="AM176" s="82"/>
      <c r="AN176" s="82">
        <f t="shared" si="1083"/>
        <v>0</v>
      </c>
      <c r="AO176" s="82">
        <f t="shared" si="1084"/>
        <v>0</v>
      </c>
      <c r="AP176" s="82">
        <f t="shared" si="1085"/>
        <v>0</v>
      </c>
      <c r="AQ176" s="82">
        <f t="shared" si="1086"/>
        <v>0</v>
      </c>
      <c r="AR176" s="82"/>
      <c r="AS176" s="82"/>
      <c r="AT176" s="82"/>
      <c r="AU176" s="82">
        <f t="shared" si="1087"/>
        <v>0</v>
      </c>
      <c r="AV176" s="82">
        <f t="shared" si="1088"/>
        <v>0</v>
      </c>
      <c r="AW176" s="82"/>
      <c r="AX176" s="82"/>
      <c r="AY176" s="82"/>
      <c r="AZ176" s="82"/>
      <c r="BA176" s="82">
        <f t="shared" si="1089"/>
        <v>0</v>
      </c>
      <c r="BB176" s="82">
        <f t="shared" si="1090"/>
        <v>0</v>
      </c>
      <c r="BC176" s="82">
        <f t="shared" si="1091"/>
        <v>0</v>
      </c>
      <c r="BD176" s="82">
        <f t="shared" si="1092"/>
        <v>0</v>
      </c>
      <c r="BE176" s="82">
        <f t="shared" si="1093"/>
        <v>0</v>
      </c>
      <c r="BF176" s="82">
        <f t="shared" si="1094"/>
        <v>1</v>
      </c>
      <c r="BG176" s="82">
        <f t="shared" si="1095"/>
        <v>0</v>
      </c>
      <c r="BH176" s="82">
        <f t="shared" si="1096"/>
        <v>0</v>
      </c>
      <c r="BI176" s="82"/>
      <c r="BJ176" s="83"/>
      <c r="BK176" s="82">
        <f t="shared" si="1097"/>
        <v>0</v>
      </c>
      <c r="BL176" s="82">
        <f t="shared" si="1098"/>
        <v>0</v>
      </c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>
        <f t="shared" si="1099"/>
        <v>0</v>
      </c>
      <c r="BX176" s="82">
        <f t="shared" si="1100"/>
        <v>0</v>
      </c>
      <c r="BY176" s="82">
        <f t="shared" si="1101"/>
        <v>0</v>
      </c>
      <c r="BZ176" s="82">
        <f t="shared" si="1102"/>
        <v>0</v>
      </c>
      <c r="CA176" s="82"/>
      <c r="CB176" s="82"/>
      <c r="CC176" s="82">
        <f t="shared" si="1103"/>
        <v>0</v>
      </c>
      <c r="CD176" s="82">
        <f t="shared" si="1104"/>
        <v>0</v>
      </c>
      <c r="CE176" s="82"/>
      <c r="CF176" s="82"/>
      <c r="CG176" s="82"/>
      <c r="CH176" s="82"/>
      <c r="CI176" s="82">
        <f t="shared" si="1105"/>
        <v>0</v>
      </c>
      <c r="CJ176" s="82">
        <f t="shared" si="1106"/>
        <v>0</v>
      </c>
      <c r="CK176" s="82">
        <f t="shared" si="1107"/>
        <v>0</v>
      </c>
      <c r="CL176" s="82">
        <f t="shared" si="1108"/>
        <v>0</v>
      </c>
      <c r="CM176" s="82"/>
      <c r="CN176" s="82"/>
      <c r="CO176" s="82">
        <f t="shared" si="1109"/>
        <v>0</v>
      </c>
      <c r="CP176" s="82">
        <f t="shared" si="1110"/>
        <v>0</v>
      </c>
      <c r="CQ176" s="82"/>
      <c r="CR176" s="82"/>
      <c r="CS176" s="82"/>
      <c r="CT176" s="82"/>
      <c r="CU176" s="82">
        <f t="shared" si="1111"/>
        <v>0</v>
      </c>
      <c r="CV176" s="82">
        <f t="shared" si="1112"/>
        <v>0</v>
      </c>
      <c r="CW176" s="82">
        <f t="shared" si="1113"/>
        <v>0</v>
      </c>
      <c r="CX176" s="82">
        <f t="shared" si="1114"/>
        <v>0</v>
      </c>
      <c r="CY176" s="82">
        <f t="shared" si="1115"/>
        <v>0</v>
      </c>
      <c r="CZ176" s="82">
        <f t="shared" si="1116"/>
        <v>0</v>
      </c>
      <c r="DA176" s="82">
        <f t="shared" si="1117"/>
        <v>0</v>
      </c>
      <c r="DB176" s="82">
        <f t="shared" si="1118"/>
        <v>0</v>
      </c>
      <c r="DC176" s="91"/>
      <c r="DD176" s="82"/>
      <c r="DE176" s="82"/>
      <c r="DF176" s="82">
        <f t="shared" si="1071"/>
        <v>0</v>
      </c>
      <c r="DG176" s="82">
        <f t="shared" si="1119"/>
        <v>0</v>
      </c>
      <c r="DH176" s="82"/>
      <c r="DI176" s="82">
        <f t="shared" si="1120"/>
        <v>0</v>
      </c>
      <c r="DJ176" s="82">
        <f t="shared" si="1121"/>
        <v>0</v>
      </c>
      <c r="DK176" s="82"/>
      <c r="DL176" s="82">
        <f t="shared" si="1122"/>
        <v>0</v>
      </c>
      <c r="DM176" s="82">
        <f t="shared" si="1123"/>
        <v>0</v>
      </c>
      <c r="DN176" s="82">
        <f t="shared" si="1124"/>
        <v>0</v>
      </c>
      <c r="DO176" s="82">
        <f t="shared" si="1125"/>
        <v>0</v>
      </c>
      <c r="DP176" s="82"/>
      <c r="DQ176" s="82"/>
      <c r="DR176" s="82">
        <f t="shared" si="1126"/>
        <v>0</v>
      </c>
      <c r="DS176" s="82">
        <f t="shared" si="1127"/>
        <v>0</v>
      </c>
      <c r="DT176" s="82"/>
      <c r="DU176" s="82"/>
      <c r="DV176" s="82"/>
      <c r="DW176" s="82"/>
      <c r="DX176" s="82">
        <f t="shared" si="1128"/>
        <v>0</v>
      </c>
      <c r="DY176" s="82">
        <f t="shared" si="1129"/>
        <v>0</v>
      </c>
      <c r="DZ176" s="82">
        <f t="shared" si="1130"/>
        <v>0</v>
      </c>
      <c r="EA176" s="82">
        <f t="shared" si="1131"/>
        <v>0</v>
      </c>
      <c r="EB176" s="82"/>
      <c r="EC176" s="82"/>
      <c r="ED176" s="82">
        <f t="shared" si="1132"/>
        <v>0</v>
      </c>
      <c r="EE176" s="82">
        <f t="shared" si="1133"/>
        <v>0</v>
      </c>
      <c r="EF176" s="82"/>
      <c r="EG176" s="82"/>
      <c r="EH176" s="82"/>
      <c r="EI176" s="82"/>
      <c r="EJ176" s="82">
        <f t="shared" si="1134"/>
        <v>0</v>
      </c>
      <c r="EK176" s="82">
        <f t="shared" si="1135"/>
        <v>0</v>
      </c>
      <c r="EL176" s="82">
        <f t="shared" si="1136"/>
        <v>0</v>
      </c>
      <c r="EM176" s="82">
        <f t="shared" si="1137"/>
        <v>0</v>
      </c>
      <c r="EN176" s="82">
        <f t="shared" si="1138"/>
        <v>0</v>
      </c>
      <c r="EO176" s="82">
        <f t="shared" si="1139"/>
        <v>0</v>
      </c>
      <c r="EP176" s="82">
        <f t="shared" si="1140"/>
        <v>0</v>
      </c>
      <c r="EQ176" s="82">
        <f t="shared" si="1141"/>
        <v>0</v>
      </c>
      <c r="ER176" s="82"/>
      <c r="ES176" s="82"/>
      <c r="ET176" s="82">
        <f t="shared" si="1142"/>
        <v>0</v>
      </c>
      <c r="EU176" s="82">
        <f t="shared" si="1143"/>
        <v>0</v>
      </c>
      <c r="EV176" s="82"/>
      <c r="EW176" s="82"/>
      <c r="EX176" s="82"/>
      <c r="EY176" s="82"/>
      <c r="EZ176" s="82">
        <f t="shared" si="1144"/>
        <v>0</v>
      </c>
      <c r="FA176" s="82">
        <f t="shared" si="1145"/>
        <v>0</v>
      </c>
      <c r="FB176" s="82">
        <f t="shared" si="1146"/>
        <v>0</v>
      </c>
      <c r="FC176" s="82">
        <f t="shared" si="1147"/>
        <v>0</v>
      </c>
      <c r="FD176" s="82"/>
      <c r="FE176" s="82"/>
      <c r="FF176" s="82">
        <f t="shared" si="1148"/>
        <v>0</v>
      </c>
      <c r="FG176" s="82">
        <f t="shared" si="1149"/>
        <v>0</v>
      </c>
      <c r="FH176" s="82"/>
      <c r="FI176" s="82"/>
      <c r="FJ176" s="82"/>
      <c r="FK176" s="82"/>
      <c r="FL176" s="82">
        <f t="shared" si="1150"/>
        <v>0</v>
      </c>
      <c r="FM176" s="82">
        <f t="shared" si="1151"/>
        <v>0</v>
      </c>
      <c r="FN176" s="82">
        <f t="shared" si="1152"/>
        <v>0</v>
      </c>
      <c r="FO176" s="82">
        <f t="shared" si="1153"/>
        <v>0</v>
      </c>
      <c r="FP176" s="82"/>
      <c r="FQ176" s="82"/>
      <c r="FR176" s="82">
        <f t="shared" si="1154"/>
        <v>0</v>
      </c>
      <c r="FS176" s="82">
        <f t="shared" si="1155"/>
        <v>0</v>
      </c>
      <c r="FT176" s="82"/>
      <c r="FU176" s="82"/>
      <c r="FV176" s="82"/>
      <c r="FW176" s="82"/>
      <c r="FX176" s="82">
        <f t="shared" si="1156"/>
        <v>0</v>
      </c>
      <c r="FY176" s="82">
        <f t="shared" si="1157"/>
        <v>0</v>
      </c>
      <c r="FZ176" s="82">
        <f t="shared" si="1158"/>
        <v>0</v>
      </c>
      <c r="GA176" s="82">
        <f t="shared" si="1159"/>
        <v>0</v>
      </c>
      <c r="GB176" s="82">
        <f t="shared" si="1160"/>
        <v>0</v>
      </c>
      <c r="GC176" s="82">
        <f t="shared" si="1161"/>
        <v>0</v>
      </c>
      <c r="GD176" s="82">
        <f t="shared" si="1162"/>
        <v>0</v>
      </c>
      <c r="GE176" s="82">
        <f t="shared" si="1163"/>
        <v>0</v>
      </c>
      <c r="GF176" s="85"/>
    </row>
    <row r="177" ht="29.25" customHeight="1">
      <c r="A177" s="96">
        <v>11.0</v>
      </c>
      <c r="B177" s="58"/>
      <c r="C177" s="58" t="s">
        <v>226</v>
      </c>
      <c r="D177" s="78" t="s">
        <v>134</v>
      </c>
      <c r="E177" s="79">
        <v>166500.0</v>
      </c>
      <c r="F177" s="61" t="s">
        <v>97</v>
      </c>
      <c r="G177" s="81">
        <v>1.0</v>
      </c>
      <c r="H177" s="82">
        <v>166500.0</v>
      </c>
      <c r="I177" s="82"/>
      <c r="J177" s="82"/>
      <c r="K177" s="82">
        <f t="shared" si="1075"/>
        <v>0</v>
      </c>
      <c r="L177" s="82">
        <f t="shared" si="1076"/>
        <v>0</v>
      </c>
      <c r="M177" s="82"/>
      <c r="N177" s="83">
        <v>1.0</v>
      </c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>
        <f t="shared" si="1077"/>
        <v>1</v>
      </c>
      <c r="AC177" s="82">
        <f t="shared" si="1078"/>
        <v>166500</v>
      </c>
      <c r="AD177" s="82">
        <f t="shared" si="1079"/>
        <v>0</v>
      </c>
      <c r="AE177" s="82">
        <f t="shared" si="1080"/>
        <v>0</v>
      </c>
      <c r="AF177" s="82"/>
      <c r="AG177" s="82"/>
      <c r="AH177" s="82">
        <f t="shared" si="1081"/>
        <v>0</v>
      </c>
      <c r="AI177" s="82">
        <f t="shared" si="1082"/>
        <v>0</v>
      </c>
      <c r="AJ177" s="82"/>
      <c r="AK177" s="82"/>
      <c r="AL177" s="82"/>
      <c r="AM177" s="82"/>
      <c r="AN177" s="82">
        <f t="shared" si="1083"/>
        <v>0</v>
      </c>
      <c r="AO177" s="82">
        <f t="shared" si="1084"/>
        <v>0</v>
      </c>
      <c r="AP177" s="82">
        <f t="shared" si="1085"/>
        <v>0</v>
      </c>
      <c r="AQ177" s="82">
        <f t="shared" si="1086"/>
        <v>0</v>
      </c>
      <c r="AR177" s="82"/>
      <c r="AS177" s="82"/>
      <c r="AT177" s="82"/>
      <c r="AU177" s="82">
        <f t="shared" si="1087"/>
        <v>0</v>
      </c>
      <c r="AV177" s="82">
        <f t="shared" si="1088"/>
        <v>0</v>
      </c>
      <c r="AW177" s="82"/>
      <c r="AX177" s="82"/>
      <c r="AY177" s="82"/>
      <c r="AZ177" s="82"/>
      <c r="BA177" s="82">
        <f t="shared" si="1089"/>
        <v>0</v>
      </c>
      <c r="BB177" s="82">
        <f t="shared" si="1090"/>
        <v>0</v>
      </c>
      <c r="BC177" s="82">
        <f t="shared" si="1091"/>
        <v>0</v>
      </c>
      <c r="BD177" s="82">
        <f t="shared" si="1092"/>
        <v>0</v>
      </c>
      <c r="BE177" s="82">
        <f t="shared" si="1093"/>
        <v>0</v>
      </c>
      <c r="BF177" s="82">
        <f t="shared" si="1094"/>
        <v>1</v>
      </c>
      <c r="BG177" s="82">
        <f t="shared" si="1095"/>
        <v>0</v>
      </c>
      <c r="BH177" s="82">
        <f t="shared" si="1096"/>
        <v>0</v>
      </c>
      <c r="BI177" s="82"/>
      <c r="BJ177" s="83"/>
      <c r="BK177" s="82">
        <f t="shared" si="1097"/>
        <v>0</v>
      </c>
      <c r="BL177" s="82">
        <f t="shared" si="1098"/>
        <v>0</v>
      </c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>
        <f t="shared" si="1099"/>
        <v>0</v>
      </c>
      <c r="BX177" s="82">
        <f t="shared" si="1100"/>
        <v>0</v>
      </c>
      <c r="BY177" s="82">
        <f t="shared" si="1101"/>
        <v>0</v>
      </c>
      <c r="BZ177" s="82">
        <f t="shared" si="1102"/>
        <v>0</v>
      </c>
      <c r="CA177" s="82"/>
      <c r="CB177" s="82"/>
      <c r="CC177" s="82">
        <f t="shared" si="1103"/>
        <v>0</v>
      </c>
      <c r="CD177" s="82">
        <f t="shared" si="1104"/>
        <v>0</v>
      </c>
      <c r="CE177" s="82"/>
      <c r="CF177" s="82"/>
      <c r="CG177" s="82"/>
      <c r="CH177" s="82"/>
      <c r="CI177" s="82">
        <f t="shared" si="1105"/>
        <v>0</v>
      </c>
      <c r="CJ177" s="82">
        <f t="shared" si="1106"/>
        <v>0</v>
      </c>
      <c r="CK177" s="82">
        <f t="shared" si="1107"/>
        <v>0</v>
      </c>
      <c r="CL177" s="82">
        <f t="shared" si="1108"/>
        <v>0</v>
      </c>
      <c r="CM177" s="82"/>
      <c r="CN177" s="82"/>
      <c r="CO177" s="82">
        <f t="shared" si="1109"/>
        <v>0</v>
      </c>
      <c r="CP177" s="82">
        <f t="shared" si="1110"/>
        <v>0</v>
      </c>
      <c r="CQ177" s="82"/>
      <c r="CR177" s="82"/>
      <c r="CS177" s="82"/>
      <c r="CT177" s="82"/>
      <c r="CU177" s="82">
        <f t="shared" si="1111"/>
        <v>0</v>
      </c>
      <c r="CV177" s="82">
        <f t="shared" si="1112"/>
        <v>0</v>
      </c>
      <c r="CW177" s="82">
        <f t="shared" si="1113"/>
        <v>0</v>
      </c>
      <c r="CX177" s="82">
        <f t="shared" si="1114"/>
        <v>0</v>
      </c>
      <c r="CY177" s="82">
        <f t="shared" si="1115"/>
        <v>0</v>
      </c>
      <c r="CZ177" s="82">
        <f t="shared" si="1116"/>
        <v>0</v>
      </c>
      <c r="DA177" s="82">
        <f t="shared" si="1117"/>
        <v>0</v>
      </c>
      <c r="DB177" s="82">
        <f t="shared" si="1118"/>
        <v>0</v>
      </c>
      <c r="DC177" s="91"/>
      <c r="DD177" s="82"/>
      <c r="DE177" s="82"/>
      <c r="DF177" s="82">
        <f t="shared" si="1071"/>
        <v>0</v>
      </c>
      <c r="DG177" s="82">
        <f t="shared" si="1119"/>
        <v>0</v>
      </c>
      <c r="DH177" s="82"/>
      <c r="DI177" s="82">
        <f t="shared" si="1120"/>
        <v>0</v>
      </c>
      <c r="DJ177" s="82">
        <f t="shared" si="1121"/>
        <v>0</v>
      </c>
      <c r="DK177" s="82"/>
      <c r="DL177" s="82">
        <f t="shared" si="1122"/>
        <v>0</v>
      </c>
      <c r="DM177" s="82">
        <f t="shared" si="1123"/>
        <v>0</v>
      </c>
      <c r="DN177" s="82">
        <f t="shared" si="1124"/>
        <v>0</v>
      </c>
      <c r="DO177" s="82">
        <f t="shared" si="1125"/>
        <v>0</v>
      </c>
      <c r="DP177" s="82"/>
      <c r="DQ177" s="82"/>
      <c r="DR177" s="82">
        <f t="shared" si="1126"/>
        <v>0</v>
      </c>
      <c r="DS177" s="82">
        <f t="shared" si="1127"/>
        <v>0</v>
      </c>
      <c r="DT177" s="82"/>
      <c r="DU177" s="82"/>
      <c r="DV177" s="82"/>
      <c r="DW177" s="82"/>
      <c r="DX177" s="82">
        <f t="shared" si="1128"/>
        <v>0</v>
      </c>
      <c r="DY177" s="82">
        <f t="shared" si="1129"/>
        <v>0</v>
      </c>
      <c r="DZ177" s="82">
        <f t="shared" si="1130"/>
        <v>0</v>
      </c>
      <c r="EA177" s="82">
        <f t="shared" si="1131"/>
        <v>0</v>
      </c>
      <c r="EB177" s="82"/>
      <c r="EC177" s="82"/>
      <c r="ED177" s="82">
        <f t="shared" si="1132"/>
        <v>0</v>
      </c>
      <c r="EE177" s="82">
        <f t="shared" si="1133"/>
        <v>0</v>
      </c>
      <c r="EF177" s="82"/>
      <c r="EG177" s="82"/>
      <c r="EH177" s="82"/>
      <c r="EI177" s="82"/>
      <c r="EJ177" s="82">
        <f t="shared" si="1134"/>
        <v>0</v>
      </c>
      <c r="EK177" s="82">
        <f t="shared" si="1135"/>
        <v>0</v>
      </c>
      <c r="EL177" s="82">
        <f t="shared" si="1136"/>
        <v>0</v>
      </c>
      <c r="EM177" s="82">
        <f t="shared" si="1137"/>
        <v>0</v>
      </c>
      <c r="EN177" s="82">
        <f t="shared" si="1138"/>
        <v>0</v>
      </c>
      <c r="EO177" s="82">
        <f t="shared" si="1139"/>
        <v>0</v>
      </c>
      <c r="EP177" s="82">
        <f t="shared" si="1140"/>
        <v>0</v>
      </c>
      <c r="EQ177" s="82">
        <f t="shared" si="1141"/>
        <v>0</v>
      </c>
      <c r="ER177" s="82"/>
      <c r="ES177" s="82"/>
      <c r="ET177" s="82">
        <f t="shared" si="1142"/>
        <v>0</v>
      </c>
      <c r="EU177" s="82">
        <f t="shared" si="1143"/>
        <v>0</v>
      </c>
      <c r="EV177" s="82"/>
      <c r="EW177" s="82"/>
      <c r="EX177" s="82"/>
      <c r="EY177" s="82"/>
      <c r="EZ177" s="82">
        <f t="shared" si="1144"/>
        <v>0</v>
      </c>
      <c r="FA177" s="82">
        <f t="shared" si="1145"/>
        <v>0</v>
      </c>
      <c r="FB177" s="82">
        <f t="shared" si="1146"/>
        <v>0</v>
      </c>
      <c r="FC177" s="82">
        <f t="shared" si="1147"/>
        <v>0</v>
      </c>
      <c r="FD177" s="82"/>
      <c r="FE177" s="82"/>
      <c r="FF177" s="82">
        <f t="shared" si="1148"/>
        <v>0</v>
      </c>
      <c r="FG177" s="82">
        <f t="shared" si="1149"/>
        <v>0</v>
      </c>
      <c r="FH177" s="82"/>
      <c r="FI177" s="82"/>
      <c r="FJ177" s="82"/>
      <c r="FK177" s="82"/>
      <c r="FL177" s="82">
        <f t="shared" si="1150"/>
        <v>0</v>
      </c>
      <c r="FM177" s="82">
        <f t="shared" si="1151"/>
        <v>0</v>
      </c>
      <c r="FN177" s="82">
        <f t="shared" si="1152"/>
        <v>0</v>
      </c>
      <c r="FO177" s="82">
        <f t="shared" si="1153"/>
        <v>0</v>
      </c>
      <c r="FP177" s="82"/>
      <c r="FQ177" s="82"/>
      <c r="FR177" s="82">
        <f t="shared" si="1154"/>
        <v>0</v>
      </c>
      <c r="FS177" s="82">
        <f t="shared" si="1155"/>
        <v>0</v>
      </c>
      <c r="FT177" s="82"/>
      <c r="FU177" s="82"/>
      <c r="FV177" s="82"/>
      <c r="FW177" s="82"/>
      <c r="FX177" s="82">
        <f t="shared" si="1156"/>
        <v>0</v>
      </c>
      <c r="FY177" s="82">
        <f t="shared" si="1157"/>
        <v>0</v>
      </c>
      <c r="FZ177" s="82">
        <f t="shared" si="1158"/>
        <v>0</v>
      </c>
      <c r="GA177" s="82">
        <f t="shared" si="1159"/>
        <v>0</v>
      </c>
      <c r="GB177" s="82">
        <f t="shared" si="1160"/>
        <v>0</v>
      </c>
      <c r="GC177" s="82">
        <f t="shared" si="1161"/>
        <v>0</v>
      </c>
      <c r="GD177" s="82">
        <f t="shared" si="1162"/>
        <v>0</v>
      </c>
      <c r="GE177" s="82">
        <f t="shared" si="1163"/>
        <v>0</v>
      </c>
      <c r="GF177" s="85"/>
    </row>
    <row r="178" ht="29.25" customHeight="1">
      <c r="A178" s="96">
        <v>12.0</v>
      </c>
      <c r="B178" s="58"/>
      <c r="C178" s="58" t="s">
        <v>227</v>
      </c>
      <c r="D178" s="78" t="s">
        <v>134</v>
      </c>
      <c r="E178" s="79">
        <v>166500.0</v>
      </c>
      <c r="F178" s="61" t="s">
        <v>97</v>
      </c>
      <c r="G178" s="81">
        <v>1.0</v>
      </c>
      <c r="H178" s="82">
        <v>166500.0</v>
      </c>
      <c r="I178" s="82"/>
      <c r="J178" s="82"/>
      <c r="K178" s="82">
        <f t="shared" si="1075"/>
        <v>0</v>
      </c>
      <c r="L178" s="82">
        <f t="shared" si="1076"/>
        <v>0</v>
      </c>
      <c r="M178" s="82"/>
      <c r="N178" s="83">
        <v>1.0</v>
      </c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>
        <f t="shared" si="1077"/>
        <v>1</v>
      </c>
      <c r="AC178" s="82">
        <f t="shared" si="1078"/>
        <v>166500</v>
      </c>
      <c r="AD178" s="82">
        <f t="shared" si="1079"/>
        <v>0</v>
      </c>
      <c r="AE178" s="82">
        <f t="shared" si="1080"/>
        <v>0</v>
      </c>
      <c r="AF178" s="82"/>
      <c r="AG178" s="82"/>
      <c r="AH178" s="82">
        <f t="shared" si="1081"/>
        <v>0</v>
      </c>
      <c r="AI178" s="82">
        <f t="shared" si="1082"/>
        <v>0</v>
      </c>
      <c r="AJ178" s="82"/>
      <c r="AK178" s="82"/>
      <c r="AL178" s="82"/>
      <c r="AM178" s="82"/>
      <c r="AN178" s="82">
        <f t="shared" si="1083"/>
        <v>0</v>
      </c>
      <c r="AO178" s="82">
        <f t="shared" si="1084"/>
        <v>0</v>
      </c>
      <c r="AP178" s="82">
        <f t="shared" si="1085"/>
        <v>0</v>
      </c>
      <c r="AQ178" s="82">
        <f t="shared" si="1086"/>
        <v>0</v>
      </c>
      <c r="AR178" s="82"/>
      <c r="AS178" s="82"/>
      <c r="AT178" s="82"/>
      <c r="AU178" s="82">
        <f t="shared" si="1087"/>
        <v>0</v>
      </c>
      <c r="AV178" s="82">
        <f t="shared" si="1088"/>
        <v>0</v>
      </c>
      <c r="AW178" s="82"/>
      <c r="AX178" s="82"/>
      <c r="AY178" s="82"/>
      <c r="AZ178" s="82"/>
      <c r="BA178" s="82">
        <f t="shared" si="1089"/>
        <v>0</v>
      </c>
      <c r="BB178" s="82">
        <f t="shared" si="1090"/>
        <v>0</v>
      </c>
      <c r="BC178" s="82">
        <f t="shared" si="1091"/>
        <v>0</v>
      </c>
      <c r="BD178" s="82">
        <f t="shared" si="1092"/>
        <v>0</v>
      </c>
      <c r="BE178" s="82">
        <f t="shared" si="1093"/>
        <v>0</v>
      </c>
      <c r="BF178" s="82">
        <f t="shared" si="1094"/>
        <v>1</v>
      </c>
      <c r="BG178" s="82">
        <f t="shared" si="1095"/>
        <v>0</v>
      </c>
      <c r="BH178" s="82">
        <f t="shared" si="1096"/>
        <v>0</v>
      </c>
      <c r="BI178" s="82"/>
      <c r="BJ178" s="83"/>
      <c r="BK178" s="82">
        <f t="shared" si="1097"/>
        <v>0</v>
      </c>
      <c r="BL178" s="82">
        <f t="shared" si="1098"/>
        <v>0</v>
      </c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>
        <f t="shared" si="1099"/>
        <v>0</v>
      </c>
      <c r="BX178" s="82">
        <f t="shared" si="1100"/>
        <v>0</v>
      </c>
      <c r="BY178" s="82">
        <f t="shared" si="1101"/>
        <v>0</v>
      </c>
      <c r="BZ178" s="82">
        <f t="shared" si="1102"/>
        <v>0</v>
      </c>
      <c r="CA178" s="82"/>
      <c r="CB178" s="82"/>
      <c r="CC178" s="82">
        <f t="shared" si="1103"/>
        <v>0</v>
      </c>
      <c r="CD178" s="82">
        <f t="shared" si="1104"/>
        <v>0</v>
      </c>
      <c r="CE178" s="82"/>
      <c r="CF178" s="82"/>
      <c r="CG178" s="82"/>
      <c r="CH178" s="82"/>
      <c r="CI178" s="82">
        <f t="shared" si="1105"/>
        <v>0</v>
      </c>
      <c r="CJ178" s="82">
        <f t="shared" si="1106"/>
        <v>0</v>
      </c>
      <c r="CK178" s="82">
        <f t="shared" si="1107"/>
        <v>0</v>
      </c>
      <c r="CL178" s="82">
        <f t="shared" si="1108"/>
        <v>0</v>
      </c>
      <c r="CM178" s="82"/>
      <c r="CN178" s="82"/>
      <c r="CO178" s="82">
        <f t="shared" si="1109"/>
        <v>0</v>
      </c>
      <c r="CP178" s="82">
        <f t="shared" si="1110"/>
        <v>0</v>
      </c>
      <c r="CQ178" s="82"/>
      <c r="CR178" s="82"/>
      <c r="CS178" s="82"/>
      <c r="CT178" s="82"/>
      <c r="CU178" s="82">
        <f t="shared" si="1111"/>
        <v>0</v>
      </c>
      <c r="CV178" s="82">
        <f t="shared" si="1112"/>
        <v>0</v>
      </c>
      <c r="CW178" s="82">
        <f t="shared" si="1113"/>
        <v>0</v>
      </c>
      <c r="CX178" s="82">
        <f t="shared" si="1114"/>
        <v>0</v>
      </c>
      <c r="CY178" s="82">
        <f t="shared" si="1115"/>
        <v>0</v>
      </c>
      <c r="CZ178" s="82">
        <f t="shared" si="1116"/>
        <v>0</v>
      </c>
      <c r="DA178" s="82">
        <f t="shared" si="1117"/>
        <v>0</v>
      </c>
      <c r="DB178" s="82">
        <f t="shared" si="1118"/>
        <v>0</v>
      </c>
      <c r="DC178" s="91"/>
      <c r="DD178" s="82"/>
      <c r="DE178" s="82"/>
      <c r="DF178" s="82">
        <f t="shared" si="1071"/>
        <v>0</v>
      </c>
      <c r="DG178" s="82">
        <f t="shared" si="1119"/>
        <v>0</v>
      </c>
      <c r="DH178" s="82"/>
      <c r="DI178" s="82">
        <f t="shared" si="1120"/>
        <v>0</v>
      </c>
      <c r="DJ178" s="82">
        <f t="shared" si="1121"/>
        <v>0</v>
      </c>
      <c r="DK178" s="82"/>
      <c r="DL178" s="82">
        <f t="shared" si="1122"/>
        <v>0</v>
      </c>
      <c r="DM178" s="82">
        <f t="shared" si="1123"/>
        <v>0</v>
      </c>
      <c r="DN178" s="82">
        <f t="shared" si="1124"/>
        <v>0</v>
      </c>
      <c r="DO178" s="82">
        <f t="shared" si="1125"/>
        <v>0</v>
      </c>
      <c r="DP178" s="82"/>
      <c r="DQ178" s="82"/>
      <c r="DR178" s="82">
        <f t="shared" si="1126"/>
        <v>0</v>
      </c>
      <c r="DS178" s="82">
        <f t="shared" si="1127"/>
        <v>0</v>
      </c>
      <c r="DT178" s="82"/>
      <c r="DU178" s="82"/>
      <c r="DV178" s="82"/>
      <c r="DW178" s="82"/>
      <c r="DX178" s="82">
        <f t="shared" si="1128"/>
        <v>0</v>
      </c>
      <c r="DY178" s="82">
        <f t="shared" si="1129"/>
        <v>0</v>
      </c>
      <c r="DZ178" s="82">
        <f t="shared" si="1130"/>
        <v>0</v>
      </c>
      <c r="EA178" s="82">
        <f t="shared" si="1131"/>
        <v>0</v>
      </c>
      <c r="EB178" s="82"/>
      <c r="EC178" s="82"/>
      <c r="ED178" s="82">
        <f t="shared" si="1132"/>
        <v>0</v>
      </c>
      <c r="EE178" s="82">
        <f t="shared" si="1133"/>
        <v>0</v>
      </c>
      <c r="EF178" s="82"/>
      <c r="EG178" s="82"/>
      <c r="EH178" s="82"/>
      <c r="EI178" s="82"/>
      <c r="EJ178" s="82">
        <f t="shared" si="1134"/>
        <v>0</v>
      </c>
      <c r="EK178" s="82">
        <f t="shared" si="1135"/>
        <v>0</v>
      </c>
      <c r="EL178" s="82">
        <f t="shared" si="1136"/>
        <v>0</v>
      </c>
      <c r="EM178" s="82">
        <f t="shared" si="1137"/>
        <v>0</v>
      </c>
      <c r="EN178" s="82">
        <f t="shared" si="1138"/>
        <v>0</v>
      </c>
      <c r="EO178" s="82">
        <f t="shared" si="1139"/>
        <v>0</v>
      </c>
      <c r="EP178" s="82">
        <f t="shared" si="1140"/>
        <v>0</v>
      </c>
      <c r="EQ178" s="82">
        <f t="shared" si="1141"/>
        <v>0</v>
      </c>
      <c r="ER178" s="82"/>
      <c r="ES178" s="82"/>
      <c r="ET178" s="82">
        <f t="shared" si="1142"/>
        <v>0</v>
      </c>
      <c r="EU178" s="82">
        <f t="shared" si="1143"/>
        <v>0</v>
      </c>
      <c r="EV178" s="82"/>
      <c r="EW178" s="82"/>
      <c r="EX178" s="82"/>
      <c r="EY178" s="82"/>
      <c r="EZ178" s="82">
        <f t="shared" si="1144"/>
        <v>0</v>
      </c>
      <c r="FA178" s="82">
        <f t="shared" si="1145"/>
        <v>0</v>
      </c>
      <c r="FB178" s="82">
        <f t="shared" si="1146"/>
        <v>0</v>
      </c>
      <c r="FC178" s="82">
        <f t="shared" si="1147"/>
        <v>0</v>
      </c>
      <c r="FD178" s="82"/>
      <c r="FE178" s="82"/>
      <c r="FF178" s="82">
        <f t="shared" si="1148"/>
        <v>0</v>
      </c>
      <c r="FG178" s="82">
        <f t="shared" si="1149"/>
        <v>0</v>
      </c>
      <c r="FH178" s="82"/>
      <c r="FI178" s="82"/>
      <c r="FJ178" s="82"/>
      <c r="FK178" s="82"/>
      <c r="FL178" s="82">
        <f t="shared" si="1150"/>
        <v>0</v>
      </c>
      <c r="FM178" s="82">
        <f t="shared" si="1151"/>
        <v>0</v>
      </c>
      <c r="FN178" s="82">
        <f t="shared" si="1152"/>
        <v>0</v>
      </c>
      <c r="FO178" s="82">
        <f t="shared" si="1153"/>
        <v>0</v>
      </c>
      <c r="FP178" s="82"/>
      <c r="FQ178" s="82"/>
      <c r="FR178" s="82">
        <f t="shared" si="1154"/>
        <v>0</v>
      </c>
      <c r="FS178" s="82">
        <f t="shared" si="1155"/>
        <v>0</v>
      </c>
      <c r="FT178" s="82"/>
      <c r="FU178" s="82"/>
      <c r="FV178" s="82"/>
      <c r="FW178" s="82"/>
      <c r="FX178" s="82">
        <f t="shared" si="1156"/>
        <v>0</v>
      </c>
      <c r="FY178" s="82">
        <f t="shared" si="1157"/>
        <v>0</v>
      </c>
      <c r="FZ178" s="82">
        <f t="shared" si="1158"/>
        <v>0</v>
      </c>
      <c r="GA178" s="82">
        <f t="shared" si="1159"/>
        <v>0</v>
      </c>
      <c r="GB178" s="82">
        <f t="shared" si="1160"/>
        <v>0</v>
      </c>
      <c r="GC178" s="82">
        <f t="shared" si="1161"/>
        <v>0</v>
      </c>
      <c r="GD178" s="82">
        <f t="shared" si="1162"/>
        <v>0</v>
      </c>
      <c r="GE178" s="82">
        <f t="shared" si="1163"/>
        <v>0</v>
      </c>
      <c r="GF178" s="85"/>
    </row>
    <row r="179" ht="29.25" customHeight="1">
      <c r="A179" s="96">
        <v>13.0</v>
      </c>
      <c r="B179" s="58"/>
      <c r="C179" s="58" t="s">
        <v>228</v>
      </c>
      <c r="D179" s="78" t="s">
        <v>134</v>
      </c>
      <c r="E179" s="79">
        <v>166500.0</v>
      </c>
      <c r="F179" s="61" t="s">
        <v>97</v>
      </c>
      <c r="G179" s="81">
        <v>1.0</v>
      </c>
      <c r="H179" s="82">
        <v>166500.0</v>
      </c>
      <c r="I179" s="82"/>
      <c r="J179" s="82"/>
      <c r="K179" s="82">
        <f t="shared" si="1075"/>
        <v>0</v>
      </c>
      <c r="L179" s="82">
        <f t="shared" si="1076"/>
        <v>0</v>
      </c>
      <c r="M179" s="82"/>
      <c r="N179" s="83">
        <v>1.0</v>
      </c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>
        <f t="shared" si="1077"/>
        <v>1</v>
      </c>
      <c r="AC179" s="82">
        <f t="shared" si="1078"/>
        <v>166500</v>
      </c>
      <c r="AD179" s="82">
        <f t="shared" si="1079"/>
        <v>0</v>
      </c>
      <c r="AE179" s="82">
        <f t="shared" si="1080"/>
        <v>0</v>
      </c>
      <c r="AF179" s="82"/>
      <c r="AG179" s="82"/>
      <c r="AH179" s="82">
        <f t="shared" si="1081"/>
        <v>0</v>
      </c>
      <c r="AI179" s="82">
        <f t="shared" si="1082"/>
        <v>0</v>
      </c>
      <c r="AJ179" s="82"/>
      <c r="AK179" s="82"/>
      <c r="AL179" s="82"/>
      <c r="AM179" s="82"/>
      <c r="AN179" s="82">
        <f t="shared" si="1083"/>
        <v>0</v>
      </c>
      <c r="AO179" s="82">
        <f t="shared" si="1084"/>
        <v>0</v>
      </c>
      <c r="AP179" s="82">
        <f t="shared" si="1085"/>
        <v>0</v>
      </c>
      <c r="AQ179" s="82">
        <f t="shared" si="1086"/>
        <v>0</v>
      </c>
      <c r="AR179" s="82"/>
      <c r="AS179" s="82"/>
      <c r="AT179" s="82"/>
      <c r="AU179" s="82">
        <f t="shared" si="1087"/>
        <v>0</v>
      </c>
      <c r="AV179" s="82">
        <f t="shared" si="1088"/>
        <v>0</v>
      </c>
      <c r="AW179" s="82"/>
      <c r="AX179" s="82"/>
      <c r="AY179" s="82"/>
      <c r="AZ179" s="82"/>
      <c r="BA179" s="82">
        <f t="shared" si="1089"/>
        <v>0</v>
      </c>
      <c r="BB179" s="82">
        <f t="shared" si="1090"/>
        <v>0</v>
      </c>
      <c r="BC179" s="82">
        <f t="shared" si="1091"/>
        <v>0</v>
      </c>
      <c r="BD179" s="82">
        <f t="shared" si="1092"/>
        <v>0</v>
      </c>
      <c r="BE179" s="82">
        <f t="shared" si="1093"/>
        <v>0</v>
      </c>
      <c r="BF179" s="82">
        <f t="shared" si="1094"/>
        <v>1</v>
      </c>
      <c r="BG179" s="82">
        <f t="shared" si="1095"/>
        <v>0</v>
      </c>
      <c r="BH179" s="82">
        <f t="shared" si="1096"/>
        <v>0</v>
      </c>
      <c r="BI179" s="82"/>
      <c r="BJ179" s="83"/>
      <c r="BK179" s="82">
        <f t="shared" si="1097"/>
        <v>0</v>
      </c>
      <c r="BL179" s="82">
        <f t="shared" si="1098"/>
        <v>0</v>
      </c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>
        <f t="shared" si="1099"/>
        <v>0</v>
      </c>
      <c r="BX179" s="82">
        <f t="shared" si="1100"/>
        <v>0</v>
      </c>
      <c r="BY179" s="82">
        <f t="shared" si="1101"/>
        <v>0</v>
      </c>
      <c r="BZ179" s="82">
        <f t="shared" si="1102"/>
        <v>0</v>
      </c>
      <c r="CA179" s="82"/>
      <c r="CB179" s="82"/>
      <c r="CC179" s="82">
        <f t="shared" si="1103"/>
        <v>0</v>
      </c>
      <c r="CD179" s="82">
        <f t="shared" si="1104"/>
        <v>0</v>
      </c>
      <c r="CE179" s="82"/>
      <c r="CF179" s="82"/>
      <c r="CG179" s="82"/>
      <c r="CH179" s="82"/>
      <c r="CI179" s="82">
        <f t="shared" si="1105"/>
        <v>0</v>
      </c>
      <c r="CJ179" s="82">
        <f t="shared" si="1106"/>
        <v>0</v>
      </c>
      <c r="CK179" s="82">
        <f t="shared" si="1107"/>
        <v>0</v>
      </c>
      <c r="CL179" s="82">
        <f t="shared" si="1108"/>
        <v>0</v>
      </c>
      <c r="CM179" s="82"/>
      <c r="CN179" s="82"/>
      <c r="CO179" s="82">
        <f t="shared" si="1109"/>
        <v>0</v>
      </c>
      <c r="CP179" s="82">
        <f t="shared" si="1110"/>
        <v>0</v>
      </c>
      <c r="CQ179" s="82"/>
      <c r="CR179" s="82"/>
      <c r="CS179" s="82"/>
      <c r="CT179" s="82"/>
      <c r="CU179" s="82">
        <f t="shared" si="1111"/>
        <v>0</v>
      </c>
      <c r="CV179" s="82">
        <f t="shared" si="1112"/>
        <v>0</v>
      </c>
      <c r="CW179" s="82">
        <f t="shared" si="1113"/>
        <v>0</v>
      </c>
      <c r="CX179" s="82">
        <f t="shared" si="1114"/>
        <v>0</v>
      </c>
      <c r="CY179" s="82">
        <f t="shared" si="1115"/>
        <v>0</v>
      </c>
      <c r="CZ179" s="82">
        <f t="shared" si="1116"/>
        <v>0</v>
      </c>
      <c r="DA179" s="82">
        <f t="shared" si="1117"/>
        <v>0</v>
      </c>
      <c r="DB179" s="82">
        <f t="shared" si="1118"/>
        <v>0</v>
      </c>
      <c r="DC179" s="91"/>
      <c r="DD179" s="82"/>
      <c r="DE179" s="82"/>
      <c r="DF179" s="82">
        <f t="shared" si="1071"/>
        <v>0</v>
      </c>
      <c r="DG179" s="82">
        <f t="shared" si="1119"/>
        <v>0</v>
      </c>
      <c r="DH179" s="82"/>
      <c r="DI179" s="82">
        <f t="shared" si="1120"/>
        <v>0</v>
      </c>
      <c r="DJ179" s="82">
        <f t="shared" si="1121"/>
        <v>0</v>
      </c>
      <c r="DK179" s="82"/>
      <c r="DL179" s="82">
        <f t="shared" si="1122"/>
        <v>0</v>
      </c>
      <c r="DM179" s="82">
        <f t="shared" si="1123"/>
        <v>0</v>
      </c>
      <c r="DN179" s="82">
        <f t="shared" si="1124"/>
        <v>0</v>
      </c>
      <c r="DO179" s="82">
        <f t="shared" si="1125"/>
        <v>0</v>
      </c>
      <c r="DP179" s="82"/>
      <c r="DQ179" s="82"/>
      <c r="DR179" s="82">
        <f t="shared" si="1126"/>
        <v>0</v>
      </c>
      <c r="DS179" s="82">
        <f t="shared" si="1127"/>
        <v>0</v>
      </c>
      <c r="DT179" s="82"/>
      <c r="DU179" s="82"/>
      <c r="DV179" s="82"/>
      <c r="DW179" s="82"/>
      <c r="DX179" s="82">
        <f t="shared" si="1128"/>
        <v>0</v>
      </c>
      <c r="DY179" s="82">
        <f t="shared" si="1129"/>
        <v>0</v>
      </c>
      <c r="DZ179" s="82">
        <f t="shared" si="1130"/>
        <v>0</v>
      </c>
      <c r="EA179" s="82">
        <f t="shared" si="1131"/>
        <v>0</v>
      </c>
      <c r="EB179" s="82"/>
      <c r="EC179" s="82"/>
      <c r="ED179" s="82">
        <f t="shared" si="1132"/>
        <v>0</v>
      </c>
      <c r="EE179" s="82">
        <f t="shared" si="1133"/>
        <v>0</v>
      </c>
      <c r="EF179" s="82"/>
      <c r="EG179" s="82"/>
      <c r="EH179" s="82"/>
      <c r="EI179" s="82"/>
      <c r="EJ179" s="82">
        <f t="shared" si="1134"/>
        <v>0</v>
      </c>
      <c r="EK179" s="82">
        <f t="shared" si="1135"/>
        <v>0</v>
      </c>
      <c r="EL179" s="82">
        <f t="shared" si="1136"/>
        <v>0</v>
      </c>
      <c r="EM179" s="82">
        <f t="shared" si="1137"/>
        <v>0</v>
      </c>
      <c r="EN179" s="82">
        <f t="shared" si="1138"/>
        <v>0</v>
      </c>
      <c r="EO179" s="82">
        <f t="shared" si="1139"/>
        <v>0</v>
      </c>
      <c r="EP179" s="82">
        <f t="shared" si="1140"/>
        <v>0</v>
      </c>
      <c r="EQ179" s="82">
        <f t="shared" si="1141"/>
        <v>0</v>
      </c>
      <c r="ER179" s="82"/>
      <c r="ES179" s="82"/>
      <c r="ET179" s="82">
        <f t="shared" si="1142"/>
        <v>0</v>
      </c>
      <c r="EU179" s="82">
        <f t="shared" si="1143"/>
        <v>0</v>
      </c>
      <c r="EV179" s="82"/>
      <c r="EW179" s="82"/>
      <c r="EX179" s="82"/>
      <c r="EY179" s="82"/>
      <c r="EZ179" s="82">
        <f t="shared" si="1144"/>
        <v>0</v>
      </c>
      <c r="FA179" s="82">
        <f t="shared" si="1145"/>
        <v>0</v>
      </c>
      <c r="FB179" s="82">
        <f t="shared" si="1146"/>
        <v>0</v>
      </c>
      <c r="FC179" s="82">
        <f t="shared" si="1147"/>
        <v>0</v>
      </c>
      <c r="FD179" s="82"/>
      <c r="FE179" s="82"/>
      <c r="FF179" s="82">
        <f t="shared" si="1148"/>
        <v>0</v>
      </c>
      <c r="FG179" s="82">
        <f t="shared" si="1149"/>
        <v>0</v>
      </c>
      <c r="FH179" s="82"/>
      <c r="FI179" s="82"/>
      <c r="FJ179" s="82"/>
      <c r="FK179" s="82"/>
      <c r="FL179" s="82">
        <f t="shared" si="1150"/>
        <v>0</v>
      </c>
      <c r="FM179" s="82">
        <f t="shared" si="1151"/>
        <v>0</v>
      </c>
      <c r="FN179" s="82">
        <f t="shared" si="1152"/>
        <v>0</v>
      </c>
      <c r="FO179" s="82">
        <f t="shared" si="1153"/>
        <v>0</v>
      </c>
      <c r="FP179" s="82"/>
      <c r="FQ179" s="82"/>
      <c r="FR179" s="82">
        <f t="shared" si="1154"/>
        <v>0</v>
      </c>
      <c r="FS179" s="82">
        <f t="shared" si="1155"/>
        <v>0</v>
      </c>
      <c r="FT179" s="82"/>
      <c r="FU179" s="82"/>
      <c r="FV179" s="82"/>
      <c r="FW179" s="82"/>
      <c r="FX179" s="82">
        <f t="shared" si="1156"/>
        <v>0</v>
      </c>
      <c r="FY179" s="82">
        <f t="shared" si="1157"/>
        <v>0</v>
      </c>
      <c r="FZ179" s="82">
        <f t="shared" si="1158"/>
        <v>0</v>
      </c>
      <c r="GA179" s="82">
        <f t="shared" si="1159"/>
        <v>0</v>
      </c>
      <c r="GB179" s="82">
        <f t="shared" si="1160"/>
        <v>0</v>
      </c>
      <c r="GC179" s="82">
        <f t="shared" si="1161"/>
        <v>0</v>
      </c>
      <c r="GD179" s="82">
        <f t="shared" si="1162"/>
        <v>0</v>
      </c>
      <c r="GE179" s="82">
        <f t="shared" si="1163"/>
        <v>0</v>
      </c>
      <c r="GF179" s="85"/>
    </row>
    <row r="180" ht="29.25" customHeight="1">
      <c r="A180" s="96">
        <v>14.0</v>
      </c>
      <c r="B180" s="58"/>
      <c r="C180" s="58" t="s">
        <v>229</v>
      </c>
      <c r="D180" s="92" t="s">
        <v>134</v>
      </c>
      <c r="E180" s="79">
        <v>166500.0</v>
      </c>
      <c r="F180" s="61" t="s">
        <v>97</v>
      </c>
      <c r="G180" s="81">
        <v>1.0</v>
      </c>
      <c r="H180" s="82">
        <v>166500.0</v>
      </c>
      <c r="I180" s="82"/>
      <c r="J180" s="82"/>
      <c r="K180" s="82">
        <f t="shared" si="1075"/>
        <v>0</v>
      </c>
      <c r="L180" s="82">
        <f t="shared" si="1076"/>
        <v>0</v>
      </c>
      <c r="M180" s="82"/>
      <c r="N180" s="83">
        <v>1.0</v>
      </c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>
        <f t="shared" si="1077"/>
        <v>1</v>
      </c>
      <c r="AC180" s="82">
        <f t="shared" si="1078"/>
        <v>166500</v>
      </c>
      <c r="AD180" s="82">
        <f t="shared" si="1079"/>
        <v>0</v>
      </c>
      <c r="AE180" s="82">
        <f t="shared" si="1080"/>
        <v>0</v>
      </c>
      <c r="AF180" s="82"/>
      <c r="AG180" s="82"/>
      <c r="AH180" s="82">
        <f t="shared" si="1081"/>
        <v>0</v>
      </c>
      <c r="AI180" s="82">
        <f t="shared" si="1082"/>
        <v>0</v>
      </c>
      <c r="AJ180" s="82"/>
      <c r="AK180" s="82"/>
      <c r="AL180" s="82"/>
      <c r="AM180" s="82"/>
      <c r="AN180" s="82">
        <f t="shared" si="1083"/>
        <v>0</v>
      </c>
      <c r="AO180" s="82">
        <f t="shared" si="1084"/>
        <v>0</v>
      </c>
      <c r="AP180" s="82">
        <f t="shared" si="1085"/>
        <v>0</v>
      </c>
      <c r="AQ180" s="82">
        <f t="shared" si="1086"/>
        <v>0</v>
      </c>
      <c r="AR180" s="82"/>
      <c r="AS180" s="82"/>
      <c r="AT180" s="82"/>
      <c r="AU180" s="82">
        <f t="shared" si="1087"/>
        <v>0</v>
      </c>
      <c r="AV180" s="82">
        <f t="shared" si="1088"/>
        <v>0</v>
      </c>
      <c r="AW180" s="82"/>
      <c r="AX180" s="82"/>
      <c r="AY180" s="82"/>
      <c r="AZ180" s="82"/>
      <c r="BA180" s="82">
        <f t="shared" si="1089"/>
        <v>0</v>
      </c>
      <c r="BB180" s="82">
        <f t="shared" si="1090"/>
        <v>0</v>
      </c>
      <c r="BC180" s="82">
        <f t="shared" si="1091"/>
        <v>0</v>
      </c>
      <c r="BD180" s="82">
        <f t="shared" si="1092"/>
        <v>0</v>
      </c>
      <c r="BE180" s="82">
        <f t="shared" si="1093"/>
        <v>0</v>
      </c>
      <c r="BF180" s="82">
        <f t="shared" si="1094"/>
        <v>1</v>
      </c>
      <c r="BG180" s="82">
        <f t="shared" si="1095"/>
        <v>0</v>
      </c>
      <c r="BH180" s="82">
        <f t="shared" si="1096"/>
        <v>0</v>
      </c>
      <c r="BI180" s="82"/>
      <c r="BJ180" s="83"/>
      <c r="BK180" s="82">
        <f t="shared" si="1097"/>
        <v>0</v>
      </c>
      <c r="BL180" s="82">
        <f t="shared" si="1098"/>
        <v>0</v>
      </c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>
        <f t="shared" si="1099"/>
        <v>0</v>
      </c>
      <c r="BX180" s="82">
        <f t="shared" si="1100"/>
        <v>0</v>
      </c>
      <c r="BY180" s="82">
        <f t="shared" si="1101"/>
        <v>0</v>
      </c>
      <c r="BZ180" s="82">
        <f t="shared" si="1102"/>
        <v>0</v>
      </c>
      <c r="CA180" s="82"/>
      <c r="CB180" s="82"/>
      <c r="CC180" s="82">
        <f t="shared" si="1103"/>
        <v>0</v>
      </c>
      <c r="CD180" s="82">
        <f t="shared" si="1104"/>
        <v>0</v>
      </c>
      <c r="CE180" s="82"/>
      <c r="CF180" s="82"/>
      <c r="CG180" s="82"/>
      <c r="CH180" s="82"/>
      <c r="CI180" s="82">
        <f t="shared" si="1105"/>
        <v>0</v>
      </c>
      <c r="CJ180" s="82">
        <f t="shared" si="1106"/>
        <v>0</v>
      </c>
      <c r="CK180" s="82">
        <f t="shared" si="1107"/>
        <v>0</v>
      </c>
      <c r="CL180" s="82">
        <f t="shared" si="1108"/>
        <v>0</v>
      </c>
      <c r="CM180" s="82"/>
      <c r="CN180" s="82"/>
      <c r="CO180" s="82">
        <f t="shared" si="1109"/>
        <v>0</v>
      </c>
      <c r="CP180" s="82">
        <f t="shared" si="1110"/>
        <v>0</v>
      </c>
      <c r="CQ180" s="82"/>
      <c r="CR180" s="82"/>
      <c r="CS180" s="82"/>
      <c r="CT180" s="82"/>
      <c r="CU180" s="82">
        <f t="shared" si="1111"/>
        <v>0</v>
      </c>
      <c r="CV180" s="82">
        <f t="shared" si="1112"/>
        <v>0</v>
      </c>
      <c r="CW180" s="82">
        <f t="shared" si="1113"/>
        <v>0</v>
      </c>
      <c r="CX180" s="82">
        <f t="shared" si="1114"/>
        <v>0</v>
      </c>
      <c r="CY180" s="82">
        <f t="shared" si="1115"/>
        <v>0</v>
      </c>
      <c r="CZ180" s="82">
        <f t="shared" si="1116"/>
        <v>0</v>
      </c>
      <c r="DA180" s="82">
        <f t="shared" si="1117"/>
        <v>0</v>
      </c>
      <c r="DB180" s="82">
        <f t="shared" si="1118"/>
        <v>0</v>
      </c>
      <c r="DC180" s="91"/>
      <c r="DD180" s="82"/>
      <c r="DE180" s="82"/>
      <c r="DF180" s="82">
        <f t="shared" si="1071"/>
        <v>0</v>
      </c>
      <c r="DG180" s="82">
        <f t="shared" si="1119"/>
        <v>0</v>
      </c>
      <c r="DH180" s="82"/>
      <c r="DI180" s="82">
        <f t="shared" si="1120"/>
        <v>0</v>
      </c>
      <c r="DJ180" s="82">
        <f t="shared" si="1121"/>
        <v>0</v>
      </c>
      <c r="DK180" s="82"/>
      <c r="DL180" s="82">
        <f t="shared" si="1122"/>
        <v>0</v>
      </c>
      <c r="DM180" s="82">
        <f t="shared" si="1123"/>
        <v>0</v>
      </c>
      <c r="DN180" s="82">
        <f t="shared" si="1124"/>
        <v>0</v>
      </c>
      <c r="DO180" s="82">
        <f t="shared" si="1125"/>
        <v>0</v>
      </c>
      <c r="DP180" s="82"/>
      <c r="DQ180" s="82"/>
      <c r="DR180" s="82">
        <f t="shared" si="1126"/>
        <v>0</v>
      </c>
      <c r="DS180" s="82">
        <f t="shared" si="1127"/>
        <v>0</v>
      </c>
      <c r="DT180" s="82"/>
      <c r="DU180" s="82"/>
      <c r="DV180" s="82"/>
      <c r="DW180" s="82"/>
      <c r="DX180" s="82">
        <f t="shared" si="1128"/>
        <v>0</v>
      </c>
      <c r="DY180" s="82">
        <f t="shared" si="1129"/>
        <v>0</v>
      </c>
      <c r="DZ180" s="82">
        <f t="shared" si="1130"/>
        <v>0</v>
      </c>
      <c r="EA180" s="82">
        <f t="shared" si="1131"/>
        <v>0</v>
      </c>
      <c r="EB180" s="82"/>
      <c r="EC180" s="82"/>
      <c r="ED180" s="82">
        <f t="shared" si="1132"/>
        <v>0</v>
      </c>
      <c r="EE180" s="82">
        <f t="shared" si="1133"/>
        <v>0</v>
      </c>
      <c r="EF180" s="82"/>
      <c r="EG180" s="82"/>
      <c r="EH180" s="82"/>
      <c r="EI180" s="82"/>
      <c r="EJ180" s="82">
        <f t="shared" si="1134"/>
        <v>0</v>
      </c>
      <c r="EK180" s="82">
        <f t="shared" si="1135"/>
        <v>0</v>
      </c>
      <c r="EL180" s="82">
        <f t="shared" si="1136"/>
        <v>0</v>
      </c>
      <c r="EM180" s="82">
        <f t="shared" si="1137"/>
        <v>0</v>
      </c>
      <c r="EN180" s="82">
        <f t="shared" si="1138"/>
        <v>0</v>
      </c>
      <c r="EO180" s="82">
        <f t="shared" si="1139"/>
        <v>0</v>
      </c>
      <c r="EP180" s="82">
        <f t="shared" si="1140"/>
        <v>0</v>
      </c>
      <c r="EQ180" s="82">
        <f t="shared" si="1141"/>
        <v>0</v>
      </c>
      <c r="ER180" s="82"/>
      <c r="ES180" s="82"/>
      <c r="ET180" s="82">
        <f t="shared" si="1142"/>
        <v>0</v>
      </c>
      <c r="EU180" s="82">
        <f t="shared" si="1143"/>
        <v>0</v>
      </c>
      <c r="EV180" s="82"/>
      <c r="EW180" s="82"/>
      <c r="EX180" s="82"/>
      <c r="EY180" s="82"/>
      <c r="EZ180" s="82">
        <f t="shared" si="1144"/>
        <v>0</v>
      </c>
      <c r="FA180" s="82">
        <f t="shared" si="1145"/>
        <v>0</v>
      </c>
      <c r="FB180" s="82">
        <f t="shared" si="1146"/>
        <v>0</v>
      </c>
      <c r="FC180" s="82">
        <f t="shared" si="1147"/>
        <v>0</v>
      </c>
      <c r="FD180" s="82"/>
      <c r="FE180" s="82"/>
      <c r="FF180" s="82">
        <f t="shared" si="1148"/>
        <v>0</v>
      </c>
      <c r="FG180" s="82">
        <f t="shared" si="1149"/>
        <v>0</v>
      </c>
      <c r="FH180" s="82"/>
      <c r="FI180" s="82"/>
      <c r="FJ180" s="82"/>
      <c r="FK180" s="82"/>
      <c r="FL180" s="82">
        <f t="shared" si="1150"/>
        <v>0</v>
      </c>
      <c r="FM180" s="82">
        <f t="shared" si="1151"/>
        <v>0</v>
      </c>
      <c r="FN180" s="82">
        <f t="shared" si="1152"/>
        <v>0</v>
      </c>
      <c r="FO180" s="82">
        <f t="shared" si="1153"/>
        <v>0</v>
      </c>
      <c r="FP180" s="82"/>
      <c r="FQ180" s="82"/>
      <c r="FR180" s="82">
        <f t="shared" si="1154"/>
        <v>0</v>
      </c>
      <c r="FS180" s="82">
        <f t="shared" si="1155"/>
        <v>0</v>
      </c>
      <c r="FT180" s="82"/>
      <c r="FU180" s="82"/>
      <c r="FV180" s="82"/>
      <c r="FW180" s="82"/>
      <c r="FX180" s="82">
        <f t="shared" si="1156"/>
        <v>0</v>
      </c>
      <c r="FY180" s="82">
        <f t="shared" si="1157"/>
        <v>0</v>
      </c>
      <c r="FZ180" s="82">
        <f t="shared" si="1158"/>
        <v>0</v>
      </c>
      <c r="GA180" s="82">
        <f t="shared" si="1159"/>
        <v>0</v>
      </c>
      <c r="GB180" s="82">
        <f t="shared" si="1160"/>
        <v>0</v>
      </c>
      <c r="GC180" s="82">
        <f t="shared" si="1161"/>
        <v>0</v>
      </c>
      <c r="GD180" s="82">
        <f t="shared" si="1162"/>
        <v>0</v>
      </c>
      <c r="GE180" s="82">
        <f t="shared" si="1163"/>
        <v>0</v>
      </c>
      <c r="GF180" s="85"/>
    </row>
    <row r="181" ht="29.25" customHeight="1">
      <c r="A181" s="96">
        <v>15.0</v>
      </c>
      <c r="B181" s="58"/>
      <c r="C181" s="58" t="s">
        <v>230</v>
      </c>
      <c r="D181" s="78" t="s">
        <v>134</v>
      </c>
      <c r="E181" s="79">
        <v>166500.0</v>
      </c>
      <c r="F181" s="61" t="s">
        <v>97</v>
      </c>
      <c r="G181" s="81">
        <v>1.0</v>
      </c>
      <c r="H181" s="82">
        <v>166500.0</v>
      </c>
      <c r="I181" s="82"/>
      <c r="J181" s="82"/>
      <c r="K181" s="82">
        <f t="shared" si="1075"/>
        <v>0</v>
      </c>
      <c r="L181" s="82">
        <f t="shared" si="1076"/>
        <v>0</v>
      </c>
      <c r="M181" s="82"/>
      <c r="N181" s="83">
        <v>1.0</v>
      </c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>
        <f t="shared" si="1077"/>
        <v>1</v>
      </c>
      <c r="AC181" s="82">
        <f t="shared" si="1078"/>
        <v>166500</v>
      </c>
      <c r="AD181" s="82">
        <f t="shared" si="1079"/>
        <v>0</v>
      </c>
      <c r="AE181" s="82">
        <f t="shared" si="1080"/>
        <v>0</v>
      </c>
      <c r="AF181" s="82"/>
      <c r="AG181" s="82"/>
      <c r="AH181" s="82">
        <f t="shared" si="1081"/>
        <v>0</v>
      </c>
      <c r="AI181" s="82">
        <f t="shared" si="1082"/>
        <v>0</v>
      </c>
      <c r="AJ181" s="82"/>
      <c r="AK181" s="82"/>
      <c r="AL181" s="82"/>
      <c r="AM181" s="82"/>
      <c r="AN181" s="82">
        <f t="shared" si="1083"/>
        <v>0</v>
      </c>
      <c r="AO181" s="82">
        <f t="shared" si="1084"/>
        <v>0</v>
      </c>
      <c r="AP181" s="82">
        <f t="shared" si="1085"/>
        <v>0</v>
      </c>
      <c r="AQ181" s="82">
        <f t="shared" si="1086"/>
        <v>0</v>
      </c>
      <c r="AR181" s="82"/>
      <c r="AS181" s="82"/>
      <c r="AT181" s="82"/>
      <c r="AU181" s="82">
        <f t="shared" si="1087"/>
        <v>0</v>
      </c>
      <c r="AV181" s="82">
        <f t="shared" si="1088"/>
        <v>0</v>
      </c>
      <c r="AW181" s="82"/>
      <c r="AX181" s="82"/>
      <c r="AY181" s="82"/>
      <c r="AZ181" s="82"/>
      <c r="BA181" s="82">
        <f t="shared" si="1089"/>
        <v>0</v>
      </c>
      <c r="BB181" s="82">
        <f t="shared" si="1090"/>
        <v>0</v>
      </c>
      <c r="BC181" s="82">
        <f t="shared" si="1091"/>
        <v>0</v>
      </c>
      <c r="BD181" s="82">
        <f t="shared" si="1092"/>
        <v>0</v>
      </c>
      <c r="BE181" s="82">
        <f t="shared" si="1093"/>
        <v>0</v>
      </c>
      <c r="BF181" s="82">
        <f t="shared" si="1094"/>
        <v>1</v>
      </c>
      <c r="BG181" s="82">
        <f t="shared" si="1095"/>
        <v>0</v>
      </c>
      <c r="BH181" s="82">
        <f t="shared" si="1096"/>
        <v>0</v>
      </c>
      <c r="BI181" s="82"/>
      <c r="BJ181" s="83"/>
      <c r="BK181" s="82">
        <f t="shared" si="1097"/>
        <v>0</v>
      </c>
      <c r="BL181" s="82">
        <f t="shared" si="1098"/>
        <v>0</v>
      </c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>
        <f t="shared" si="1099"/>
        <v>0</v>
      </c>
      <c r="BX181" s="82">
        <f t="shared" si="1100"/>
        <v>0</v>
      </c>
      <c r="BY181" s="82">
        <f t="shared" si="1101"/>
        <v>0</v>
      </c>
      <c r="BZ181" s="82">
        <f t="shared" si="1102"/>
        <v>0</v>
      </c>
      <c r="CA181" s="82"/>
      <c r="CB181" s="82"/>
      <c r="CC181" s="82">
        <f t="shared" si="1103"/>
        <v>0</v>
      </c>
      <c r="CD181" s="82">
        <f t="shared" si="1104"/>
        <v>0</v>
      </c>
      <c r="CE181" s="82"/>
      <c r="CF181" s="82"/>
      <c r="CG181" s="82"/>
      <c r="CH181" s="82"/>
      <c r="CI181" s="82">
        <f t="shared" si="1105"/>
        <v>0</v>
      </c>
      <c r="CJ181" s="82">
        <f t="shared" si="1106"/>
        <v>0</v>
      </c>
      <c r="CK181" s="82">
        <f t="shared" si="1107"/>
        <v>0</v>
      </c>
      <c r="CL181" s="82">
        <f t="shared" si="1108"/>
        <v>0</v>
      </c>
      <c r="CM181" s="82"/>
      <c r="CN181" s="82"/>
      <c r="CO181" s="82">
        <f t="shared" si="1109"/>
        <v>0</v>
      </c>
      <c r="CP181" s="82">
        <f t="shared" si="1110"/>
        <v>0</v>
      </c>
      <c r="CQ181" s="82"/>
      <c r="CR181" s="82"/>
      <c r="CS181" s="82"/>
      <c r="CT181" s="82"/>
      <c r="CU181" s="82">
        <f t="shared" si="1111"/>
        <v>0</v>
      </c>
      <c r="CV181" s="82">
        <f t="shared" si="1112"/>
        <v>0</v>
      </c>
      <c r="CW181" s="82">
        <f t="shared" si="1113"/>
        <v>0</v>
      </c>
      <c r="CX181" s="82">
        <f t="shared" si="1114"/>
        <v>0</v>
      </c>
      <c r="CY181" s="82">
        <f t="shared" si="1115"/>
        <v>0</v>
      </c>
      <c r="CZ181" s="82">
        <f t="shared" si="1116"/>
        <v>0</v>
      </c>
      <c r="DA181" s="82">
        <f t="shared" si="1117"/>
        <v>0</v>
      </c>
      <c r="DB181" s="82">
        <f t="shared" si="1118"/>
        <v>0</v>
      </c>
      <c r="DC181" s="91"/>
      <c r="DD181" s="82"/>
      <c r="DE181" s="82"/>
      <c r="DF181" s="82">
        <f t="shared" si="1071"/>
        <v>0</v>
      </c>
      <c r="DG181" s="82">
        <f t="shared" si="1119"/>
        <v>0</v>
      </c>
      <c r="DH181" s="82"/>
      <c r="DI181" s="82">
        <f t="shared" si="1120"/>
        <v>0</v>
      </c>
      <c r="DJ181" s="82">
        <f t="shared" si="1121"/>
        <v>0</v>
      </c>
      <c r="DK181" s="82"/>
      <c r="DL181" s="82">
        <f t="shared" si="1122"/>
        <v>0</v>
      </c>
      <c r="DM181" s="82">
        <f t="shared" si="1123"/>
        <v>0</v>
      </c>
      <c r="DN181" s="82">
        <f t="shared" si="1124"/>
        <v>0</v>
      </c>
      <c r="DO181" s="82">
        <f t="shared" si="1125"/>
        <v>0</v>
      </c>
      <c r="DP181" s="82"/>
      <c r="DQ181" s="82"/>
      <c r="DR181" s="82">
        <f t="shared" si="1126"/>
        <v>0</v>
      </c>
      <c r="DS181" s="82">
        <f t="shared" si="1127"/>
        <v>0</v>
      </c>
      <c r="DT181" s="82"/>
      <c r="DU181" s="82"/>
      <c r="DV181" s="82"/>
      <c r="DW181" s="82"/>
      <c r="DX181" s="82">
        <f t="shared" si="1128"/>
        <v>0</v>
      </c>
      <c r="DY181" s="82">
        <f t="shared" si="1129"/>
        <v>0</v>
      </c>
      <c r="DZ181" s="82">
        <f t="shared" si="1130"/>
        <v>0</v>
      </c>
      <c r="EA181" s="82">
        <f t="shared" si="1131"/>
        <v>0</v>
      </c>
      <c r="EB181" s="82"/>
      <c r="EC181" s="82"/>
      <c r="ED181" s="82">
        <f t="shared" si="1132"/>
        <v>0</v>
      </c>
      <c r="EE181" s="82">
        <f t="shared" si="1133"/>
        <v>0</v>
      </c>
      <c r="EF181" s="82"/>
      <c r="EG181" s="82"/>
      <c r="EH181" s="82"/>
      <c r="EI181" s="82"/>
      <c r="EJ181" s="82">
        <f t="shared" si="1134"/>
        <v>0</v>
      </c>
      <c r="EK181" s="82">
        <f t="shared" si="1135"/>
        <v>0</v>
      </c>
      <c r="EL181" s="82">
        <f t="shared" si="1136"/>
        <v>0</v>
      </c>
      <c r="EM181" s="82">
        <f t="shared" si="1137"/>
        <v>0</v>
      </c>
      <c r="EN181" s="82">
        <f t="shared" si="1138"/>
        <v>0</v>
      </c>
      <c r="EO181" s="82">
        <f t="shared" si="1139"/>
        <v>0</v>
      </c>
      <c r="EP181" s="82">
        <f t="shared" si="1140"/>
        <v>0</v>
      </c>
      <c r="EQ181" s="82">
        <f t="shared" si="1141"/>
        <v>0</v>
      </c>
      <c r="ER181" s="82"/>
      <c r="ES181" s="82"/>
      <c r="ET181" s="82">
        <f t="shared" si="1142"/>
        <v>0</v>
      </c>
      <c r="EU181" s="82">
        <f t="shared" si="1143"/>
        <v>0</v>
      </c>
      <c r="EV181" s="82"/>
      <c r="EW181" s="82"/>
      <c r="EX181" s="82"/>
      <c r="EY181" s="82"/>
      <c r="EZ181" s="82">
        <f t="shared" si="1144"/>
        <v>0</v>
      </c>
      <c r="FA181" s="82">
        <f t="shared" si="1145"/>
        <v>0</v>
      </c>
      <c r="FB181" s="82">
        <f t="shared" si="1146"/>
        <v>0</v>
      </c>
      <c r="FC181" s="82">
        <f t="shared" si="1147"/>
        <v>0</v>
      </c>
      <c r="FD181" s="82"/>
      <c r="FE181" s="82"/>
      <c r="FF181" s="82">
        <f t="shared" si="1148"/>
        <v>0</v>
      </c>
      <c r="FG181" s="82">
        <f t="shared" si="1149"/>
        <v>0</v>
      </c>
      <c r="FH181" s="82"/>
      <c r="FI181" s="82"/>
      <c r="FJ181" s="82"/>
      <c r="FK181" s="82"/>
      <c r="FL181" s="82">
        <f t="shared" si="1150"/>
        <v>0</v>
      </c>
      <c r="FM181" s="82">
        <f t="shared" si="1151"/>
        <v>0</v>
      </c>
      <c r="FN181" s="82">
        <f t="shared" si="1152"/>
        <v>0</v>
      </c>
      <c r="FO181" s="82">
        <f t="shared" si="1153"/>
        <v>0</v>
      </c>
      <c r="FP181" s="82"/>
      <c r="FQ181" s="82"/>
      <c r="FR181" s="82">
        <f t="shared" si="1154"/>
        <v>0</v>
      </c>
      <c r="FS181" s="82">
        <f t="shared" si="1155"/>
        <v>0</v>
      </c>
      <c r="FT181" s="82"/>
      <c r="FU181" s="82"/>
      <c r="FV181" s="82"/>
      <c r="FW181" s="82"/>
      <c r="FX181" s="82">
        <f t="shared" si="1156"/>
        <v>0</v>
      </c>
      <c r="FY181" s="82">
        <f t="shared" si="1157"/>
        <v>0</v>
      </c>
      <c r="FZ181" s="82">
        <f t="shared" si="1158"/>
        <v>0</v>
      </c>
      <c r="GA181" s="82">
        <f t="shared" si="1159"/>
        <v>0</v>
      </c>
      <c r="GB181" s="82">
        <f t="shared" si="1160"/>
        <v>0</v>
      </c>
      <c r="GC181" s="82">
        <f t="shared" si="1161"/>
        <v>0</v>
      </c>
      <c r="GD181" s="82">
        <f t="shared" si="1162"/>
        <v>0</v>
      </c>
      <c r="GE181" s="82">
        <f t="shared" si="1163"/>
        <v>0</v>
      </c>
      <c r="GF181" s="85"/>
    </row>
    <row r="182" ht="29.25" customHeight="1">
      <c r="A182" s="96">
        <v>16.0</v>
      </c>
      <c r="B182" s="58"/>
      <c r="C182" s="58" t="s">
        <v>231</v>
      </c>
      <c r="D182" s="78" t="s">
        <v>134</v>
      </c>
      <c r="E182" s="79">
        <v>166500.0</v>
      </c>
      <c r="F182" s="61" t="s">
        <v>97</v>
      </c>
      <c r="G182" s="81">
        <v>1.0</v>
      </c>
      <c r="H182" s="82">
        <v>166500.0</v>
      </c>
      <c r="I182" s="82"/>
      <c r="J182" s="82"/>
      <c r="K182" s="82">
        <f t="shared" si="1075"/>
        <v>0</v>
      </c>
      <c r="L182" s="82">
        <f t="shared" si="1076"/>
        <v>0</v>
      </c>
      <c r="M182" s="82"/>
      <c r="N182" s="83">
        <v>1.0</v>
      </c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>
        <f t="shared" si="1077"/>
        <v>1</v>
      </c>
      <c r="AC182" s="82">
        <f t="shared" si="1078"/>
        <v>166500</v>
      </c>
      <c r="AD182" s="82">
        <f t="shared" si="1079"/>
        <v>0</v>
      </c>
      <c r="AE182" s="82">
        <f t="shared" si="1080"/>
        <v>0</v>
      </c>
      <c r="AF182" s="82"/>
      <c r="AG182" s="82"/>
      <c r="AH182" s="82">
        <f t="shared" si="1081"/>
        <v>0</v>
      </c>
      <c r="AI182" s="82">
        <f t="shared" si="1082"/>
        <v>0</v>
      </c>
      <c r="AJ182" s="82"/>
      <c r="AK182" s="82"/>
      <c r="AL182" s="82"/>
      <c r="AM182" s="82"/>
      <c r="AN182" s="82">
        <f t="shared" si="1083"/>
        <v>0</v>
      </c>
      <c r="AO182" s="82">
        <f t="shared" si="1084"/>
        <v>0</v>
      </c>
      <c r="AP182" s="82">
        <f t="shared" si="1085"/>
        <v>0</v>
      </c>
      <c r="AQ182" s="82">
        <f t="shared" si="1086"/>
        <v>0</v>
      </c>
      <c r="AR182" s="82"/>
      <c r="AS182" s="82"/>
      <c r="AT182" s="82"/>
      <c r="AU182" s="82">
        <f t="shared" si="1087"/>
        <v>0</v>
      </c>
      <c r="AV182" s="82">
        <f t="shared" si="1088"/>
        <v>0</v>
      </c>
      <c r="AW182" s="82"/>
      <c r="AX182" s="82"/>
      <c r="AY182" s="82"/>
      <c r="AZ182" s="82"/>
      <c r="BA182" s="82">
        <f t="shared" si="1089"/>
        <v>0</v>
      </c>
      <c r="BB182" s="82">
        <f t="shared" si="1090"/>
        <v>0</v>
      </c>
      <c r="BC182" s="82">
        <f t="shared" si="1091"/>
        <v>0</v>
      </c>
      <c r="BD182" s="82">
        <f t="shared" si="1092"/>
        <v>0</v>
      </c>
      <c r="BE182" s="82">
        <f t="shared" si="1093"/>
        <v>0</v>
      </c>
      <c r="BF182" s="82">
        <f t="shared" si="1094"/>
        <v>1</v>
      </c>
      <c r="BG182" s="82">
        <f t="shared" si="1095"/>
        <v>0</v>
      </c>
      <c r="BH182" s="82">
        <f t="shared" si="1096"/>
        <v>0</v>
      </c>
      <c r="BI182" s="82"/>
      <c r="BJ182" s="83"/>
      <c r="BK182" s="82">
        <f t="shared" si="1097"/>
        <v>0</v>
      </c>
      <c r="BL182" s="82">
        <f t="shared" si="1098"/>
        <v>0</v>
      </c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>
        <f t="shared" si="1099"/>
        <v>0</v>
      </c>
      <c r="BX182" s="82">
        <f t="shared" si="1100"/>
        <v>0</v>
      </c>
      <c r="BY182" s="82">
        <f t="shared" si="1101"/>
        <v>0</v>
      </c>
      <c r="BZ182" s="82">
        <f t="shared" si="1102"/>
        <v>0</v>
      </c>
      <c r="CA182" s="82"/>
      <c r="CB182" s="82"/>
      <c r="CC182" s="82">
        <f t="shared" si="1103"/>
        <v>0</v>
      </c>
      <c r="CD182" s="82">
        <f t="shared" si="1104"/>
        <v>0</v>
      </c>
      <c r="CE182" s="82"/>
      <c r="CF182" s="82"/>
      <c r="CG182" s="82"/>
      <c r="CH182" s="82"/>
      <c r="CI182" s="82">
        <f t="shared" si="1105"/>
        <v>0</v>
      </c>
      <c r="CJ182" s="82">
        <f t="shared" si="1106"/>
        <v>0</v>
      </c>
      <c r="CK182" s="82">
        <f t="shared" si="1107"/>
        <v>0</v>
      </c>
      <c r="CL182" s="82">
        <f t="shared" si="1108"/>
        <v>0</v>
      </c>
      <c r="CM182" s="82"/>
      <c r="CN182" s="82"/>
      <c r="CO182" s="82">
        <f t="shared" si="1109"/>
        <v>0</v>
      </c>
      <c r="CP182" s="82">
        <f t="shared" si="1110"/>
        <v>0</v>
      </c>
      <c r="CQ182" s="82"/>
      <c r="CR182" s="82"/>
      <c r="CS182" s="82"/>
      <c r="CT182" s="82"/>
      <c r="CU182" s="82">
        <f t="shared" si="1111"/>
        <v>0</v>
      </c>
      <c r="CV182" s="82">
        <f t="shared" si="1112"/>
        <v>0</v>
      </c>
      <c r="CW182" s="82">
        <f t="shared" si="1113"/>
        <v>0</v>
      </c>
      <c r="CX182" s="82">
        <f t="shared" si="1114"/>
        <v>0</v>
      </c>
      <c r="CY182" s="82">
        <f t="shared" si="1115"/>
        <v>0</v>
      </c>
      <c r="CZ182" s="82">
        <f t="shared" si="1116"/>
        <v>0</v>
      </c>
      <c r="DA182" s="82">
        <f t="shared" si="1117"/>
        <v>0</v>
      </c>
      <c r="DB182" s="82">
        <f t="shared" si="1118"/>
        <v>0</v>
      </c>
      <c r="DC182" s="91"/>
      <c r="DD182" s="82"/>
      <c r="DE182" s="82"/>
      <c r="DF182" s="82">
        <f t="shared" si="1071"/>
        <v>0</v>
      </c>
      <c r="DG182" s="82">
        <f t="shared" si="1119"/>
        <v>0</v>
      </c>
      <c r="DH182" s="82"/>
      <c r="DI182" s="82">
        <f t="shared" si="1120"/>
        <v>0</v>
      </c>
      <c r="DJ182" s="82">
        <f t="shared" si="1121"/>
        <v>0</v>
      </c>
      <c r="DK182" s="82"/>
      <c r="DL182" s="82">
        <f t="shared" si="1122"/>
        <v>0</v>
      </c>
      <c r="DM182" s="82">
        <f t="shared" si="1123"/>
        <v>0</v>
      </c>
      <c r="DN182" s="82">
        <f t="shared" si="1124"/>
        <v>0</v>
      </c>
      <c r="DO182" s="82">
        <f t="shared" si="1125"/>
        <v>0</v>
      </c>
      <c r="DP182" s="82"/>
      <c r="DQ182" s="82"/>
      <c r="DR182" s="82">
        <f t="shared" si="1126"/>
        <v>0</v>
      </c>
      <c r="DS182" s="82">
        <f t="shared" si="1127"/>
        <v>0</v>
      </c>
      <c r="DT182" s="82"/>
      <c r="DU182" s="82"/>
      <c r="DV182" s="82"/>
      <c r="DW182" s="82"/>
      <c r="DX182" s="82">
        <f t="shared" si="1128"/>
        <v>0</v>
      </c>
      <c r="DY182" s="82">
        <f t="shared" si="1129"/>
        <v>0</v>
      </c>
      <c r="DZ182" s="82">
        <f t="shared" si="1130"/>
        <v>0</v>
      </c>
      <c r="EA182" s="82">
        <f t="shared" si="1131"/>
        <v>0</v>
      </c>
      <c r="EB182" s="82"/>
      <c r="EC182" s="82"/>
      <c r="ED182" s="82">
        <f t="shared" si="1132"/>
        <v>0</v>
      </c>
      <c r="EE182" s="82">
        <f t="shared" si="1133"/>
        <v>0</v>
      </c>
      <c r="EF182" s="82"/>
      <c r="EG182" s="82"/>
      <c r="EH182" s="82"/>
      <c r="EI182" s="82"/>
      <c r="EJ182" s="82">
        <f t="shared" si="1134"/>
        <v>0</v>
      </c>
      <c r="EK182" s="82">
        <f t="shared" si="1135"/>
        <v>0</v>
      </c>
      <c r="EL182" s="82">
        <f t="shared" si="1136"/>
        <v>0</v>
      </c>
      <c r="EM182" s="82">
        <f t="shared" si="1137"/>
        <v>0</v>
      </c>
      <c r="EN182" s="82">
        <f t="shared" si="1138"/>
        <v>0</v>
      </c>
      <c r="EO182" s="82">
        <f t="shared" si="1139"/>
        <v>0</v>
      </c>
      <c r="EP182" s="82">
        <f t="shared" si="1140"/>
        <v>0</v>
      </c>
      <c r="EQ182" s="82">
        <f t="shared" si="1141"/>
        <v>0</v>
      </c>
      <c r="ER182" s="82"/>
      <c r="ES182" s="82"/>
      <c r="ET182" s="82">
        <f t="shared" si="1142"/>
        <v>0</v>
      </c>
      <c r="EU182" s="82">
        <f t="shared" si="1143"/>
        <v>0</v>
      </c>
      <c r="EV182" s="82"/>
      <c r="EW182" s="82"/>
      <c r="EX182" s="82"/>
      <c r="EY182" s="82"/>
      <c r="EZ182" s="82">
        <f t="shared" si="1144"/>
        <v>0</v>
      </c>
      <c r="FA182" s="82">
        <f t="shared" si="1145"/>
        <v>0</v>
      </c>
      <c r="FB182" s="82">
        <f t="shared" si="1146"/>
        <v>0</v>
      </c>
      <c r="FC182" s="82">
        <f t="shared" si="1147"/>
        <v>0</v>
      </c>
      <c r="FD182" s="82"/>
      <c r="FE182" s="82"/>
      <c r="FF182" s="82">
        <f t="shared" si="1148"/>
        <v>0</v>
      </c>
      <c r="FG182" s="82">
        <f t="shared" si="1149"/>
        <v>0</v>
      </c>
      <c r="FH182" s="82"/>
      <c r="FI182" s="82"/>
      <c r="FJ182" s="82"/>
      <c r="FK182" s="82"/>
      <c r="FL182" s="82">
        <f t="shared" si="1150"/>
        <v>0</v>
      </c>
      <c r="FM182" s="82">
        <f t="shared" si="1151"/>
        <v>0</v>
      </c>
      <c r="FN182" s="82">
        <f t="shared" si="1152"/>
        <v>0</v>
      </c>
      <c r="FO182" s="82">
        <f t="shared" si="1153"/>
        <v>0</v>
      </c>
      <c r="FP182" s="82"/>
      <c r="FQ182" s="82"/>
      <c r="FR182" s="82">
        <f t="shared" si="1154"/>
        <v>0</v>
      </c>
      <c r="FS182" s="82">
        <f t="shared" si="1155"/>
        <v>0</v>
      </c>
      <c r="FT182" s="82"/>
      <c r="FU182" s="82"/>
      <c r="FV182" s="82"/>
      <c r="FW182" s="82"/>
      <c r="FX182" s="82">
        <f t="shared" si="1156"/>
        <v>0</v>
      </c>
      <c r="FY182" s="82">
        <f t="shared" si="1157"/>
        <v>0</v>
      </c>
      <c r="FZ182" s="82">
        <f t="shared" si="1158"/>
        <v>0</v>
      </c>
      <c r="GA182" s="82">
        <f t="shared" si="1159"/>
        <v>0</v>
      </c>
      <c r="GB182" s="82">
        <f t="shared" si="1160"/>
        <v>0</v>
      </c>
      <c r="GC182" s="82">
        <f t="shared" si="1161"/>
        <v>0</v>
      </c>
      <c r="GD182" s="82">
        <f t="shared" si="1162"/>
        <v>0</v>
      </c>
      <c r="GE182" s="82">
        <f t="shared" si="1163"/>
        <v>0</v>
      </c>
      <c r="GF182" s="85"/>
    </row>
    <row r="183" ht="29.25" customHeight="1">
      <c r="A183" s="76">
        <v>17.0</v>
      </c>
      <c r="B183" s="77"/>
      <c r="C183" s="77" t="s">
        <v>232</v>
      </c>
      <c r="D183" s="78" t="s">
        <v>134</v>
      </c>
      <c r="E183" s="79">
        <v>165390.0</v>
      </c>
      <c r="F183" s="61" t="s">
        <v>97</v>
      </c>
      <c r="G183" s="81">
        <v>32.0</v>
      </c>
      <c r="H183" s="82">
        <v>5292480.0</v>
      </c>
      <c r="I183" s="82"/>
      <c r="J183" s="82"/>
      <c r="K183" s="82">
        <f t="shared" si="1075"/>
        <v>0</v>
      </c>
      <c r="L183" s="82">
        <f t="shared" si="1076"/>
        <v>0</v>
      </c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>
        <f t="shared" si="1077"/>
        <v>0</v>
      </c>
      <c r="AC183" s="82">
        <f t="shared" si="1078"/>
        <v>0</v>
      </c>
      <c r="AD183" s="82">
        <f t="shared" si="1079"/>
        <v>32</v>
      </c>
      <c r="AE183" s="82">
        <f t="shared" si="1080"/>
        <v>5292480</v>
      </c>
      <c r="AF183" s="82"/>
      <c r="AG183" s="82"/>
      <c r="AH183" s="82">
        <f t="shared" si="1081"/>
        <v>0</v>
      </c>
      <c r="AI183" s="82">
        <f t="shared" si="1082"/>
        <v>0</v>
      </c>
      <c r="AJ183" s="82"/>
      <c r="AK183" s="82"/>
      <c r="AL183" s="82"/>
      <c r="AM183" s="82"/>
      <c r="AN183" s="82">
        <f t="shared" si="1083"/>
        <v>0</v>
      </c>
      <c r="AO183" s="82">
        <f t="shared" si="1084"/>
        <v>0</v>
      </c>
      <c r="AP183" s="82">
        <f t="shared" si="1085"/>
        <v>32</v>
      </c>
      <c r="AQ183" s="82">
        <f t="shared" si="1086"/>
        <v>5292480</v>
      </c>
      <c r="AR183" s="82"/>
      <c r="AS183" s="82"/>
      <c r="AT183" s="82"/>
      <c r="AU183" s="82">
        <f t="shared" si="1087"/>
        <v>0</v>
      </c>
      <c r="AV183" s="82">
        <f t="shared" si="1088"/>
        <v>0</v>
      </c>
      <c r="AW183" s="82"/>
      <c r="AX183" s="82"/>
      <c r="AY183" s="82"/>
      <c r="AZ183" s="82"/>
      <c r="BA183" s="82">
        <f t="shared" si="1089"/>
        <v>0</v>
      </c>
      <c r="BB183" s="82">
        <f t="shared" si="1090"/>
        <v>0</v>
      </c>
      <c r="BC183" s="82">
        <f t="shared" si="1091"/>
        <v>32</v>
      </c>
      <c r="BD183" s="82">
        <f t="shared" si="1092"/>
        <v>5292480</v>
      </c>
      <c r="BE183" s="82">
        <f t="shared" si="1093"/>
        <v>0</v>
      </c>
      <c r="BF183" s="82">
        <f t="shared" si="1094"/>
        <v>0</v>
      </c>
      <c r="BG183" s="82">
        <f t="shared" si="1095"/>
        <v>32</v>
      </c>
      <c r="BH183" s="82">
        <f t="shared" si="1096"/>
        <v>5292480</v>
      </c>
      <c r="BI183" s="82"/>
      <c r="BJ183" s="83"/>
      <c r="BK183" s="82">
        <f t="shared" si="1097"/>
        <v>0</v>
      </c>
      <c r="BL183" s="82">
        <f t="shared" si="1098"/>
        <v>0</v>
      </c>
      <c r="BM183" s="82"/>
      <c r="BN183" s="82"/>
      <c r="BO183" s="82"/>
      <c r="BP183" s="82"/>
      <c r="BQ183" s="82"/>
      <c r="BR183" s="82"/>
      <c r="BS183" s="82"/>
      <c r="BT183" s="83">
        <v>5.0</v>
      </c>
      <c r="BU183" s="82"/>
      <c r="BV183" s="82"/>
      <c r="BW183" s="82">
        <f t="shared" si="1099"/>
        <v>5</v>
      </c>
      <c r="BX183" s="82">
        <f t="shared" si="1100"/>
        <v>826950</v>
      </c>
      <c r="BY183" s="82">
        <f t="shared" si="1101"/>
        <v>27</v>
      </c>
      <c r="BZ183" s="82">
        <f t="shared" si="1102"/>
        <v>4465530</v>
      </c>
      <c r="CA183" s="82"/>
      <c r="CB183" s="82"/>
      <c r="CC183" s="82">
        <f t="shared" si="1103"/>
        <v>0</v>
      </c>
      <c r="CD183" s="82">
        <f t="shared" si="1104"/>
        <v>0</v>
      </c>
      <c r="CE183" s="83">
        <v>10.0</v>
      </c>
      <c r="CF183" s="83"/>
      <c r="CG183" s="82"/>
      <c r="CH183" s="82"/>
      <c r="CI183" s="82">
        <f t="shared" si="1105"/>
        <v>10</v>
      </c>
      <c r="CJ183" s="82">
        <f t="shared" si="1106"/>
        <v>1653900</v>
      </c>
      <c r="CK183" s="82">
        <f t="shared" si="1107"/>
        <v>17</v>
      </c>
      <c r="CL183" s="82">
        <f t="shared" si="1108"/>
        <v>2811630</v>
      </c>
      <c r="CM183" s="82"/>
      <c r="CN183" s="82"/>
      <c r="CO183" s="82">
        <f t="shared" si="1109"/>
        <v>0</v>
      </c>
      <c r="CP183" s="82">
        <f t="shared" si="1110"/>
        <v>0</v>
      </c>
      <c r="CQ183" s="82"/>
      <c r="CR183" s="82"/>
      <c r="CS183" s="82"/>
      <c r="CT183" s="82"/>
      <c r="CU183" s="82">
        <f t="shared" si="1111"/>
        <v>0</v>
      </c>
      <c r="CV183" s="82">
        <f t="shared" si="1112"/>
        <v>0</v>
      </c>
      <c r="CW183" s="82">
        <f t="shared" si="1113"/>
        <v>17</v>
      </c>
      <c r="CX183" s="82">
        <f t="shared" si="1114"/>
        <v>2811630</v>
      </c>
      <c r="CY183" s="82">
        <f t="shared" si="1115"/>
        <v>0</v>
      </c>
      <c r="CZ183" s="82">
        <f t="shared" si="1116"/>
        <v>15</v>
      </c>
      <c r="DA183" s="82">
        <f t="shared" si="1117"/>
        <v>17</v>
      </c>
      <c r="DB183" s="82">
        <f t="shared" si="1118"/>
        <v>2811630</v>
      </c>
      <c r="DC183" s="91"/>
      <c r="DD183" s="82"/>
      <c r="DE183" s="82"/>
      <c r="DF183" s="82">
        <f t="shared" si="1071"/>
        <v>0</v>
      </c>
      <c r="DG183" s="82">
        <f t="shared" si="1119"/>
        <v>0</v>
      </c>
      <c r="DH183" s="82"/>
      <c r="DI183" s="82">
        <f t="shared" si="1120"/>
        <v>0</v>
      </c>
      <c r="DJ183" s="82">
        <f t="shared" si="1121"/>
        <v>0</v>
      </c>
      <c r="DK183" s="82"/>
      <c r="DL183" s="82">
        <f t="shared" si="1122"/>
        <v>0</v>
      </c>
      <c r="DM183" s="82">
        <f t="shared" si="1123"/>
        <v>0</v>
      </c>
      <c r="DN183" s="82">
        <f t="shared" si="1124"/>
        <v>17</v>
      </c>
      <c r="DO183" s="82">
        <f t="shared" si="1125"/>
        <v>2811630</v>
      </c>
      <c r="DP183" s="82"/>
      <c r="DQ183" s="82"/>
      <c r="DR183" s="82">
        <f t="shared" si="1126"/>
        <v>0</v>
      </c>
      <c r="DS183" s="82">
        <f t="shared" si="1127"/>
        <v>0</v>
      </c>
      <c r="DT183" s="82"/>
      <c r="DU183" s="82"/>
      <c r="DV183" s="82"/>
      <c r="DW183" s="82"/>
      <c r="DX183" s="82">
        <f t="shared" si="1128"/>
        <v>0</v>
      </c>
      <c r="DY183" s="82">
        <f t="shared" si="1129"/>
        <v>0</v>
      </c>
      <c r="DZ183" s="82">
        <f t="shared" si="1130"/>
        <v>17</v>
      </c>
      <c r="EA183" s="82">
        <f t="shared" si="1131"/>
        <v>2811630</v>
      </c>
      <c r="EB183" s="82"/>
      <c r="EC183" s="82"/>
      <c r="ED183" s="82">
        <f t="shared" si="1132"/>
        <v>0</v>
      </c>
      <c r="EE183" s="82">
        <f t="shared" si="1133"/>
        <v>0</v>
      </c>
      <c r="EF183" s="82"/>
      <c r="EG183" s="82"/>
      <c r="EH183" s="82"/>
      <c r="EI183" s="82"/>
      <c r="EJ183" s="82">
        <f t="shared" si="1134"/>
        <v>0</v>
      </c>
      <c r="EK183" s="82">
        <f t="shared" si="1135"/>
        <v>0</v>
      </c>
      <c r="EL183" s="82">
        <f t="shared" si="1136"/>
        <v>17</v>
      </c>
      <c r="EM183" s="82">
        <f t="shared" si="1137"/>
        <v>2811630</v>
      </c>
      <c r="EN183" s="82">
        <f t="shared" si="1138"/>
        <v>0</v>
      </c>
      <c r="EO183" s="82">
        <f t="shared" si="1139"/>
        <v>0</v>
      </c>
      <c r="EP183" s="82">
        <f t="shared" si="1140"/>
        <v>17</v>
      </c>
      <c r="EQ183" s="82">
        <f t="shared" si="1141"/>
        <v>2811630</v>
      </c>
      <c r="ER183" s="82"/>
      <c r="ES183" s="82"/>
      <c r="ET183" s="82">
        <f t="shared" si="1142"/>
        <v>0</v>
      </c>
      <c r="EU183" s="82">
        <f t="shared" si="1143"/>
        <v>0</v>
      </c>
      <c r="EV183" s="82"/>
      <c r="EW183" s="82"/>
      <c r="EX183" s="82"/>
      <c r="EY183" s="82"/>
      <c r="EZ183" s="82">
        <f t="shared" si="1144"/>
        <v>0</v>
      </c>
      <c r="FA183" s="82">
        <f t="shared" si="1145"/>
        <v>0</v>
      </c>
      <c r="FB183" s="82">
        <f t="shared" si="1146"/>
        <v>17</v>
      </c>
      <c r="FC183" s="82">
        <f t="shared" si="1147"/>
        <v>2811630</v>
      </c>
      <c r="FD183" s="82"/>
      <c r="FE183" s="82"/>
      <c r="FF183" s="82">
        <f t="shared" si="1148"/>
        <v>0</v>
      </c>
      <c r="FG183" s="82">
        <f t="shared" si="1149"/>
        <v>0</v>
      </c>
      <c r="FH183" s="82"/>
      <c r="FI183" s="82"/>
      <c r="FJ183" s="82"/>
      <c r="FK183" s="82"/>
      <c r="FL183" s="82">
        <f t="shared" si="1150"/>
        <v>0</v>
      </c>
      <c r="FM183" s="82">
        <f t="shared" si="1151"/>
        <v>0</v>
      </c>
      <c r="FN183" s="82">
        <f t="shared" si="1152"/>
        <v>17</v>
      </c>
      <c r="FO183" s="82">
        <f t="shared" si="1153"/>
        <v>2811630</v>
      </c>
      <c r="FP183" s="82"/>
      <c r="FQ183" s="82"/>
      <c r="FR183" s="82">
        <f t="shared" si="1154"/>
        <v>0</v>
      </c>
      <c r="FS183" s="82">
        <f t="shared" si="1155"/>
        <v>0</v>
      </c>
      <c r="FT183" s="82"/>
      <c r="FU183" s="82"/>
      <c r="FV183" s="82"/>
      <c r="FW183" s="82"/>
      <c r="FX183" s="82">
        <f t="shared" si="1156"/>
        <v>0</v>
      </c>
      <c r="FY183" s="82">
        <f t="shared" si="1157"/>
        <v>0</v>
      </c>
      <c r="FZ183" s="82">
        <f t="shared" si="1158"/>
        <v>17</v>
      </c>
      <c r="GA183" s="82">
        <f t="shared" si="1159"/>
        <v>2811630</v>
      </c>
      <c r="GB183" s="82">
        <f t="shared" si="1160"/>
        <v>0</v>
      </c>
      <c r="GC183" s="82">
        <f t="shared" si="1161"/>
        <v>0</v>
      </c>
      <c r="GD183" s="82">
        <f t="shared" si="1162"/>
        <v>17</v>
      </c>
      <c r="GE183" s="82">
        <f t="shared" si="1163"/>
        <v>2811630</v>
      </c>
      <c r="GF183" s="85"/>
    </row>
    <row r="184" ht="29.25" customHeight="1">
      <c r="A184" s="50"/>
      <c r="B184" s="50"/>
      <c r="C184" s="50"/>
      <c r="D184" s="92" t="s">
        <v>134</v>
      </c>
      <c r="E184" s="79">
        <v>183150.0</v>
      </c>
      <c r="F184" s="61" t="s">
        <v>110</v>
      </c>
      <c r="G184" s="81">
        <v>5.0</v>
      </c>
      <c r="H184" s="82">
        <v>915750.0</v>
      </c>
      <c r="I184" s="82"/>
      <c r="J184" s="82"/>
      <c r="K184" s="82">
        <f t="shared" si="1075"/>
        <v>0</v>
      </c>
      <c r="L184" s="82">
        <f t="shared" si="1076"/>
        <v>0</v>
      </c>
      <c r="M184" s="82"/>
      <c r="N184" s="83">
        <v>1.0</v>
      </c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>
        <f t="shared" si="1077"/>
        <v>1</v>
      </c>
      <c r="AC184" s="82">
        <f t="shared" si="1078"/>
        <v>183150</v>
      </c>
      <c r="AD184" s="82">
        <f t="shared" si="1079"/>
        <v>4</v>
      </c>
      <c r="AE184" s="82">
        <f t="shared" si="1080"/>
        <v>732600</v>
      </c>
      <c r="AF184" s="82"/>
      <c r="AG184" s="82"/>
      <c r="AH184" s="82">
        <f t="shared" si="1081"/>
        <v>0</v>
      </c>
      <c r="AI184" s="82">
        <f t="shared" si="1082"/>
        <v>0</v>
      </c>
      <c r="AJ184" s="82"/>
      <c r="AK184" s="82"/>
      <c r="AL184" s="82"/>
      <c r="AM184" s="82"/>
      <c r="AN184" s="82">
        <f t="shared" si="1083"/>
        <v>0</v>
      </c>
      <c r="AO184" s="82">
        <f t="shared" si="1084"/>
        <v>0</v>
      </c>
      <c r="AP184" s="82">
        <f t="shared" si="1085"/>
        <v>4</v>
      </c>
      <c r="AQ184" s="82">
        <f t="shared" si="1086"/>
        <v>732600</v>
      </c>
      <c r="AR184" s="82"/>
      <c r="AS184" s="82"/>
      <c r="AT184" s="82"/>
      <c r="AU184" s="82">
        <f t="shared" si="1087"/>
        <v>0</v>
      </c>
      <c r="AV184" s="82">
        <f t="shared" si="1088"/>
        <v>0</v>
      </c>
      <c r="AW184" s="82"/>
      <c r="AX184" s="82"/>
      <c r="AY184" s="82"/>
      <c r="AZ184" s="82"/>
      <c r="BA184" s="82">
        <f t="shared" si="1089"/>
        <v>0</v>
      </c>
      <c r="BB184" s="82">
        <f t="shared" si="1090"/>
        <v>0</v>
      </c>
      <c r="BC184" s="82">
        <f t="shared" si="1091"/>
        <v>4</v>
      </c>
      <c r="BD184" s="82">
        <f t="shared" si="1092"/>
        <v>732600</v>
      </c>
      <c r="BE184" s="82">
        <f t="shared" si="1093"/>
        <v>0</v>
      </c>
      <c r="BF184" s="82">
        <f t="shared" si="1094"/>
        <v>1</v>
      </c>
      <c r="BG184" s="82">
        <f t="shared" si="1095"/>
        <v>4</v>
      </c>
      <c r="BH184" s="82">
        <f t="shared" si="1096"/>
        <v>732600</v>
      </c>
      <c r="BI184" s="82"/>
      <c r="BJ184" s="83"/>
      <c r="BK184" s="82">
        <f t="shared" si="1097"/>
        <v>0</v>
      </c>
      <c r="BL184" s="82">
        <f t="shared" si="1098"/>
        <v>0</v>
      </c>
      <c r="BM184" s="82"/>
      <c r="BN184" s="82"/>
      <c r="BO184" s="82"/>
      <c r="BP184" s="82"/>
      <c r="BQ184" s="82"/>
      <c r="BR184" s="82"/>
      <c r="BS184" s="82"/>
      <c r="BT184" s="82"/>
      <c r="BU184" s="82"/>
      <c r="BV184" s="82"/>
      <c r="BW184" s="82">
        <f t="shared" si="1099"/>
        <v>0</v>
      </c>
      <c r="BX184" s="82">
        <f t="shared" si="1100"/>
        <v>0</v>
      </c>
      <c r="BY184" s="82">
        <f t="shared" si="1101"/>
        <v>4</v>
      </c>
      <c r="BZ184" s="82">
        <f t="shared" si="1102"/>
        <v>732600</v>
      </c>
      <c r="CA184" s="82"/>
      <c r="CB184" s="82"/>
      <c r="CC184" s="82">
        <f t="shared" si="1103"/>
        <v>0</v>
      </c>
      <c r="CD184" s="82">
        <f t="shared" si="1104"/>
        <v>0</v>
      </c>
      <c r="CE184" s="82"/>
      <c r="CF184" s="82"/>
      <c r="CG184" s="82"/>
      <c r="CH184" s="82"/>
      <c r="CI184" s="82">
        <f t="shared" si="1105"/>
        <v>0</v>
      </c>
      <c r="CJ184" s="82">
        <f t="shared" si="1106"/>
        <v>0</v>
      </c>
      <c r="CK184" s="82">
        <f t="shared" si="1107"/>
        <v>4</v>
      </c>
      <c r="CL184" s="82">
        <f t="shared" si="1108"/>
        <v>732600</v>
      </c>
      <c r="CM184" s="82"/>
      <c r="CN184" s="82"/>
      <c r="CO184" s="82">
        <f t="shared" si="1109"/>
        <v>0</v>
      </c>
      <c r="CP184" s="82">
        <f t="shared" si="1110"/>
        <v>0</v>
      </c>
      <c r="CQ184" s="82"/>
      <c r="CR184" s="82"/>
      <c r="CS184" s="82"/>
      <c r="CT184" s="82"/>
      <c r="CU184" s="82">
        <f t="shared" si="1111"/>
        <v>0</v>
      </c>
      <c r="CV184" s="82">
        <f t="shared" si="1112"/>
        <v>0</v>
      </c>
      <c r="CW184" s="82">
        <f t="shared" si="1113"/>
        <v>4</v>
      </c>
      <c r="CX184" s="82">
        <f t="shared" si="1114"/>
        <v>732600</v>
      </c>
      <c r="CY184" s="82">
        <f t="shared" si="1115"/>
        <v>0</v>
      </c>
      <c r="CZ184" s="82">
        <f t="shared" si="1116"/>
        <v>0</v>
      </c>
      <c r="DA184" s="82">
        <f t="shared" si="1117"/>
        <v>4</v>
      </c>
      <c r="DB184" s="82">
        <f t="shared" si="1118"/>
        <v>732600</v>
      </c>
      <c r="DC184" s="91"/>
      <c r="DD184" s="82"/>
      <c r="DE184" s="82"/>
      <c r="DF184" s="82">
        <f t="shared" si="1071"/>
        <v>0</v>
      </c>
      <c r="DG184" s="82">
        <f t="shared" si="1119"/>
        <v>0</v>
      </c>
      <c r="DH184" s="82"/>
      <c r="DI184" s="82">
        <f t="shared" si="1120"/>
        <v>0</v>
      </c>
      <c r="DJ184" s="82">
        <f t="shared" si="1121"/>
        <v>0</v>
      </c>
      <c r="DK184" s="82"/>
      <c r="DL184" s="82">
        <f t="shared" si="1122"/>
        <v>0</v>
      </c>
      <c r="DM184" s="82">
        <f t="shared" si="1123"/>
        <v>0</v>
      </c>
      <c r="DN184" s="82">
        <f t="shared" si="1124"/>
        <v>4</v>
      </c>
      <c r="DO184" s="82">
        <f t="shared" si="1125"/>
        <v>732600</v>
      </c>
      <c r="DP184" s="82"/>
      <c r="DQ184" s="82"/>
      <c r="DR184" s="82">
        <f t="shared" si="1126"/>
        <v>0</v>
      </c>
      <c r="DS184" s="82">
        <f t="shared" si="1127"/>
        <v>0</v>
      </c>
      <c r="DT184" s="82"/>
      <c r="DU184" s="82"/>
      <c r="DV184" s="82"/>
      <c r="DW184" s="82"/>
      <c r="DX184" s="82">
        <f t="shared" si="1128"/>
        <v>0</v>
      </c>
      <c r="DY184" s="82">
        <f t="shared" si="1129"/>
        <v>0</v>
      </c>
      <c r="DZ184" s="82">
        <f t="shared" si="1130"/>
        <v>4</v>
      </c>
      <c r="EA184" s="82">
        <f t="shared" si="1131"/>
        <v>732600</v>
      </c>
      <c r="EB184" s="82"/>
      <c r="EC184" s="82"/>
      <c r="ED184" s="82">
        <f t="shared" si="1132"/>
        <v>0</v>
      </c>
      <c r="EE184" s="82">
        <f t="shared" si="1133"/>
        <v>0</v>
      </c>
      <c r="EF184" s="82"/>
      <c r="EG184" s="82"/>
      <c r="EH184" s="82"/>
      <c r="EI184" s="82"/>
      <c r="EJ184" s="82">
        <f t="shared" si="1134"/>
        <v>0</v>
      </c>
      <c r="EK184" s="82">
        <f t="shared" si="1135"/>
        <v>0</v>
      </c>
      <c r="EL184" s="82">
        <f t="shared" si="1136"/>
        <v>4</v>
      </c>
      <c r="EM184" s="82">
        <f t="shared" si="1137"/>
        <v>732600</v>
      </c>
      <c r="EN184" s="82">
        <f t="shared" si="1138"/>
        <v>0</v>
      </c>
      <c r="EO184" s="82">
        <f t="shared" si="1139"/>
        <v>0</v>
      </c>
      <c r="EP184" s="82">
        <f t="shared" si="1140"/>
        <v>4</v>
      </c>
      <c r="EQ184" s="82">
        <f t="shared" si="1141"/>
        <v>732600</v>
      </c>
      <c r="ER184" s="82"/>
      <c r="ES184" s="82"/>
      <c r="ET184" s="82">
        <f t="shared" si="1142"/>
        <v>0</v>
      </c>
      <c r="EU184" s="82">
        <f t="shared" si="1143"/>
        <v>0</v>
      </c>
      <c r="EV184" s="82"/>
      <c r="EW184" s="82"/>
      <c r="EX184" s="82"/>
      <c r="EY184" s="82"/>
      <c r="EZ184" s="82">
        <f t="shared" si="1144"/>
        <v>0</v>
      </c>
      <c r="FA184" s="82">
        <f t="shared" si="1145"/>
        <v>0</v>
      </c>
      <c r="FB184" s="82">
        <f t="shared" si="1146"/>
        <v>4</v>
      </c>
      <c r="FC184" s="82">
        <f t="shared" si="1147"/>
        <v>732600</v>
      </c>
      <c r="FD184" s="82"/>
      <c r="FE184" s="82"/>
      <c r="FF184" s="82">
        <f t="shared" si="1148"/>
        <v>0</v>
      </c>
      <c r="FG184" s="82">
        <f t="shared" si="1149"/>
        <v>0</v>
      </c>
      <c r="FH184" s="82"/>
      <c r="FI184" s="82"/>
      <c r="FJ184" s="82"/>
      <c r="FK184" s="82"/>
      <c r="FL184" s="82">
        <f t="shared" si="1150"/>
        <v>0</v>
      </c>
      <c r="FM184" s="82">
        <f t="shared" si="1151"/>
        <v>0</v>
      </c>
      <c r="FN184" s="82">
        <f t="shared" si="1152"/>
        <v>4</v>
      </c>
      <c r="FO184" s="82">
        <f t="shared" si="1153"/>
        <v>732600</v>
      </c>
      <c r="FP184" s="82"/>
      <c r="FQ184" s="82"/>
      <c r="FR184" s="82">
        <f t="shared" si="1154"/>
        <v>0</v>
      </c>
      <c r="FS184" s="82">
        <f t="shared" si="1155"/>
        <v>0</v>
      </c>
      <c r="FT184" s="82"/>
      <c r="FU184" s="82"/>
      <c r="FV184" s="82"/>
      <c r="FW184" s="82"/>
      <c r="FX184" s="82">
        <f t="shared" si="1156"/>
        <v>0</v>
      </c>
      <c r="FY184" s="82">
        <f t="shared" si="1157"/>
        <v>0</v>
      </c>
      <c r="FZ184" s="82">
        <f t="shared" si="1158"/>
        <v>4</v>
      </c>
      <c r="GA184" s="82">
        <f t="shared" si="1159"/>
        <v>732600</v>
      </c>
      <c r="GB184" s="82">
        <f t="shared" si="1160"/>
        <v>0</v>
      </c>
      <c r="GC184" s="82">
        <f t="shared" si="1161"/>
        <v>0</v>
      </c>
      <c r="GD184" s="82">
        <f t="shared" si="1162"/>
        <v>4</v>
      </c>
      <c r="GE184" s="82">
        <f t="shared" si="1163"/>
        <v>732600</v>
      </c>
      <c r="GF184" s="85"/>
    </row>
    <row r="185" ht="29.25" customHeight="1">
      <c r="A185" s="76">
        <v>18.0</v>
      </c>
      <c r="B185" s="77"/>
      <c r="C185" s="77" t="s">
        <v>233</v>
      </c>
      <c r="D185" s="92" t="s">
        <v>134</v>
      </c>
      <c r="E185" s="79">
        <v>166500.0</v>
      </c>
      <c r="F185" s="61" t="s">
        <v>97</v>
      </c>
      <c r="G185" s="81">
        <v>1.0</v>
      </c>
      <c r="H185" s="82">
        <v>166500.0</v>
      </c>
      <c r="I185" s="82"/>
      <c r="J185" s="82"/>
      <c r="K185" s="82">
        <f t="shared" si="1075"/>
        <v>0</v>
      </c>
      <c r="L185" s="82">
        <f t="shared" si="1076"/>
        <v>0</v>
      </c>
      <c r="M185" s="82"/>
      <c r="N185" s="83">
        <v>1.0</v>
      </c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>
        <f t="shared" si="1077"/>
        <v>1</v>
      </c>
      <c r="AC185" s="82">
        <f t="shared" si="1078"/>
        <v>166500</v>
      </c>
      <c r="AD185" s="82">
        <f t="shared" si="1079"/>
        <v>0</v>
      </c>
      <c r="AE185" s="82">
        <f t="shared" si="1080"/>
        <v>0</v>
      </c>
      <c r="AF185" s="82"/>
      <c r="AG185" s="82"/>
      <c r="AH185" s="82">
        <f t="shared" si="1081"/>
        <v>0</v>
      </c>
      <c r="AI185" s="82">
        <f t="shared" si="1082"/>
        <v>0</v>
      </c>
      <c r="AJ185" s="82"/>
      <c r="AK185" s="82"/>
      <c r="AL185" s="82"/>
      <c r="AM185" s="82"/>
      <c r="AN185" s="82">
        <f t="shared" si="1083"/>
        <v>0</v>
      </c>
      <c r="AO185" s="82">
        <f t="shared" si="1084"/>
        <v>0</v>
      </c>
      <c r="AP185" s="82">
        <f t="shared" si="1085"/>
        <v>0</v>
      </c>
      <c r="AQ185" s="82">
        <f t="shared" si="1086"/>
        <v>0</v>
      </c>
      <c r="AR185" s="82"/>
      <c r="AS185" s="82"/>
      <c r="AT185" s="82"/>
      <c r="AU185" s="82">
        <f t="shared" si="1087"/>
        <v>0</v>
      </c>
      <c r="AV185" s="82">
        <f t="shared" si="1088"/>
        <v>0</v>
      </c>
      <c r="AW185" s="82"/>
      <c r="AX185" s="82"/>
      <c r="AY185" s="82"/>
      <c r="AZ185" s="82"/>
      <c r="BA185" s="82">
        <f t="shared" si="1089"/>
        <v>0</v>
      </c>
      <c r="BB185" s="82">
        <f t="shared" si="1090"/>
        <v>0</v>
      </c>
      <c r="BC185" s="82">
        <f t="shared" si="1091"/>
        <v>0</v>
      </c>
      <c r="BD185" s="82">
        <f t="shared" si="1092"/>
        <v>0</v>
      </c>
      <c r="BE185" s="82">
        <f t="shared" si="1093"/>
        <v>0</v>
      </c>
      <c r="BF185" s="82">
        <f t="shared" si="1094"/>
        <v>1</v>
      </c>
      <c r="BG185" s="82">
        <f t="shared" si="1095"/>
        <v>0</v>
      </c>
      <c r="BH185" s="82">
        <f t="shared" si="1096"/>
        <v>0</v>
      </c>
      <c r="BI185" s="82"/>
      <c r="BJ185" s="83"/>
      <c r="BK185" s="82">
        <f t="shared" si="1097"/>
        <v>0</v>
      </c>
      <c r="BL185" s="82">
        <f t="shared" si="1098"/>
        <v>0</v>
      </c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>
        <f t="shared" si="1099"/>
        <v>0</v>
      </c>
      <c r="BX185" s="82">
        <f t="shared" si="1100"/>
        <v>0</v>
      </c>
      <c r="BY185" s="82">
        <f t="shared" si="1101"/>
        <v>0</v>
      </c>
      <c r="BZ185" s="82">
        <f t="shared" si="1102"/>
        <v>0</v>
      </c>
      <c r="CA185" s="82"/>
      <c r="CB185" s="82"/>
      <c r="CC185" s="82">
        <f t="shared" si="1103"/>
        <v>0</v>
      </c>
      <c r="CD185" s="82">
        <f t="shared" si="1104"/>
        <v>0</v>
      </c>
      <c r="CE185" s="82"/>
      <c r="CF185" s="82"/>
      <c r="CG185" s="82"/>
      <c r="CH185" s="82"/>
      <c r="CI185" s="82">
        <f t="shared" si="1105"/>
        <v>0</v>
      </c>
      <c r="CJ185" s="82">
        <f t="shared" si="1106"/>
        <v>0</v>
      </c>
      <c r="CK185" s="82">
        <f t="shared" si="1107"/>
        <v>0</v>
      </c>
      <c r="CL185" s="82">
        <f t="shared" si="1108"/>
        <v>0</v>
      </c>
      <c r="CM185" s="82"/>
      <c r="CN185" s="82"/>
      <c r="CO185" s="82">
        <f t="shared" si="1109"/>
        <v>0</v>
      </c>
      <c r="CP185" s="82">
        <f t="shared" si="1110"/>
        <v>0</v>
      </c>
      <c r="CQ185" s="82"/>
      <c r="CR185" s="82"/>
      <c r="CS185" s="82"/>
      <c r="CT185" s="82"/>
      <c r="CU185" s="82">
        <f t="shared" si="1111"/>
        <v>0</v>
      </c>
      <c r="CV185" s="82">
        <f t="shared" si="1112"/>
        <v>0</v>
      </c>
      <c r="CW185" s="82">
        <f t="shared" si="1113"/>
        <v>0</v>
      </c>
      <c r="CX185" s="82">
        <f t="shared" si="1114"/>
        <v>0</v>
      </c>
      <c r="CY185" s="82">
        <f t="shared" si="1115"/>
        <v>0</v>
      </c>
      <c r="CZ185" s="82">
        <f t="shared" si="1116"/>
        <v>0</v>
      </c>
      <c r="DA185" s="82">
        <f t="shared" si="1117"/>
        <v>0</v>
      </c>
      <c r="DB185" s="82">
        <f t="shared" si="1118"/>
        <v>0</v>
      </c>
      <c r="DC185" s="91"/>
      <c r="DD185" s="82"/>
      <c r="DE185" s="82"/>
      <c r="DF185" s="82">
        <f t="shared" si="1071"/>
        <v>0</v>
      </c>
      <c r="DG185" s="82">
        <f t="shared" si="1119"/>
        <v>0</v>
      </c>
      <c r="DH185" s="82"/>
      <c r="DI185" s="82">
        <f t="shared" si="1120"/>
        <v>0</v>
      </c>
      <c r="DJ185" s="82">
        <f t="shared" si="1121"/>
        <v>0</v>
      </c>
      <c r="DK185" s="82"/>
      <c r="DL185" s="82">
        <f t="shared" si="1122"/>
        <v>0</v>
      </c>
      <c r="DM185" s="82">
        <f t="shared" si="1123"/>
        <v>0</v>
      </c>
      <c r="DN185" s="82">
        <f t="shared" si="1124"/>
        <v>0</v>
      </c>
      <c r="DO185" s="82">
        <f t="shared" si="1125"/>
        <v>0</v>
      </c>
      <c r="DP185" s="82"/>
      <c r="DQ185" s="82"/>
      <c r="DR185" s="82">
        <f t="shared" si="1126"/>
        <v>0</v>
      </c>
      <c r="DS185" s="82">
        <f t="shared" si="1127"/>
        <v>0</v>
      </c>
      <c r="DT185" s="82"/>
      <c r="DU185" s="82"/>
      <c r="DV185" s="82"/>
      <c r="DW185" s="82"/>
      <c r="DX185" s="82">
        <f t="shared" si="1128"/>
        <v>0</v>
      </c>
      <c r="DY185" s="82">
        <f t="shared" si="1129"/>
        <v>0</v>
      </c>
      <c r="DZ185" s="82">
        <f t="shared" si="1130"/>
        <v>0</v>
      </c>
      <c r="EA185" s="82">
        <f t="shared" si="1131"/>
        <v>0</v>
      </c>
      <c r="EB185" s="82"/>
      <c r="EC185" s="82"/>
      <c r="ED185" s="82">
        <f t="shared" si="1132"/>
        <v>0</v>
      </c>
      <c r="EE185" s="82">
        <f t="shared" si="1133"/>
        <v>0</v>
      </c>
      <c r="EF185" s="82"/>
      <c r="EG185" s="82"/>
      <c r="EH185" s="82"/>
      <c r="EI185" s="82"/>
      <c r="EJ185" s="82">
        <f t="shared" si="1134"/>
        <v>0</v>
      </c>
      <c r="EK185" s="82">
        <f t="shared" si="1135"/>
        <v>0</v>
      </c>
      <c r="EL185" s="82">
        <f t="shared" si="1136"/>
        <v>0</v>
      </c>
      <c r="EM185" s="82">
        <f t="shared" si="1137"/>
        <v>0</v>
      </c>
      <c r="EN185" s="82">
        <f t="shared" si="1138"/>
        <v>0</v>
      </c>
      <c r="EO185" s="82">
        <f t="shared" si="1139"/>
        <v>0</v>
      </c>
      <c r="EP185" s="82">
        <f t="shared" si="1140"/>
        <v>0</v>
      </c>
      <c r="EQ185" s="82">
        <f t="shared" si="1141"/>
        <v>0</v>
      </c>
      <c r="ER185" s="82"/>
      <c r="ES185" s="82"/>
      <c r="ET185" s="82">
        <f t="shared" si="1142"/>
        <v>0</v>
      </c>
      <c r="EU185" s="82">
        <f t="shared" si="1143"/>
        <v>0</v>
      </c>
      <c r="EV185" s="82"/>
      <c r="EW185" s="82"/>
      <c r="EX185" s="82"/>
      <c r="EY185" s="82"/>
      <c r="EZ185" s="82">
        <f t="shared" si="1144"/>
        <v>0</v>
      </c>
      <c r="FA185" s="82">
        <f t="shared" si="1145"/>
        <v>0</v>
      </c>
      <c r="FB185" s="82">
        <f t="shared" si="1146"/>
        <v>0</v>
      </c>
      <c r="FC185" s="82">
        <f t="shared" si="1147"/>
        <v>0</v>
      </c>
      <c r="FD185" s="82"/>
      <c r="FE185" s="82"/>
      <c r="FF185" s="82">
        <f t="shared" si="1148"/>
        <v>0</v>
      </c>
      <c r="FG185" s="82">
        <f t="shared" si="1149"/>
        <v>0</v>
      </c>
      <c r="FH185" s="82"/>
      <c r="FI185" s="82"/>
      <c r="FJ185" s="82"/>
      <c r="FK185" s="82"/>
      <c r="FL185" s="82">
        <f t="shared" si="1150"/>
        <v>0</v>
      </c>
      <c r="FM185" s="82">
        <f t="shared" si="1151"/>
        <v>0</v>
      </c>
      <c r="FN185" s="82">
        <f t="shared" si="1152"/>
        <v>0</v>
      </c>
      <c r="FO185" s="82">
        <f t="shared" si="1153"/>
        <v>0</v>
      </c>
      <c r="FP185" s="82"/>
      <c r="FQ185" s="82"/>
      <c r="FR185" s="82">
        <f t="shared" si="1154"/>
        <v>0</v>
      </c>
      <c r="FS185" s="82">
        <f t="shared" si="1155"/>
        <v>0</v>
      </c>
      <c r="FT185" s="82"/>
      <c r="FU185" s="82"/>
      <c r="FV185" s="82"/>
      <c r="FW185" s="82"/>
      <c r="FX185" s="82">
        <f t="shared" si="1156"/>
        <v>0</v>
      </c>
      <c r="FY185" s="82">
        <f t="shared" si="1157"/>
        <v>0</v>
      </c>
      <c r="FZ185" s="82">
        <f t="shared" si="1158"/>
        <v>0</v>
      </c>
      <c r="GA185" s="82">
        <f t="shared" si="1159"/>
        <v>0</v>
      </c>
      <c r="GB185" s="82">
        <f t="shared" si="1160"/>
        <v>0</v>
      </c>
      <c r="GC185" s="82">
        <f t="shared" si="1161"/>
        <v>0</v>
      </c>
      <c r="GD185" s="82">
        <f t="shared" si="1162"/>
        <v>0</v>
      </c>
      <c r="GE185" s="82">
        <f t="shared" si="1163"/>
        <v>0</v>
      </c>
      <c r="GF185" s="85"/>
    </row>
    <row r="186" ht="29.25" customHeight="1">
      <c r="A186" s="50"/>
      <c r="B186" s="50"/>
      <c r="C186" s="50"/>
      <c r="D186" s="92" t="s">
        <v>134</v>
      </c>
      <c r="E186" s="79">
        <v>183150.0</v>
      </c>
      <c r="F186" s="61" t="s">
        <v>110</v>
      </c>
      <c r="G186" s="81">
        <v>8.0</v>
      </c>
      <c r="H186" s="82">
        <v>1465200.0</v>
      </c>
      <c r="I186" s="82"/>
      <c r="J186" s="82"/>
      <c r="K186" s="82">
        <f t="shared" si="1075"/>
        <v>0</v>
      </c>
      <c r="L186" s="82">
        <f t="shared" si="1076"/>
        <v>0</v>
      </c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>
        <f t="shared" si="1077"/>
        <v>0</v>
      </c>
      <c r="AC186" s="82">
        <f t="shared" si="1078"/>
        <v>0</v>
      </c>
      <c r="AD186" s="82">
        <f t="shared" si="1079"/>
        <v>8</v>
      </c>
      <c r="AE186" s="82">
        <f t="shared" si="1080"/>
        <v>1465200</v>
      </c>
      <c r="AF186" s="82"/>
      <c r="AG186" s="82"/>
      <c r="AH186" s="82">
        <f t="shared" si="1081"/>
        <v>0</v>
      </c>
      <c r="AI186" s="82">
        <f t="shared" si="1082"/>
        <v>0</v>
      </c>
      <c r="AJ186" s="82"/>
      <c r="AK186" s="82"/>
      <c r="AL186" s="82"/>
      <c r="AM186" s="82"/>
      <c r="AN186" s="82">
        <f t="shared" si="1083"/>
        <v>0</v>
      </c>
      <c r="AO186" s="82">
        <f t="shared" si="1084"/>
        <v>0</v>
      </c>
      <c r="AP186" s="82">
        <f t="shared" si="1085"/>
        <v>8</v>
      </c>
      <c r="AQ186" s="82">
        <f t="shared" si="1086"/>
        <v>1465200</v>
      </c>
      <c r="AR186" s="82"/>
      <c r="AS186" s="82"/>
      <c r="AT186" s="82"/>
      <c r="AU186" s="82">
        <f t="shared" si="1087"/>
        <v>0</v>
      </c>
      <c r="AV186" s="82">
        <f t="shared" si="1088"/>
        <v>0</v>
      </c>
      <c r="AW186" s="82"/>
      <c r="AX186" s="82"/>
      <c r="AY186" s="82"/>
      <c r="AZ186" s="82"/>
      <c r="BA186" s="82">
        <f t="shared" si="1089"/>
        <v>0</v>
      </c>
      <c r="BB186" s="82">
        <f t="shared" si="1090"/>
        <v>0</v>
      </c>
      <c r="BC186" s="82">
        <f t="shared" si="1091"/>
        <v>8</v>
      </c>
      <c r="BD186" s="82">
        <f t="shared" si="1092"/>
        <v>1465200</v>
      </c>
      <c r="BE186" s="82">
        <f t="shared" si="1093"/>
        <v>0</v>
      </c>
      <c r="BF186" s="82">
        <f t="shared" si="1094"/>
        <v>0</v>
      </c>
      <c r="BG186" s="82">
        <f t="shared" si="1095"/>
        <v>8</v>
      </c>
      <c r="BH186" s="82">
        <f t="shared" si="1096"/>
        <v>1465200</v>
      </c>
      <c r="BI186" s="82"/>
      <c r="BJ186" s="83"/>
      <c r="BK186" s="82">
        <f t="shared" si="1097"/>
        <v>0</v>
      </c>
      <c r="BL186" s="82">
        <f t="shared" si="1098"/>
        <v>0</v>
      </c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>
        <f t="shared" si="1099"/>
        <v>0</v>
      </c>
      <c r="BX186" s="82">
        <f t="shared" si="1100"/>
        <v>0</v>
      </c>
      <c r="BY186" s="82">
        <f t="shared" si="1101"/>
        <v>8</v>
      </c>
      <c r="BZ186" s="82">
        <f t="shared" si="1102"/>
        <v>1465200</v>
      </c>
      <c r="CA186" s="82"/>
      <c r="CB186" s="82"/>
      <c r="CC186" s="82">
        <f t="shared" si="1103"/>
        <v>0</v>
      </c>
      <c r="CD186" s="82">
        <f t="shared" si="1104"/>
        <v>0</v>
      </c>
      <c r="CE186" s="82"/>
      <c r="CF186" s="82"/>
      <c r="CG186" s="82"/>
      <c r="CH186" s="82"/>
      <c r="CI186" s="82">
        <f t="shared" si="1105"/>
        <v>0</v>
      </c>
      <c r="CJ186" s="82">
        <f t="shared" si="1106"/>
        <v>0</v>
      </c>
      <c r="CK186" s="82">
        <f t="shared" si="1107"/>
        <v>8</v>
      </c>
      <c r="CL186" s="82">
        <f t="shared" si="1108"/>
        <v>1465200</v>
      </c>
      <c r="CM186" s="82"/>
      <c r="CN186" s="82"/>
      <c r="CO186" s="82">
        <f t="shared" si="1109"/>
        <v>0</v>
      </c>
      <c r="CP186" s="82">
        <f t="shared" si="1110"/>
        <v>0</v>
      </c>
      <c r="CQ186" s="82"/>
      <c r="CR186" s="82"/>
      <c r="CS186" s="82"/>
      <c r="CT186" s="82"/>
      <c r="CU186" s="82">
        <f t="shared" si="1111"/>
        <v>0</v>
      </c>
      <c r="CV186" s="82">
        <f t="shared" si="1112"/>
        <v>0</v>
      </c>
      <c r="CW186" s="82">
        <f t="shared" si="1113"/>
        <v>8</v>
      </c>
      <c r="CX186" s="82">
        <f t="shared" si="1114"/>
        <v>1465200</v>
      </c>
      <c r="CY186" s="82">
        <f t="shared" si="1115"/>
        <v>0</v>
      </c>
      <c r="CZ186" s="82">
        <f t="shared" si="1116"/>
        <v>0</v>
      </c>
      <c r="DA186" s="82">
        <f t="shared" si="1117"/>
        <v>8</v>
      </c>
      <c r="DB186" s="82">
        <f t="shared" si="1118"/>
        <v>1465200</v>
      </c>
      <c r="DC186" s="91"/>
      <c r="DD186" s="82"/>
      <c r="DE186" s="82"/>
      <c r="DF186" s="82">
        <f t="shared" si="1071"/>
        <v>0</v>
      </c>
      <c r="DG186" s="82">
        <f t="shared" si="1119"/>
        <v>0</v>
      </c>
      <c r="DH186" s="82"/>
      <c r="DI186" s="82">
        <f t="shared" si="1120"/>
        <v>0</v>
      </c>
      <c r="DJ186" s="82">
        <f t="shared" si="1121"/>
        <v>0</v>
      </c>
      <c r="DK186" s="82"/>
      <c r="DL186" s="82">
        <f t="shared" si="1122"/>
        <v>0</v>
      </c>
      <c r="DM186" s="82">
        <f t="shared" si="1123"/>
        <v>0</v>
      </c>
      <c r="DN186" s="82">
        <f t="shared" si="1124"/>
        <v>8</v>
      </c>
      <c r="DO186" s="82">
        <f t="shared" si="1125"/>
        <v>1465200</v>
      </c>
      <c r="DP186" s="82"/>
      <c r="DQ186" s="82"/>
      <c r="DR186" s="82">
        <f t="shared" si="1126"/>
        <v>0</v>
      </c>
      <c r="DS186" s="82">
        <f t="shared" si="1127"/>
        <v>0</v>
      </c>
      <c r="DT186" s="82"/>
      <c r="DU186" s="82"/>
      <c r="DV186" s="82"/>
      <c r="DW186" s="82"/>
      <c r="DX186" s="82">
        <f t="shared" si="1128"/>
        <v>0</v>
      </c>
      <c r="DY186" s="82">
        <f t="shared" si="1129"/>
        <v>0</v>
      </c>
      <c r="DZ186" s="82">
        <f t="shared" si="1130"/>
        <v>8</v>
      </c>
      <c r="EA186" s="82">
        <f t="shared" si="1131"/>
        <v>1465200</v>
      </c>
      <c r="EB186" s="82"/>
      <c r="EC186" s="82"/>
      <c r="ED186" s="82">
        <f t="shared" si="1132"/>
        <v>0</v>
      </c>
      <c r="EE186" s="82">
        <f t="shared" si="1133"/>
        <v>0</v>
      </c>
      <c r="EF186" s="82"/>
      <c r="EG186" s="82"/>
      <c r="EH186" s="82"/>
      <c r="EI186" s="82"/>
      <c r="EJ186" s="82">
        <f t="shared" si="1134"/>
        <v>0</v>
      </c>
      <c r="EK186" s="82">
        <f t="shared" si="1135"/>
        <v>0</v>
      </c>
      <c r="EL186" s="82">
        <f t="shared" si="1136"/>
        <v>8</v>
      </c>
      <c r="EM186" s="82">
        <f t="shared" si="1137"/>
        <v>1465200</v>
      </c>
      <c r="EN186" s="82">
        <f t="shared" si="1138"/>
        <v>0</v>
      </c>
      <c r="EO186" s="82">
        <f t="shared" si="1139"/>
        <v>0</v>
      </c>
      <c r="EP186" s="82">
        <f t="shared" si="1140"/>
        <v>8</v>
      </c>
      <c r="EQ186" s="82">
        <f t="shared" si="1141"/>
        <v>1465200</v>
      </c>
      <c r="ER186" s="82"/>
      <c r="ES186" s="82"/>
      <c r="ET186" s="82">
        <f t="shared" si="1142"/>
        <v>0</v>
      </c>
      <c r="EU186" s="82">
        <f t="shared" si="1143"/>
        <v>0</v>
      </c>
      <c r="EV186" s="82"/>
      <c r="EW186" s="82"/>
      <c r="EX186" s="82"/>
      <c r="EY186" s="82"/>
      <c r="EZ186" s="82">
        <f t="shared" si="1144"/>
        <v>0</v>
      </c>
      <c r="FA186" s="82">
        <f t="shared" si="1145"/>
        <v>0</v>
      </c>
      <c r="FB186" s="82">
        <f t="shared" si="1146"/>
        <v>8</v>
      </c>
      <c r="FC186" s="82">
        <f t="shared" si="1147"/>
        <v>1465200</v>
      </c>
      <c r="FD186" s="82"/>
      <c r="FE186" s="82"/>
      <c r="FF186" s="82">
        <f t="shared" si="1148"/>
        <v>0</v>
      </c>
      <c r="FG186" s="82">
        <f t="shared" si="1149"/>
        <v>0</v>
      </c>
      <c r="FH186" s="82"/>
      <c r="FI186" s="82"/>
      <c r="FJ186" s="82"/>
      <c r="FK186" s="82"/>
      <c r="FL186" s="82">
        <f t="shared" si="1150"/>
        <v>0</v>
      </c>
      <c r="FM186" s="82">
        <f t="shared" si="1151"/>
        <v>0</v>
      </c>
      <c r="FN186" s="82">
        <f t="shared" si="1152"/>
        <v>8</v>
      </c>
      <c r="FO186" s="82">
        <f t="shared" si="1153"/>
        <v>1465200</v>
      </c>
      <c r="FP186" s="82"/>
      <c r="FQ186" s="82"/>
      <c r="FR186" s="82">
        <f t="shared" si="1154"/>
        <v>0</v>
      </c>
      <c r="FS186" s="82">
        <f t="shared" si="1155"/>
        <v>0</v>
      </c>
      <c r="FT186" s="82"/>
      <c r="FU186" s="82"/>
      <c r="FV186" s="82"/>
      <c r="FW186" s="82"/>
      <c r="FX186" s="82">
        <f t="shared" si="1156"/>
        <v>0</v>
      </c>
      <c r="FY186" s="82">
        <f t="shared" si="1157"/>
        <v>0</v>
      </c>
      <c r="FZ186" s="82">
        <f t="shared" si="1158"/>
        <v>8</v>
      </c>
      <c r="GA186" s="82">
        <f t="shared" si="1159"/>
        <v>1465200</v>
      </c>
      <c r="GB186" s="82">
        <f t="shared" si="1160"/>
        <v>0</v>
      </c>
      <c r="GC186" s="82">
        <f t="shared" si="1161"/>
        <v>0</v>
      </c>
      <c r="GD186" s="82">
        <f t="shared" si="1162"/>
        <v>8</v>
      </c>
      <c r="GE186" s="82">
        <f t="shared" si="1163"/>
        <v>1465200</v>
      </c>
      <c r="GF186" s="85"/>
    </row>
    <row r="187" ht="29.25" customHeight="1">
      <c r="A187" s="76">
        <v>19.0</v>
      </c>
      <c r="B187" s="77"/>
      <c r="C187" s="77" t="s">
        <v>234</v>
      </c>
      <c r="D187" s="78" t="s">
        <v>134</v>
      </c>
      <c r="E187" s="79">
        <v>183150.0</v>
      </c>
      <c r="F187" s="61" t="s">
        <v>110</v>
      </c>
      <c r="G187" s="81">
        <v>24.0</v>
      </c>
      <c r="H187" s="82">
        <v>4395600.0</v>
      </c>
      <c r="I187" s="82"/>
      <c r="J187" s="82"/>
      <c r="K187" s="82">
        <f t="shared" si="1075"/>
        <v>0</v>
      </c>
      <c r="L187" s="82">
        <f t="shared" si="1076"/>
        <v>0</v>
      </c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>
        <f t="shared" si="1077"/>
        <v>0</v>
      </c>
      <c r="AC187" s="82">
        <f t="shared" si="1078"/>
        <v>0</v>
      </c>
      <c r="AD187" s="82">
        <f t="shared" si="1079"/>
        <v>24</v>
      </c>
      <c r="AE187" s="82">
        <f t="shared" si="1080"/>
        <v>4395600</v>
      </c>
      <c r="AF187" s="82"/>
      <c r="AG187" s="82"/>
      <c r="AH187" s="82">
        <f t="shared" si="1081"/>
        <v>0</v>
      </c>
      <c r="AI187" s="82">
        <f t="shared" si="1082"/>
        <v>0</v>
      </c>
      <c r="AJ187" s="82"/>
      <c r="AK187" s="82"/>
      <c r="AL187" s="82"/>
      <c r="AM187" s="82"/>
      <c r="AN187" s="82">
        <f t="shared" si="1083"/>
        <v>0</v>
      </c>
      <c r="AO187" s="82">
        <f t="shared" si="1084"/>
        <v>0</v>
      </c>
      <c r="AP187" s="82">
        <f t="shared" si="1085"/>
        <v>24</v>
      </c>
      <c r="AQ187" s="82">
        <f t="shared" si="1086"/>
        <v>4395600</v>
      </c>
      <c r="AR187" s="82"/>
      <c r="AS187" s="82"/>
      <c r="AT187" s="82"/>
      <c r="AU187" s="82">
        <f t="shared" si="1087"/>
        <v>0</v>
      </c>
      <c r="AV187" s="82">
        <f t="shared" si="1088"/>
        <v>0</v>
      </c>
      <c r="AW187" s="82"/>
      <c r="AX187" s="82"/>
      <c r="AY187" s="82"/>
      <c r="AZ187" s="82"/>
      <c r="BA187" s="82">
        <f t="shared" si="1089"/>
        <v>0</v>
      </c>
      <c r="BB187" s="82">
        <f t="shared" si="1090"/>
        <v>0</v>
      </c>
      <c r="BC187" s="82">
        <f t="shared" si="1091"/>
        <v>24</v>
      </c>
      <c r="BD187" s="82">
        <f t="shared" si="1092"/>
        <v>4395600</v>
      </c>
      <c r="BE187" s="82">
        <f t="shared" si="1093"/>
        <v>0</v>
      </c>
      <c r="BF187" s="82">
        <f t="shared" si="1094"/>
        <v>0</v>
      </c>
      <c r="BG187" s="82">
        <f t="shared" si="1095"/>
        <v>24</v>
      </c>
      <c r="BH187" s="82">
        <f t="shared" si="1096"/>
        <v>4395600</v>
      </c>
      <c r="BI187" s="82"/>
      <c r="BJ187" s="83"/>
      <c r="BK187" s="82">
        <f t="shared" si="1097"/>
        <v>0</v>
      </c>
      <c r="BL187" s="82">
        <f t="shared" si="1098"/>
        <v>0</v>
      </c>
      <c r="BM187" s="82"/>
      <c r="BN187" s="82"/>
      <c r="BO187" s="82"/>
      <c r="BP187" s="82"/>
      <c r="BQ187" s="82"/>
      <c r="BR187" s="82"/>
      <c r="BS187" s="82"/>
      <c r="BT187" s="83">
        <v>5.0</v>
      </c>
      <c r="BU187" s="82"/>
      <c r="BV187" s="82"/>
      <c r="BW187" s="82">
        <f t="shared" si="1099"/>
        <v>5</v>
      </c>
      <c r="BX187" s="82">
        <f t="shared" si="1100"/>
        <v>915750</v>
      </c>
      <c r="BY187" s="82">
        <f t="shared" si="1101"/>
        <v>19</v>
      </c>
      <c r="BZ187" s="82">
        <f t="shared" si="1102"/>
        <v>3479850</v>
      </c>
      <c r="CA187" s="82"/>
      <c r="CB187" s="82"/>
      <c r="CC187" s="82">
        <f t="shared" si="1103"/>
        <v>0</v>
      </c>
      <c r="CD187" s="82">
        <f t="shared" si="1104"/>
        <v>0</v>
      </c>
      <c r="CE187" s="83">
        <v>10.0</v>
      </c>
      <c r="CF187" s="83"/>
      <c r="CG187" s="82"/>
      <c r="CH187" s="82"/>
      <c r="CI187" s="82">
        <f t="shared" si="1105"/>
        <v>10</v>
      </c>
      <c r="CJ187" s="82">
        <f t="shared" si="1106"/>
        <v>1831500</v>
      </c>
      <c r="CK187" s="82">
        <f t="shared" si="1107"/>
        <v>9</v>
      </c>
      <c r="CL187" s="82">
        <f t="shared" si="1108"/>
        <v>1648350</v>
      </c>
      <c r="CM187" s="82"/>
      <c r="CN187" s="82"/>
      <c r="CO187" s="82">
        <f t="shared" si="1109"/>
        <v>0</v>
      </c>
      <c r="CP187" s="82">
        <f t="shared" si="1110"/>
        <v>0</v>
      </c>
      <c r="CQ187" s="82"/>
      <c r="CR187" s="82"/>
      <c r="CS187" s="82"/>
      <c r="CT187" s="82"/>
      <c r="CU187" s="82">
        <f t="shared" si="1111"/>
        <v>0</v>
      </c>
      <c r="CV187" s="82">
        <f t="shared" si="1112"/>
        <v>0</v>
      </c>
      <c r="CW187" s="82">
        <f t="shared" si="1113"/>
        <v>9</v>
      </c>
      <c r="CX187" s="82">
        <f t="shared" si="1114"/>
        <v>1648350</v>
      </c>
      <c r="CY187" s="82">
        <f t="shared" si="1115"/>
        <v>0</v>
      </c>
      <c r="CZ187" s="82">
        <f t="shared" si="1116"/>
        <v>15</v>
      </c>
      <c r="DA187" s="82">
        <f t="shared" si="1117"/>
        <v>9</v>
      </c>
      <c r="DB187" s="82">
        <f t="shared" si="1118"/>
        <v>1648350</v>
      </c>
      <c r="DC187" s="91"/>
      <c r="DD187" s="82"/>
      <c r="DE187" s="82"/>
      <c r="DF187" s="82">
        <f t="shared" si="1071"/>
        <v>0</v>
      </c>
      <c r="DG187" s="82">
        <f t="shared" si="1119"/>
        <v>0</v>
      </c>
      <c r="DH187" s="82"/>
      <c r="DI187" s="82">
        <f t="shared" si="1120"/>
        <v>0</v>
      </c>
      <c r="DJ187" s="82">
        <f t="shared" si="1121"/>
        <v>0</v>
      </c>
      <c r="DK187" s="82"/>
      <c r="DL187" s="82">
        <f t="shared" si="1122"/>
        <v>0</v>
      </c>
      <c r="DM187" s="82">
        <f t="shared" si="1123"/>
        <v>0</v>
      </c>
      <c r="DN187" s="82">
        <f t="shared" si="1124"/>
        <v>9</v>
      </c>
      <c r="DO187" s="82">
        <f t="shared" si="1125"/>
        <v>1648350</v>
      </c>
      <c r="DP187" s="82"/>
      <c r="DQ187" s="82"/>
      <c r="DR187" s="82">
        <f t="shared" si="1126"/>
        <v>0</v>
      </c>
      <c r="DS187" s="82">
        <f t="shared" si="1127"/>
        <v>0</v>
      </c>
      <c r="DT187" s="82"/>
      <c r="DU187" s="82"/>
      <c r="DV187" s="82"/>
      <c r="DW187" s="82"/>
      <c r="DX187" s="82">
        <f t="shared" si="1128"/>
        <v>0</v>
      </c>
      <c r="DY187" s="82">
        <f t="shared" si="1129"/>
        <v>0</v>
      </c>
      <c r="DZ187" s="82">
        <f t="shared" si="1130"/>
        <v>9</v>
      </c>
      <c r="EA187" s="82">
        <f t="shared" si="1131"/>
        <v>1648350</v>
      </c>
      <c r="EB187" s="82"/>
      <c r="EC187" s="82"/>
      <c r="ED187" s="82">
        <f t="shared" si="1132"/>
        <v>0</v>
      </c>
      <c r="EE187" s="82">
        <f t="shared" si="1133"/>
        <v>0</v>
      </c>
      <c r="EF187" s="82"/>
      <c r="EG187" s="82"/>
      <c r="EH187" s="82"/>
      <c r="EI187" s="82"/>
      <c r="EJ187" s="82">
        <f t="shared" si="1134"/>
        <v>0</v>
      </c>
      <c r="EK187" s="82">
        <f t="shared" si="1135"/>
        <v>0</v>
      </c>
      <c r="EL187" s="82">
        <f t="shared" si="1136"/>
        <v>9</v>
      </c>
      <c r="EM187" s="82">
        <f t="shared" si="1137"/>
        <v>1648350</v>
      </c>
      <c r="EN187" s="82">
        <f t="shared" si="1138"/>
        <v>0</v>
      </c>
      <c r="EO187" s="82">
        <f t="shared" si="1139"/>
        <v>0</v>
      </c>
      <c r="EP187" s="82">
        <f t="shared" si="1140"/>
        <v>9</v>
      </c>
      <c r="EQ187" s="82">
        <f t="shared" si="1141"/>
        <v>1648350</v>
      </c>
      <c r="ER187" s="82"/>
      <c r="ES187" s="82"/>
      <c r="ET187" s="82">
        <f t="shared" si="1142"/>
        <v>0</v>
      </c>
      <c r="EU187" s="82">
        <f t="shared" si="1143"/>
        <v>0</v>
      </c>
      <c r="EV187" s="82"/>
      <c r="EW187" s="82"/>
      <c r="EX187" s="82"/>
      <c r="EY187" s="82"/>
      <c r="EZ187" s="82">
        <f t="shared" si="1144"/>
        <v>0</v>
      </c>
      <c r="FA187" s="82">
        <f t="shared" si="1145"/>
        <v>0</v>
      </c>
      <c r="FB187" s="82">
        <f t="shared" si="1146"/>
        <v>9</v>
      </c>
      <c r="FC187" s="82">
        <f t="shared" si="1147"/>
        <v>1648350</v>
      </c>
      <c r="FD187" s="82"/>
      <c r="FE187" s="82"/>
      <c r="FF187" s="82">
        <f t="shared" si="1148"/>
        <v>0</v>
      </c>
      <c r="FG187" s="82">
        <f t="shared" si="1149"/>
        <v>0</v>
      </c>
      <c r="FH187" s="82"/>
      <c r="FI187" s="82"/>
      <c r="FJ187" s="82"/>
      <c r="FK187" s="82"/>
      <c r="FL187" s="82">
        <f t="shared" si="1150"/>
        <v>0</v>
      </c>
      <c r="FM187" s="82">
        <f t="shared" si="1151"/>
        <v>0</v>
      </c>
      <c r="FN187" s="82">
        <f t="shared" si="1152"/>
        <v>9</v>
      </c>
      <c r="FO187" s="82">
        <f t="shared" si="1153"/>
        <v>1648350</v>
      </c>
      <c r="FP187" s="82"/>
      <c r="FQ187" s="82"/>
      <c r="FR187" s="82">
        <f t="shared" si="1154"/>
        <v>0</v>
      </c>
      <c r="FS187" s="82">
        <f t="shared" si="1155"/>
        <v>0</v>
      </c>
      <c r="FT187" s="82"/>
      <c r="FU187" s="82"/>
      <c r="FV187" s="82"/>
      <c r="FW187" s="82"/>
      <c r="FX187" s="82">
        <f t="shared" si="1156"/>
        <v>0</v>
      </c>
      <c r="FY187" s="82">
        <f t="shared" si="1157"/>
        <v>0</v>
      </c>
      <c r="FZ187" s="82">
        <f t="shared" si="1158"/>
        <v>9</v>
      </c>
      <c r="GA187" s="82">
        <f t="shared" si="1159"/>
        <v>1648350</v>
      </c>
      <c r="GB187" s="82">
        <f t="shared" si="1160"/>
        <v>0</v>
      </c>
      <c r="GC187" s="82">
        <f t="shared" si="1161"/>
        <v>0</v>
      </c>
      <c r="GD187" s="82">
        <f t="shared" si="1162"/>
        <v>9</v>
      </c>
      <c r="GE187" s="82">
        <f t="shared" si="1163"/>
        <v>1648350</v>
      </c>
      <c r="GF187" s="85"/>
    </row>
    <row r="188" ht="29.25" customHeight="1">
      <c r="A188" s="76">
        <v>20.0</v>
      </c>
      <c r="B188" s="77"/>
      <c r="C188" s="77" t="s">
        <v>235</v>
      </c>
      <c r="D188" s="78" t="s">
        <v>134</v>
      </c>
      <c r="E188" s="79">
        <v>183150.0</v>
      </c>
      <c r="F188" s="61" t="s">
        <v>110</v>
      </c>
      <c r="G188" s="81">
        <v>10.0</v>
      </c>
      <c r="H188" s="82">
        <v>1831500.0</v>
      </c>
      <c r="I188" s="82"/>
      <c r="J188" s="82"/>
      <c r="K188" s="82">
        <f t="shared" si="1075"/>
        <v>0</v>
      </c>
      <c r="L188" s="82">
        <f t="shared" si="1076"/>
        <v>0</v>
      </c>
      <c r="M188" s="82"/>
      <c r="N188" s="82"/>
      <c r="O188" s="82"/>
      <c r="P188" s="83">
        <v>2.0</v>
      </c>
      <c r="Q188" s="82"/>
      <c r="R188" s="82"/>
      <c r="S188" s="82"/>
      <c r="T188" s="82"/>
      <c r="U188" s="83">
        <v>2.0</v>
      </c>
      <c r="V188" s="83">
        <v>1.0</v>
      </c>
      <c r="W188" s="82"/>
      <c r="X188" s="82"/>
      <c r="Y188" s="82"/>
      <c r="Z188" s="82"/>
      <c r="AA188" s="82"/>
      <c r="AB188" s="82">
        <f t="shared" si="1077"/>
        <v>5</v>
      </c>
      <c r="AC188" s="82">
        <f t="shared" si="1078"/>
        <v>915750</v>
      </c>
      <c r="AD188" s="82">
        <f t="shared" si="1079"/>
        <v>5</v>
      </c>
      <c r="AE188" s="82">
        <f t="shared" si="1080"/>
        <v>915750</v>
      </c>
      <c r="AF188" s="82"/>
      <c r="AG188" s="82"/>
      <c r="AH188" s="82">
        <f t="shared" si="1081"/>
        <v>0</v>
      </c>
      <c r="AI188" s="82">
        <f t="shared" si="1082"/>
        <v>0</v>
      </c>
      <c r="AJ188" s="82"/>
      <c r="AK188" s="82"/>
      <c r="AL188" s="82"/>
      <c r="AM188" s="82"/>
      <c r="AN188" s="82">
        <f t="shared" si="1083"/>
        <v>0</v>
      </c>
      <c r="AO188" s="82">
        <f t="shared" si="1084"/>
        <v>0</v>
      </c>
      <c r="AP188" s="82">
        <f t="shared" si="1085"/>
        <v>5</v>
      </c>
      <c r="AQ188" s="82">
        <f t="shared" si="1086"/>
        <v>915750</v>
      </c>
      <c r="AR188" s="82"/>
      <c r="AS188" s="82"/>
      <c r="AT188" s="82"/>
      <c r="AU188" s="82">
        <f t="shared" si="1087"/>
        <v>0</v>
      </c>
      <c r="AV188" s="82">
        <f t="shared" si="1088"/>
        <v>0</v>
      </c>
      <c r="AW188" s="82"/>
      <c r="AX188" s="82"/>
      <c r="AY188" s="82"/>
      <c r="AZ188" s="82"/>
      <c r="BA188" s="82">
        <f t="shared" si="1089"/>
        <v>0</v>
      </c>
      <c r="BB188" s="82">
        <f t="shared" si="1090"/>
        <v>0</v>
      </c>
      <c r="BC188" s="82">
        <f t="shared" si="1091"/>
        <v>5</v>
      </c>
      <c r="BD188" s="82">
        <f t="shared" si="1092"/>
        <v>915750</v>
      </c>
      <c r="BE188" s="82">
        <f t="shared" si="1093"/>
        <v>0</v>
      </c>
      <c r="BF188" s="82">
        <f t="shared" si="1094"/>
        <v>5</v>
      </c>
      <c r="BG188" s="82">
        <f t="shared" si="1095"/>
        <v>5</v>
      </c>
      <c r="BH188" s="82">
        <f t="shared" si="1096"/>
        <v>915750</v>
      </c>
      <c r="BI188" s="82"/>
      <c r="BJ188" s="83"/>
      <c r="BK188" s="82">
        <f t="shared" si="1097"/>
        <v>0</v>
      </c>
      <c r="BL188" s="82">
        <f t="shared" si="1098"/>
        <v>0</v>
      </c>
      <c r="BM188" s="82"/>
      <c r="BN188" s="83">
        <v>2.0</v>
      </c>
      <c r="BO188" s="82"/>
      <c r="BP188" s="82"/>
      <c r="BQ188" s="83">
        <v>1.0</v>
      </c>
      <c r="BR188" s="82"/>
      <c r="BS188" s="82"/>
      <c r="BT188" s="82"/>
      <c r="BU188" s="82"/>
      <c r="BV188" s="83">
        <v>0.0</v>
      </c>
      <c r="BW188" s="82">
        <f t="shared" si="1099"/>
        <v>3</v>
      </c>
      <c r="BX188" s="82">
        <f t="shared" si="1100"/>
        <v>549450</v>
      </c>
      <c r="BY188" s="82">
        <f t="shared" si="1101"/>
        <v>2</v>
      </c>
      <c r="BZ188" s="82">
        <f t="shared" si="1102"/>
        <v>366300</v>
      </c>
      <c r="CA188" s="82"/>
      <c r="CB188" s="82"/>
      <c r="CC188" s="82">
        <f t="shared" si="1103"/>
        <v>0</v>
      </c>
      <c r="CD188" s="82">
        <f t="shared" si="1104"/>
        <v>0</v>
      </c>
      <c r="CE188" s="82"/>
      <c r="CF188" s="82"/>
      <c r="CG188" s="82"/>
      <c r="CH188" s="82"/>
      <c r="CI188" s="82">
        <f t="shared" si="1105"/>
        <v>0</v>
      </c>
      <c r="CJ188" s="82">
        <f t="shared" si="1106"/>
        <v>0</v>
      </c>
      <c r="CK188" s="82">
        <f t="shared" si="1107"/>
        <v>2</v>
      </c>
      <c r="CL188" s="82">
        <f t="shared" si="1108"/>
        <v>366300</v>
      </c>
      <c r="CM188" s="82"/>
      <c r="CN188" s="82"/>
      <c r="CO188" s="82">
        <f t="shared" si="1109"/>
        <v>0</v>
      </c>
      <c r="CP188" s="82">
        <f t="shared" si="1110"/>
        <v>0</v>
      </c>
      <c r="CQ188" s="82"/>
      <c r="CR188" s="82"/>
      <c r="CS188" s="82"/>
      <c r="CT188" s="82"/>
      <c r="CU188" s="82">
        <f t="shared" si="1111"/>
        <v>0</v>
      </c>
      <c r="CV188" s="82">
        <f t="shared" si="1112"/>
        <v>0</v>
      </c>
      <c r="CW188" s="82">
        <f t="shared" si="1113"/>
        <v>2</v>
      </c>
      <c r="CX188" s="82">
        <f t="shared" si="1114"/>
        <v>366300</v>
      </c>
      <c r="CY188" s="82">
        <f t="shared" si="1115"/>
        <v>0</v>
      </c>
      <c r="CZ188" s="82">
        <f t="shared" si="1116"/>
        <v>3</v>
      </c>
      <c r="DA188" s="82">
        <f t="shared" si="1117"/>
        <v>2</v>
      </c>
      <c r="DB188" s="82">
        <f t="shared" si="1118"/>
        <v>366300</v>
      </c>
      <c r="DC188" s="91"/>
      <c r="DD188" s="82"/>
      <c r="DE188" s="82"/>
      <c r="DF188" s="82">
        <f t="shared" si="1071"/>
        <v>0</v>
      </c>
      <c r="DG188" s="82">
        <f t="shared" si="1119"/>
        <v>0</v>
      </c>
      <c r="DH188" s="82"/>
      <c r="DI188" s="82">
        <f t="shared" si="1120"/>
        <v>0</v>
      </c>
      <c r="DJ188" s="82">
        <f t="shared" si="1121"/>
        <v>0</v>
      </c>
      <c r="DK188" s="82"/>
      <c r="DL188" s="82">
        <f t="shared" si="1122"/>
        <v>0</v>
      </c>
      <c r="DM188" s="82">
        <f t="shared" si="1123"/>
        <v>0</v>
      </c>
      <c r="DN188" s="82">
        <f t="shared" si="1124"/>
        <v>2</v>
      </c>
      <c r="DO188" s="82">
        <f t="shared" si="1125"/>
        <v>366300</v>
      </c>
      <c r="DP188" s="82"/>
      <c r="DQ188" s="82"/>
      <c r="DR188" s="82">
        <f t="shared" si="1126"/>
        <v>0</v>
      </c>
      <c r="DS188" s="82">
        <f t="shared" si="1127"/>
        <v>0</v>
      </c>
      <c r="DT188" s="82"/>
      <c r="DU188" s="82"/>
      <c r="DV188" s="82"/>
      <c r="DW188" s="82"/>
      <c r="DX188" s="82">
        <f t="shared" si="1128"/>
        <v>0</v>
      </c>
      <c r="DY188" s="82">
        <f t="shared" si="1129"/>
        <v>0</v>
      </c>
      <c r="DZ188" s="82">
        <f t="shared" si="1130"/>
        <v>2</v>
      </c>
      <c r="EA188" s="82">
        <f t="shared" si="1131"/>
        <v>366300</v>
      </c>
      <c r="EB188" s="82"/>
      <c r="EC188" s="82"/>
      <c r="ED188" s="82">
        <f t="shared" si="1132"/>
        <v>0</v>
      </c>
      <c r="EE188" s="82">
        <f t="shared" si="1133"/>
        <v>0</v>
      </c>
      <c r="EF188" s="82"/>
      <c r="EG188" s="82"/>
      <c r="EH188" s="82"/>
      <c r="EI188" s="82"/>
      <c r="EJ188" s="82">
        <f t="shared" si="1134"/>
        <v>0</v>
      </c>
      <c r="EK188" s="82">
        <f t="shared" si="1135"/>
        <v>0</v>
      </c>
      <c r="EL188" s="82">
        <f t="shared" si="1136"/>
        <v>2</v>
      </c>
      <c r="EM188" s="82">
        <f t="shared" si="1137"/>
        <v>366300</v>
      </c>
      <c r="EN188" s="82">
        <f t="shared" si="1138"/>
        <v>0</v>
      </c>
      <c r="EO188" s="82">
        <f t="shared" si="1139"/>
        <v>0</v>
      </c>
      <c r="EP188" s="82">
        <f t="shared" si="1140"/>
        <v>2</v>
      </c>
      <c r="EQ188" s="82">
        <f t="shared" si="1141"/>
        <v>366300</v>
      </c>
      <c r="ER188" s="82"/>
      <c r="ES188" s="82"/>
      <c r="ET188" s="82">
        <f t="shared" si="1142"/>
        <v>0</v>
      </c>
      <c r="EU188" s="82">
        <f t="shared" si="1143"/>
        <v>0</v>
      </c>
      <c r="EV188" s="82"/>
      <c r="EW188" s="82"/>
      <c r="EX188" s="82"/>
      <c r="EY188" s="82"/>
      <c r="EZ188" s="82">
        <f t="shared" si="1144"/>
        <v>0</v>
      </c>
      <c r="FA188" s="82">
        <f t="shared" si="1145"/>
        <v>0</v>
      </c>
      <c r="FB188" s="82">
        <f t="shared" si="1146"/>
        <v>2</v>
      </c>
      <c r="FC188" s="82">
        <f t="shared" si="1147"/>
        <v>366300</v>
      </c>
      <c r="FD188" s="82"/>
      <c r="FE188" s="82"/>
      <c r="FF188" s="82">
        <f t="shared" si="1148"/>
        <v>0</v>
      </c>
      <c r="FG188" s="82">
        <f t="shared" si="1149"/>
        <v>0</v>
      </c>
      <c r="FH188" s="82"/>
      <c r="FI188" s="82"/>
      <c r="FJ188" s="82"/>
      <c r="FK188" s="82"/>
      <c r="FL188" s="82">
        <f t="shared" si="1150"/>
        <v>0</v>
      </c>
      <c r="FM188" s="82">
        <f t="shared" si="1151"/>
        <v>0</v>
      </c>
      <c r="FN188" s="82">
        <f t="shared" si="1152"/>
        <v>2</v>
      </c>
      <c r="FO188" s="82">
        <f t="shared" si="1153"/>
        <v>366300</v>
      </c>
      <c r="FP188" s="82"/>
      <c r="FQ188" s="82"/>
      <c r="FR188" s="82">
        <f t="shared" si="1154"/>
        <v>0</v>
      </c>
      <c r="FS188" s="82">
        <f t="shared" si="1155"/>
        <v>0</v>
      </c>
      <c r="FT188" s="82"/>
      <c r="FU188" s="82"/>
      <c r="FV188" s="82"/>
      <c r="FW188" s="82"/>
      <c r="FX188" s="82">
        <f t="shared" si="1156"/>
        <v>0</v>
      </c>
      <c r="FY188" s="82">
        <f t="shared" si="1157"/>
        <v>0</v>
      </c>
      <c r="FZ188" s="82">
        <f t="shared" si="1158"/>
        <v>2</v>
      </c>
      <c r="GA188" s="82">
        <f t="shared" si="1159"/>
        <v>366300</v>
      </c>
      <c r="GB188" s="82">
        <f t="shared" si="1160"/>
        <v>0</v>
      </c>
      <c r="GC188" s="82">
        <f t="shared" si="1161"/>
        <v>0</v>
      </c>
      <c r="GD188" s="82">
        <f t="shared" si="1162"/>
        <v>2</v>
      </c>
      <c r="GE188" s="82">
        <f t="shared" si="1163"/>
        <v>366300</v>
      </c>
      <c r="GF188" s="85"/>
    </row>
    <row r="189" ht="29.25" customHeight="1">
      <c r="A189" s="76">
        <v>21.0</v>
      </c>
      <c r="B189" s="77"/>
      <c r="C189" s="77" t="s">
        <v>236</v>
      </c>
      <c r="D189" s="78" t="s">
        <v>134</v>
      </c>
      <c r="E189" s="79">
        <v>165000.0</v>
      </c>
      <c r="F189" s="61" t="s">
        <v>110</v>
      </c>
      <c r="G189" s="81">
        <v>4.0</v>
      </c>
      <c r="H189" s="82">
        <v>660000.0</v>
      </c>
      <c r="I189" s="82"/>
      <c r="J189" s="82"/>
      <c r="K189" s="82">
        <f t="shared" si="1075"/>
        <v>0</v>
      </c>
      <c r="L189" s="82">
        <f t="shared" si="1076"/>
        <v>0</v>
      </c>
      <c r="M189" s="82"/>
      <c r="N189" s="82"/>
      <c r="O189" s="82"/>
      <c r="P189" s="82"/>
      <c r="Q189" s="82"/>
      <c r="R189" s="82"/>
      <c r="S189" s="82"/>
      <c r="T189" s="82"/>
      <c r="U189" s="83">
        <v>1.0</v>
      </c>
      <c r="V189" s="83">
        <v>1.0</v>
      </c>
      <c r="W189" s="82"/>
      <c r="X189" s="82"/>
      <c r="Y189" s="82"/>
      <c r="Z189" s="82"/>
      <c r="AA189" s="82"/>
      <c r="AB189" s="82">
        <f t="shared" si="1077"/>
        <v>2</v>
      </c>
      <c r="AC189" s="82">
        <f t="shared" si="1078"/>
        <v>330000</v>
      </c>
      <c r="AD189" s="82">
        <f t="shared" si="1079"/>
        <v>2</v>
      </c>
      <c r="AE189" s="82">
        <f t="shared" si="1080"/>
        <v>330000</v>
      </c>
      <c r="AF189" s="82"/>
      <c r="AG189" s="82"/>
      <c r="AH189" s="82">
        <f t="shared" si="1081"/>
        <v>0</v>
      </c>
      <c r="AI189" s="82">
        <f t="shared" si="1082"/>
        <v>0</v>
      </c>
      <c r="AJ189" s="82"/>
      <c r="AK189" s="82"/>
      <c r="AL189" s="82"/>
      <c r="AM189" s="82"/>
      <c r="AN189" s="82">
        <f t="shared" si="1083"/>
        <v>0</v>
      </c>
      <c r="AO189" s="82">
        <f t="shared" si="1084"/>
        <v>0</v>
      </c>
      <c r="AP189" s="82">
        <f t="shared" si="1085"/>
        <v>2</v>
      </c>
      <c r="AQ189" s="82">
        <f t="shared" si="1086"/>
        <v>330000</v>
      </c>
      <c r="AR189" s="82"/>
      <c r="AS189" s="82"/>
      <c r="AT189" s="82"/>
      <c r="AU189" s="82">
        <f t="shared" si="1087"/>
        <v>0</v>
      </c>
      <c r="AV189" s="82">
        <f t="shared" si="1088"/>
        <v>0</v>
      </c>
      <c r="AW189" s="82"/>
      <c r="AX189" s="82"/>
      <c r="AY189" s="82"/>
      <c r="AZ189" s="82"/>
      <c r="BA189" s="82">
        <f t="shared" si="1089"/>
        <v>0</v>
      </c>
      <c r="BB189" s="82">
        <f t="shared" si="1090"/>
        <v>0</v>
      </c>
      <c r="BC189" s="82">
        <f t="shared" si="1091"/>
        <v>2</v>
      </c>
      <c r="BD189" s="82">
        <f t="shared" si="1092"/>
        <v>330000</v>
      </c>
      <c r="BE189" s="82">
        <f t="shared" si="1093"/>
        <v>0</v>
      </c>
      <c r="BF189" s="82">
        <f t="shared" si="1094"/>
        <v>2</v>
      </c>
      <c r="BG189" s="82">
        <f t="shared" si="1095"/>
        <v>2</v>
      </c>
      <c r="BH189" s="82">
        <f t="shared" si="1096"/>
        <v>330000</v>
      </c>
      <c r="BI189" s="82"/>
      <c r="BJ189" s="83"/>
      <c r="BK189" s="82">
        <f t="shared" si="1097"/>
        <v>0</v>
      </c>
      <c r="BL189" s="82">
        <f t="shared" si="1098"/>
        <v>0</v>
      </c>
      <c r="BM189" s="82"/>
      <c r="BN189" s="83">
        <v>1.0</v>
      </c>
      <c r="BO189" s="82"/>
      <c r="BP189" s="82"/>
      <c r="BQ189" s="83">
        <v>1.0</v>
      </c>
      <c r="BR189" s="82"/>
      <c r="BS189" s="82"/>
      <c r="BT189" s="82"/>
      <c r="BU189" s="82"/>
      <c r="BV189" s="82"/>
      <c r="BW189" s="82">
        <f t="shared" si="1099"/>
        <v>2</v>
      </c>
      <c r="BX189" s="82">
        <f t="shared" si="1100"/>
        <v>330000</v>
      </c>
      <c r="BY189" s="82">
        <f t="shared" si="1101"/>
        <v>0</v>
      </c>
      <c r="BZ189" s="82">
        <f t="shared" si="1102"/>
        <v>0</v>
      </c>
      <c r="CA189" s="82"/>
      <c r="CB189" s="82"/>
      <c r="CC189" s="82">
        <f t="shared" si="1103"/>
        <v>0</v>
      </c>
      <c r="CD189" s="82">
        <f t="shared" si="1104"/>
        <v>0</v>
      </c>
      <c r="CE189" s="82"/>
      <c r="CF189" s="82"/>
      <c r="CG189" s="82"/>
      <c r="CH189" s="82"/>
      <c r="CI189" s="82">
        <f t="shared" si="1105"/>
        <v>0</v>
      </c>
      <c r="CJ189" s="82">
        <f t="shared" si="1106"/>
        <v>0</v>
      </c>
      <c r="CK189" s="82">
        <f t="shared" si="1107"/>
        <v>0</v>
      </c>
      <c r="CL189" s="82">
        <f t="shared" si="1108"/>
        <v>0</v>
      </c>
      <c r="CM189" s="82"/>
      <c r="CN189" s="82"/>
      <c r="CO189" s="82">
        <f t="shared" si="1109"/>
        <v>0</v>
      </c>
      <c r="CP189" s="82">
        <f t="shared" si="1110"/>
        <v>0</v>
      </c>
      <c r="CQ189" s="82"/>
      <c r="CR189" s="82"/>
      <c r="CS189" s="82"/>
      <c r="CT189" s="82"/>
      <c r="CU189" s="82">
        <f t="shared" si="1111"/>
        <v>0</v>
      </c>
      <c r="CV189" s="82">
        <f t="shared" si="1112"/>
        <v>0</v>
      </c>
      <c r="CW189" s="82">
        <f t="shared" si="1113"/>
        <v>0</v>
      </c>
      <c r="CX189" s="82">
        <f t="shared" si="1114"/>
        <v>0</v>
      </c>
      <c r="CY189" s="82">
        <f t="shared" si="1115"/>
        <v>0</v>
      </c>
      <c r="CZ189" s="82">
        <f t="shared" si="1116"/>
        <v>2</v>
      </c>
      <c r="DA189" s="82">
        <f t="shared" si="1117"/>
        <v>0</v>
      </c>
      <c r="DB189" s="82">
        <f t="shared" si="1118"/>
        <v>0</v>
      </c>
      <c r="DC189" s="91"/>
      <c r="DD189" s="82"/>
      <c r="DE189" s="82"/>
      <c r="DF189" s="82">
        <f t="shared" si="1071"/>
        <v>0</v>
      </c>
      <c r="DG189" s="82">
        <f t="shared" si="1119"/>
        <v>0</v>
      </c>
      <c r="DH189" s="82"/>
      <c r="DI189" s="82">
        <f t="shared" si="1120"/>
        <v>0</v>
      </c>
      <c r="DJ189" s="82">
        <f t="shared" si="1121"/>
        <v>0</v>
      </c>
      <c r="DK189" s="82"/>
      <c r="DL189" s="82">
        <f t="shared" si="1122"/>
        <v>0</v>
      </c>
      <c r="DM189" s="82">
        <f t="shared" si="1123"/>
        <v>0</v>
      </c>
      <c r="DN189" s="82">
        <f t="shared" si="1124"/>
        <v>0</v>
      </c>
      <c r="DO189" s="82">
        <f t="shared" si="1125"/>
        <v>0</v>
      </c>
      <c r="DP189" s="82"/>
      <c r="DQ189" s="82"/>
      <c r="DR189" s="82">
        <f t="shared" si="1126"/>
        <v>0</v>
      </c>
      <c r="DS189" s="82">
        <f t="shared" si="1127"/>
        <v>0</v>
      </c>
      <c r="DT189" s="82"/>
      <c r="DU189" s="82"/>
      <c r="DV189" s="82"/>
      <c r="DW189" s="82"/>
      <c r="DX189" s="82">
        <f t="shared" si="1128"/>
        <v>0</v>
      </c>
      <c r="DY189" s="82">
        <f t="shared" si="1129"/>
        <v>0</v>
      </c>
      <c r="DZ189" s="82">
        <f t="shared" si="1130"/>
        <v>0</v>
      </c>
      <c r="EA189" s="82">
        <f t="shared" si="1131"/>
        <v>0</v>
      </c>
      <c r="EB189" s="82"/>
      <c r="EC189" s="82"/>
      <c r="ED189" s="82">
        <f t="shared" si="1132"/>
        <v>0</v>
      </c>
      <c r="EE189" s="82">
        <f t="shared" si="1133"/>
        <v>0</v>
      </c>
      <c r="EF189" s="82"/>
      <c r="EG189" s="82"/>
      <c r="EH189" s="82"/>
      <c r="EI189" s="82"/>
      <c r="EJ189" s="82">
        <f t="shared" si="1134"/>
        <v>0</v>
      </c>
      <c r="EK189" s="82">
        <f t="shared" si="1135"/>
        <v>0</v>
      </c>
      <c r="EL189" s="82">
        <f t="shared" si="1136"/>
        <v>0</v>
      </c>
      <c r="EM189" s="82">
        <f t="shared" si="1137"/>
        <v>0</v>
      </c>
      <c r="EN189" s="82">
        <f t="shared" si="1138"/>
        <v>0</v>
      </c>
      <c r="EO189" s="82">
        <f t="shared" si="1139"/>
        <v>0</v>
      </c>
      <c r="EP189" s="82">
        <f t="shared" si="1140"/>
        <v>0</v>
      </c>
      <c r="EQ189" s="82">
        <f t="shared" si="1141"/>
        <v>0</v>
      </c>
      <c r="ER189" s="82"/>
      <c r="ES189" s="82"/>
      <c r="ET189" s="82">
        <f t="shared" si="1142"/>
        <v>0</v>
      </c>
      <c r="EU189" s="82">
        <f t="shared" si="1143"/>
        <v>0</v>
      </c>
      <c r="EV189" s="82"/>
      <c r="EW189" s="82"/>
      <c r="EX189" s="82"/>
      <c r="EY189" s="82"/>
      <c r="EZ189" s="82">
        <f t="shared" si="1144"/>
        <v>0</v>
      </c>
      <c r="FA189" s="82">
        <f t="shared" si="1145"/>
        <v>0</v>
      </c>
      <c r="FB189" s="82">
        <f t="shared" si="1146"/>
        <v>0</v>
      </c>
      <c r="FC189" s="82">
        <f t="shared" si="1147"/>
        <v>0</v>
      </c>
      <c r="FD189" s="82"/>
      <c r="FE189" s="82"/>
      <c r="FF189" s="82">
        <f t="shared" si="1148"/>
        <v>0</v>
      </c>
      <c r="FG189" s="82">
        <f t="shared" si="1149"/>
        <v>0</v>
      </c>
      <c r="FH189" s="82"/>
      <c r="FI189" s="82"/>
      <c r="FJ189" s="82"/>
      <c r="FK189" s="82"/>
      <c r="FL189" s="82">
        <f t="shared" si="1150"/>
        <v>0</v>
      </c>
      <c r="FM189" s="82">
        <f t="shared" si="1151"/>
        <v>0</v>
      </c>
      <c r="FN189" s="82">
        <f t="shared" si="1152"/>
        <v>0</v>
      </c>
      <c r="FO189" s="82">
        <f t="shared" si="1153"/>
        <v>0</v>
      </c>
      <c r="FP189" s="82"/>
      <c r="FQ189" s="82"/>
      <c r="FR189" s="82">
        <f t="shared" si="1154"/>
        <v>0</v>
      </c>
      <c r="FS189" s="82">
        <f t="shared" si="1155"/>
        <v>0</v>
      </c>
      <c r="FT189" s="82"/>
      <c r="FU189" s="82"/>
      <c r="FV189" s="82"/>
      <c r="FW189" s="82"/>
      <c r="FX189" s="82">
        <f t="shared" si="1156"/>
        <v>0</v>
      </c>
      <c r="FY189" s="82">
        <f t="shared" si="1157"/>
        <v>0</v>
      </c>
      <c r="FZ189" s="82">
        <f t="shared" si="1158"/>
        <v>0</v>
      </c>
      <c r="GA189" s="82">
        <f t="shared" si="1159"/>
        <v>0</v>
      </c>
      <c r="GB189" s="82">
        <f t="shared" si="1160"/>
        <v>0</v>
      </c>
      <c r="GC189" s="82">
        <f t="shared" si="1161"/>
        <v>0</v>
      </c>
      <c r="GD189" s="82">
        <f t="shared" si="1162"/>
        <v>0</v>
      </c>
      <c r="GE189" s="82">
        <f t="shared" si="1163"/>
        <v>0</v>
      </c>
      <c r="GF189" s="85"/>
    </row>
    <row r="190" ht="29.25" customHeight="1">
      <c r="A190" s="76"/>
      <c r="B190" s="77"/>
      <c r="C190" s="77"/>
      <c r="D190" s="89" t="s">
        <v>99</v>
      </c>
      <c r="E190" s="86">
        <f>40000+(40000*11%)</f>
        <v>44400</v>
      </c>
      <c r="F190" s="80" t="s">
        <v>220</v>
      </c>
      <c r="G190" s="81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3"/>
      <c r="V190" s="83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3"/>
      <c r="BK190" s="82"/>
      <c r="BL190" s="82"/>
      <c r="BM190" s="82"/>
      <c r="BN190" s="82"/>
      <c r="BO190" s="82"/>
      <c r="BP190" s="82"/>
      <c r="BQ190" s="82"/>
      <c r="BR190" s="82"/>
      <c r="BS190" s="82"/>
      <c r="BT190" s="82"/>
      <c r="BU190" s="82"/>
      <c r="BV190" s="82"/>
      <c r="BW190" s="82"/>
      <c r="BX190" s="82"/>
      <c r="BY190" s="82"/>
      <c r="BZ190" s="82"/>
      <c r="CA190" s="82"/>
      <c r="CB190" s="82"/>
      <c r="CC190" s="82"/>
      <c r="CD190" s="82"/>
      <c r="CE190" s="82"/>
      <c r="CF190" s="82"/>
      <c r="CG190" s="82"/>
      <c r="CH190" s="82"/>
      <c r="CI190" s="82"/>
      <c r="CJ190" s="82"/>
      <c r="CK190" s="82"/>
      <c r="CL190" s="82"/>
      <c r="CM190" s="83">
        <v>0.0</v>
      </c>
      <c r="CN190" s="83">
        <v>0.0</v>
      </c>
      <c r="CO190" s="82"/>
      <c r="CP190" s="82" t="str">
        <f>CM190&amp;CN190</f>
        <v>00</v>
      </c>
      <c r="CQ190" s="82"/>
      <c r="CR190" s="82"/>
      <c r="CS190" s="82"/>
      <c r="CT190" s="82"/>
      <c r="CU190" s="82"/>
      <c r="CV190" s="82"/>
      <c r="CW190" s="82"/>
      <c r="CX190" s="82"/>
      <c r="CY190" s="82"/>
      <c r="CZ190" s="82"/>
      <c r="DA190" s="82"/>
      <c r="DB190" s="82"/>
      <c r="DC190" s="84"/>
      <c r="DD190" s="83">
        <v>50.0</v>
      </c>
      <c r="DE190" s="83">
        <v>0.0</v>
      </c>
      <c r="DF190" s="82"/>
      <c r="DG190" s="82">
        <f>DD190*E190</f>
        <v>2220000</v>
      </c>
      <c r="DH190" s="83">
        <v>0.0</v>
      </c>
      <c r="DI190" s="82"/>
      <c r="DJ190" s="83">
        <v>0.0</v>
      </c>
      <c r="DK190" s="82"/>
      <c r="DL190" s="82"/>
      <c r="DM190" s="82"/>
      <c r="DN190" s="82"/>
      <c r="DO190" s="82"/>
      <c r="DP190" s="82"/>
      <c r="DQ190" s="82"/>
      <c r="DR190" s="82"/>
      <c r="DS190" s="82"/>
      <c r="DT190" s="82"/>
      <c r="DU190" s="82"/>
      <c r="DV190" s="82"/>
      <c r="DW190" s="82"/>
      <c r="DX190" s="82"/>
      <c r="DY190" s="82"/>
      <c r="DZ190" s="82"/>
      <c r="EA190" s="82"/>
      <c r="EB190" s="82"/>
      <c r="EC190" s="82"/>
      <c r="ED190" s="82"/>
      <c r="EE190" s="82"/>
      <c r="EF190" s="82"/>
      <c r="EG190" s="82"/>
      <c r="EH190" s="82"/>
      <c r="EI190" s="82"/>
      <c r="EJ190" s="82"/>
      <c r="EK190" s="82"/>
      <c r="EL190" s="82"/>
      <c r="EM190" s="82"/>
      <c r="EN190" s="82"/>
      <c r="EO190" s="82"/>
      <c r="EP190" s="82"/>
      <c r="EQ190" s="82"/>
      <c r="ER190" s="82"/>
      <c r="ES190" s="82"/>
      <c r="ET190" s="82"/>
      <c r="EU190" s="82"/>
      <c r="EV190" s="82"/>
      <c r="EW190" s="82"/>
      <c r="EX190" s="82"/>
      <c r="EY190" s="82"/>
      <c r="EZ190" s="82"/>
      <c r="FA190" s="82"/>
      <c r="FB190" s="82"/>
      <c r="FC190" s="82"/>
      <c r="FD190" s="82"/>
      <c r="FE190" s="82"/>
      <c r="FF190" s="82"/>
      <c r="FG190" s="82"/>
      <c r="FH190" s="82"/>
      <c r="FI190" s="82"/>
      <c r="FJ190" s="82"/>
      <c r="FK190" s="82"/>
      <c r="FL190" s="82"/>
      <c r="FM190" s="82"/>
      <c r="FN190" s="82"/>
      <c r="FO190" s="82"/>
      <c r="FP190" s="82"/>
      <c r="FQ190" s="82"/>
      <c r="FR190" s="82"/>
      <c r="FS190" s="82"/>
      <c r="FT190" s="82"/>
      <c r="FU190" s="82"/>
      <c r="FV190" s="82"/>
      <c r="FW190" s="82"/>
      <c r="FX190" s="82"/>
      <c r="FY190" s="82"/>
      <c r="FZ190" s="82"/>
      <c r="GA190" s="82"/>
      <c r="GB190" s="82"/>
      <c r="GC190" s="82"/>
      <c r="GD190" s="82"/>
      <c r="GE190" s="82"/>
      <c r="GF190" s="85"/>
    </row>
    <row r="191" ht="29.25" customHeight="1">
      <c r="A191" s="76">
        <v>22.0</v>
      </c>
      <c r="B191" s="77"/>
      <c r="C191" s="77" t="s">
        <v>237</v>
      </c>
      <c r="D191" s="78" t="s">
        <v>134</v>
      </c>
      <c r="E191" s="79">
        <v>165000.0</v>
      </c>
      <c r="F191" s="61" t="s">
        <v>110</v>
      </c>
      <c r="G191" s="81">
        <v>4.0</v>
      </c>
      <c r="H191" s="82">
        <v>660000.0</v>
      </c>
      <c r="I191" s="82"/>
      <c r="J191" s="82"/>
      <c r="K191" s="82">
        <f>SUM(I191:J191)</f>
        <v>0</v>
      </c>
      <c r="L191" s="82">
        <f>K191*E191</f>
        <v>0</v>
      </c>
      <c r="M191" s="82"/>
      <c r="N191" s="82"/>
      <c r="O191" s="82"/>
      <c r="P191" s="82"/>
      <c r="Q191" s="82"/>
      <c r="R191" s="82"/>
      <c r="S191" s="82"/>
      <c r="T191" s="82"/>
      <c r="U191" s="83">
        <v>1.0</v>
      </c>
      <c r="V191" s="83">
        <v>1.0</v>
      </c>
      <c r="W191" s="82"/>
      <c r="X191" s="82"/>
      <c r="Y191" s="82"/>
      <c r="Z191" s="82"/>
      <c r="AA191" s="82"/>
      <c r="AB191" s="82">
        <f>SUM(M191:AA191)</f>
        <v>2</v>
      </c>
      <c r="AC191" s="82">
        <f>AB191*E191</f>
        <v>330000</v>
      </c>
      <c r="AD191" s="82">
        <f>G191+K191-AB191</f>
        <v>2</v>
      </c>
      <c r="AE191" s="82">
        <f>AD191*E191</f>
        <v>330000</v>
      </c>
      <c r="AF191" s="82"/>
      <c r="AG191" s="82"/>
      <c r="AH191" s="82">
        <f>SUM(AF191:AG191)</f>
        <v>0</v>
      </c>
      <c r="AI191" s="82">
        <f>AH191*E191</f>
        <v>0</v>
      </c>
      <c r="AJ191" s="82"/>
      <c r="AK191" s="82"/>
      <c r="AL191" s="82"/>
      <c r="AM191" s="82"/>
      <c r="AN191" s="82">
        <f>SUM(AJ191:AM191)</f>
        <v>0</v>
      </c>
      <c r="AO191" s="82">
        <f>AN191*E191</f>
        <v>0</v>
      </c>
      <c r="AP191" s="82">
        <f>AD191+AH191-AN191</f>
        <v>2</v>
      </c>
      <c r="AQ191" s="82">
        <f>AP191*E191</f>
        <v>330000</v>
      </c>
      <c r="AR191" s="82"/>
      <c r="AS191" s="82"/>
      <c r="AT191" s="82"/>
      <c r="AU191" s="82">
        <f>SUM(AS191:AT191)</f>
        <v>0</v>
      </c>
      <c r="AV191" s="82">
        <f>AU191*AB191</f>
        <v>0</v>
      </c>
      <c r="AW191" s="82"/>
      <c r="AX191" s="82"/>
      <c r="AY191" s="82"/>
      <c r="AZ191" s="82"/>
      <c r="BA191" s="82">
        <f>SUM(AW191:AZ191)</f>
        <v>0</v>
      </c>
      <c r="BB191" s="82">
        <f>BA191*AB191</f>
        <v>0</v>
      </c>
      <c r="BC191" s="82">
        <f>AP191+AU191-BA191</f>
        <v>2</v>
      </c>
      <c r="BD191" s="82">
        <f>BC191*E191</f>
        <v>330000</v>
      </c>
      <c r="BE191" s="82">
        <f>K191+AH191+AU191</f>
        <v>0</v>
      </c>
      <c r="BF191" s="82">
        <f>AB191+AN191+BA191</f>
        <v>2</v>
      </c>
      <c r="BG191" s="82">
        <f>G191+BE191-BF191</f>
        <v>2</v>
      </c>
      <c r="BH191" s="82">
        <f>BG191*E191</f>
        <v>330000</v>
      </c>
      <c r="BI191" s="82"/>
      <c r="BJ191" s="83"/>
      <c r="BK191" s="82">
        <f>SUM(BI191:BJ191)</f>
        <v>0</v>
      </c>
      <c r="BL191" s="82">
        <f>BK191*E191</f>
        <v>0</v>
      </c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>
        <f>SUM(BM191:BV191)</f>
        <v>0</v>
      </c>
      <c r="BX191" s="82">
        <f>BW191*E191</f>
        <v>0</v>
      </c>
      <c r="BY191" s="82">
        <f>BG191+BK191-BW191</f>
        <v>2</v>
      </c>
      <c r="BZ191" s="82">
        <f>BY191*E191</f>
        <v>330000</v>
      </c>
      <c r="CA191" s="82"/>
      <c r="CB191" s="82"/>
      <c r="CC191" s="82">
        <f>sum(CA191:CB191)</f>
        <v>0</v>
      </c>
      <c r="CD191" s="82">
        <f>CC191*E191</f>
        <v>0</v>
      </c>
      <c r="CE191" s="82"/>
      <c r="CF191" s="82"/>
      <c r="CG191" s="82"/>
      <c r="CH191" s="82"/>
      <c r="CI191" s="82">
        <f>sum(CE191:CH191)</f>
        <v>0</v>
      </c>
      <c r="CJ191" s="82">
        <f>CI191*E191</f>
        <v>0</v>
      </c>
      <c r="CK191" s="82">
        <f>BY191+CC191-CI191</f>
        <v>2</v>
      </c>
      <c r="CL191" s="82">
        <f>CK191*E191</f>
        <v>330000</v>
      </c>
      <c r="CM191" s="82"/>
      <c r="CN191" s="82"/>
      <c r="CO191" s="82">
        <f>SUM(CM191:CN191)</f>
        <v>0</v>
      </c>
      <c r="CP191" s="82">
        <f>CO191*E191</f>
        <v>0</v>
      </c>
      <c r="CQ191" s="82"/>
      <c r="CR191" s="82"/>
      <c r="CS191" s="82"/>
      <c r="CT191" s="82"/>
      <c r="CU191" s="82">
        <f>sum(CQ191:CT191)</f>
        <v>0</v>
      </c>
      <c r="CV191" s="82">
        <f>CU191*E191</f>
        <v>0</v>
      </c>
      <c r="CW191" s="82">
        <f>CK191+CO191-CU191</f>
        <v>2</v>
      </c>
      <c r="CX191" s="82">
        <f>CW191*E191</f>
        <v>330000</v>
      </c>
      <c r="CY191" s="82">
        <f>BK191+CC191+CO191</f>
        <v>0</v>
      </c>
      <c r="CZ191" s="82">
        <f>BW191+CI191+CU191</f>
        <v>0</v>
      </c>
      <c r="DA191" s="82">
        <f>BG191+CY191-CZ191</f>
        <v>2</v>
      </c>
      <c r="DB191" s="82">
        <f>DA191*E191</f>
        <v>330000</v>
      </c>
      <c r="DC191" s="91"/>
      <c r="DD191" s="82"/>
      <c r="DE191" s="82"/>
      <c r="DF191" s="82">
        <f>SUM(DD191:DE191)</f>
        <v>0</v>
      </c>
      <c r="DG191" s="82">
        <f>DF191*U191</f>
        <v>0</v>
      </c>
      <c r="DH191" s="82"/>
      <c r="DI191" s="82">
        <f>SUM(DG191:DH191)</f>
        <v>0</v>
      </c>
      <c r="DJ191" s="82">
        <f>DI191*X191</f>
        <v>0</v>
      </c>
      <c r="DK191" s="82"/>
      <c r="DL191" s="82">
        <f>sum(DH191:DK191)</f>
        <v>0</v>
      </c>
      <c r="DM191" s="82">
        <f>DL191*E191</f>
        <v>0</v>
      </c>
      <c r="DN191" s="82">
        <f>DA191+DF191-DL191</f>
        <v>2</v>
      </c>
      <c r="DO191" s="82">
        <f>DN191*E191</f>
        <v>330000</v>
      </c>
      <c r="DP191" s="82"/>
      <c r="DQ191" s="82"/>
      <c r="DR191" s="82">
        <f>sum(DP191:DQ191)</f>
        <v>0</v>
      </c>
      <c r="DS191" s="82">
        <f>DR191*AB191</f>
        <v>0</v>
      </c>
      <c r="DT191" s="82"/>
      <c r="DU191" s="82"/>
      <c r="DV191" s="82"/>
      <c r="DW191" s="82"/>
      <c r="DX191" s="82">
        <f>sum(DT191:DW191)</f>
        <v>0</v>
      </c>
      <c r="DY191" s="82">
        <f>DX191*AB191</f>
        <v>0</v>
      </c>
      <c r="DZ191" s="82">
        <f>DN191+DR191-DX191</f>
        <v>2</v>
      </c>
      <c r="EA191" s="82">
        <f>DZ191*E191</f>
        <v>330000</v>
      </c>
      <c r="EB191" s="82"/>
      <c r="EC191" s="82"/>
      <c r="ED191" s="82">
        <f>sum(EB191:EC191)</f>
        <v>0</v>
      </c>
      <c r="EE191" s="82">
        <f>ED191*AN191</f>
        <v>0</v>
      </c>
      <c r="EF191" s="82"/>
      <c r="EG191" s="82"/>
      <c r="EH191" s="82"/>
      <c r="EI191" s="82"/>
      <c r="EJ191" s="82">
        <f>sum(EF191:EI191)</f>
        <v>0</v>
      </c>
      <c r="EK191" s="82">
        <f>EJ191*AN191</f>
        <v>0</v>
      </c>
      <c r="EL191" s="82">
        <f>DZ191+ED191-EJ191</f>
        <v>2</v>
      </c>
      <c r="EM191" s="82">
        <f>EL191*E191</f>
        <v>330000</v>
      </c>
      <c r="EN191" s="82">
        <f>DF191+DR191+ED191</f>
        <v>0</v>
      </c>
      <c r="EO191" s="82">
        <f>DL191+DX191+EJ191</f>
        <v>0</v>
      </c>
      <c r="EP191" s="82">
        <f>DA191+EN191-EO191</f>
        <v>2</v>
      </c>
      <c r="EQ191" s="82">
        <f>EP191*E191</f>
        <v>330000</v>
      </c>
      <c r="ER191" s="82"/>
      <c r="ES191" s="82"/>
      <c r="ET191" s="82">
        <f>sum(ER191:ES191)</f>
        <v>0</v>
      </c>
      <c r="EU191" s="82">
        <f>ET191*BE191</f>
        <v>0</v>
      </c>
      <c r="EV191" s="82"/>
      <c r="EW191" s="82"/>
      <c r="EX191" s="82"/>
      <c r="EY191" s="82"/>
      <c r="EZ191" s="82">
        <f>sum(EV191:EY191)</f>
        <v>0</v>
      </c>
      <c r="FA191" s="82">
        <f>EZ191*BE191</f>
        <v>0</v>
      </c>
      <c r="FB191" s="82">
        <f>EP191+ET191-EZ191</f>
        <v>2</v>
      </c>
      <c r="FC191" s="82">
        <f>FB191*E191</f>
        <v>330000</v>
      </c>
      <c r="FD191" s="82"/>
      <c r="FE191" s="82"/>
      <c r="FF191" s="82">
        <f>sum(FD191:FE191)</f>
        <v>0</v>
      </c>
      <c r="FG191" s="82">
        <f>FF191*BW191</f>
        <v>0</v>
      </c>
      <c r="FH191" s="82"/>
      <c r="FI191" s="82"/>
      <c r="FJ191" s="82"/>
      <c r="FK191" s="82"/>
      <c r="FL191" s="82">
        <f>sum(FH191:FK191)</f>
        <v>0</v>
      </c>
      <c r="FM191" s="82">
        <f>FL191*BW191</f>
        <v>0</v>
      </c>
      <c r="FN191" s="82">
        <f>FB191+FF191-FL191</f>
        <v>2</v>
      </c>
      <c r="FO191" s="82">
        <f>FN191*E191</f>
        <v>330000</v>
      </c>
      <c r="FP191" s="82"/>
      <c r="FQ191" s="82"/>
      <c r="FR191" s="82">
        <f>sum(FP191:FQ191)</f>
        <v>0</v>
      </c>
      <c r="FS191" s="82">
        <f>FR191*CI191</f>
        <v>0</v>
      </c>
      <c r="FT191" s="82"/>
      <c r="FU191" s="82"/>
      <c r="FV191" s="82"/>
      <c r="FW191" s="82"/>
      <c r="FX191" s="82">
        <f>sum(FT191:FW191)</f>
        <v>0</v>
      </c>
      <c r="FY191" s="82">
        <f>FX191*CI191</f>
        <v>0</v>
      </c>
      <c r="FZ191" s="82">
        <f>FN191+FR191-FX191</f>
        <v>2</v>
      </c>
      <c r="GA191" s="82">
        <f>FZ191*E191</f>
        <v>330000</v>
      </c>
      <c r="GB191" s="82">
        <f>ET191+FF191+FR191</f>
        <v>0</v>
      </c>
      <c r="GC191" s="82">
        <f>EZ191+FL191+FX191</f>
        <v>0</v>
      </c>
      <c r="GD191" s="82">
        <f>EP191+GB191-GC191</f>
        <v>2</v>
      </c>
      <c r="GE191" s="82">
        <f>GD191*E191</f>
        <v>330000</v>
      </c>
      <c r="GF191" s="85"/>
    </row>
    <row r="192" ht="29.25" customHeight="1">
      <c r="A192" s="76"/>
      <c r="B192" s="77"/>
      <c r="C192" s="77"/>
      <c r="D192" s="89" t="s">
        <v>222</v>
      </c>
      <c r="E192" s="86">
        <f>40000+(40000*11%)</f>
        <v>44400</v>
      </c>
      <c r="F192" s="80" t="s">
        <v>148</v>
      </c>
      <c r="G192" s="81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3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91"/>
      <c r="DD192" s="83">
        <v>50.0</v>
      </c>
      <c r="DE192" s="82"/>
      <c r="DF192" s="82"/>
      <c r="DG192" s="82">
        <f>DD192*E192</f>
        <v>2220000</v>
      </c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5"/>
    </row>
    <row r="193" ht="29.25" customHeight="1">
      <c r="A193" s="96">
        <v>23.0</v>
      </c>
      <c r="B193" s="58"/>
      <c r="C193" s="58" t="s">
        <v>238</v>
      </c>
      <c r="D193" s="78" t="s">
        <v>134</v>
      </c>
      <c r="E193" s="79">
        <v>166500.0</v>
      </c>
      <c r="F193" s="61" t="s">
        <v>97</v>
      </c>
      <c r="G193" s="81">
        <v>1.0</v>
      </c>
      <c r="H193" s="82">
        <v>166500.0</v>
      </c>
      <c r="I193" s="82"/>
      <c r="J193" s="82"/>
      <c r="K193" s="82">
        <f t="shared" ref="K193:K195" si="1164">SUM(I193:J193)</f>
        <v>0</v>
      </c>
      <c r="L193" s="82">
        <f t="shared" ref="L193:L195" si="1165">K193*E193</f>
        <v>0</v>
      </c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>
        <f t="shared" ref="AB193:AB195" si="1166">SUM(M193:AA193)</f>
        <v>0</v>
      </c>
      <c r="AC193" s="82">
        <f t="shared" ref="AC193:AC195" si="1167">AB193*E193</f>
        <v>0</v>
      </c>
      <c r="AD193" s="82">
        <f t="shared" ref="AD193:AD195" si="1168">G193+K193-AB193</f>
        <v>1</v>
      </c>
      <c r="AE193" s="82">
        <f t="shared" ref="AE193:AE195" si="1169">AD193*E193</f>
        <v>166500</v>
      </c>
      <c r="AF193" s="82"/>
      <c r="AG193" s="82"/>
      <c r="AH193" s="82">
        <f t="shared" ref="AH193:AH195" si="1170">SUM(AF193:AG193)</f>
        <v>0</v>
      </c>
      <c r="AI193" s="82">
        <f t="shared" ref="AI193:AI195" si="1171">AH193*E193</f>
        <v>0</v>
      </c>
      <c r="AJ193" s="82"/>
      <c r="AK193" s="82"/>
      <c r="AL193" s="82"/>
      <c r="AM193" s="82"/>
      <c r="AN193" s="82">
        <f t="shared" ref="AN193:AN195" si="1172">SUM(AJ193:AM193)</f>
        <v>0</v>
      </c>
      <c r="AO193" s="82">
        <f t="shared" ref="AO193:AO195" si="1173">AN193*E193</f>
        <v>0</v>
      </c>
      <c r="AP193" s="82">
        <f t="shared" ref="AP193:AP195" si="1174">AD193+AH193-AN193</f>
        <v>1</v>
      </c>
      <c r="AQ193" s="82">
        <f t="shared" ref="AQ193:AQ195" si="1175">AP193*E193</f>
        <v>166500</v>
      </c>
      <c r="AR193" s="82"/>
      <c r="AS193" s="82"/>
      <c r="AT193" s="82"/>
      <c r="AU193" s="82">
        <f t="shared" ref="AU193:AU195" si="1176">SUM(AS193:AT193)</f>
        <v>0</v>
      </c>
      <c r="AV193" s="82">
        <f t="shared" ref="AV193:AV195" si="1177">AU193*AB193</f>
        <v>0</v>
      </c>
      <c r="AW193" s="82"/>
      <c r="AX193" s="82"/>
      <c r="AY193" s="82"/>
      <c r="AZ193" s="82"/>
      <c r="BA193" s="82">
        <f t="shared" ref="BA193:BA195" si="1178">SUM(AW193:AZ193)</f>
        <v>0</v>
      </c>
      <c r="BB193" s="82">
        <f t="shared" ref="BB193:BB195" si="1179">BA193*AB193</f>
        <v>0</v>
      </c>
      <c r="BC193" s="82">
        <f t="shared" ref="BC193:BC195" si="1180">AP193+AU193-BA193</f>
        <v>1</v>
      </c>
      <c r="BD193" s="82">
        <f t="shared" ref="BD193:BD195" si="1181">BC193*E193</f>
        <v>166500</v>
      </c>
      <c r="BE193" s="82">
        <f t="shared" ref="BE193:BE195" si="1182">K193+AH193+AU193</f>
        <v>0</v>
      </c>
      <c r="BF193" s="82">
        <f t="shared" ref="BF193:BF195" si="1183">AB193+AN193+BA193</f>
        <v>0</v>
      </c>
      <c r="BG193" s="82">
        <f t="shared" ref="BG193:BG195" si="1184">G193+BE193-BF193</f>
        <v>1</v>
      </c>
      <c r="BH193" s="82">
        <f t="shared" ref="BH193:BH195" si="1185">BG193*E193</f>
        <v>166500</v>
      </c>
      <c r="BI193" s="82"/>
      <c r="BJ193" s="83"/>
      <c r="BK193" s="82">
        <f t="shared" ref="BK193:BK195" si="1186">SUM(BI193:BJ193)</f>
        <v>0</v>
      </c>
      <c r="BL193" s="82">
        <f t="shared" ref="BL193:BL195" si="1187">BK193*E193</f>
        <v>0</v>
      </c>
      <c r="BM193" s="82"/>
      <c r="BN193" s="82"/>
      <c r="BO193" s="82"/>
      <c r="BP193" s="82"/>
      <c r="BQ193" s="82"/>
      <c r="BR193" s="82"/>
      <c r="BS193" s="82"/>
      <c r="BT193" s="82"/>
      <c r="BU193" s="82"/>
      <c r="BV193" s="82"/>
      <c r="BW193" s="82">
        <f t="shared" ref="BW193:BW195" si="1188">SUM(BM193:BV193)</f>
        <v>0</v>
      </c>
      <c r="BX193" s="82">
        <f t="shared" ref="BX193:BX195" si="1189">BW193*E193</f>
        <v>0</v>
      </c>
      <c r="BY193" s="82">
        <f t="shared" ref="BY193:BY195" si="1190">BG193+BK193-BW193</f>
        <v>1</v>
      </c>
      <c r="BZ193" s="82">
        <f t="shared" ref="BZ193:BZ195" si="1191">BY193*E193</f>
        <v>166500</v>
      </c>
      <c r="CA193" s="82"/>
      <c r="CB193" s="82"/>
      <c r="CC193" s="82">
        <f t="shared" ref="CC193:CC195" si="1192">sum(CA193:CB193)</f>
        <v>0</v>
      </c>
      <c r="CD193" s="82">
        <f t="shared" ref="CD193:CD195" si="1193">CC193*E193</f>
        <v>0</v>
      </c>
      <c r="CE193" s="82"/>
      <c r="CF193" s="82"/>
      <c r="CG193" s="82"/>
      <c r="CH193" s="82"/>
      <c r="CI193" s="82">
        <f t="shared" ref="CI193:CI195" si="1194">sum(CE193:CH193)</f>
        <v>0</v>
      </c>
      <c r="CJ193" s="82">
        <f t="shared" ref="CJ193:CJ195" si="1195">CI193*E193</f>
        <v>0</v>
      </c>
      <c r="CK193" s="82">
        <f t="shared" ref="CK193:CK195" si="1196">BY193+CC193-CI193</f>
        <v>1</v>
      </c>
      <c r="CL193" s="82">
        <f t="shared" ref="CL193:CL195" si="1197">CK193*E193</f>
        <v>166500</v>
      </c>
      <c r="CM193" s="82"/>
      <c r="CN193" s="82"/>
      <c r="CO193" s="82">
        <f t="shared" ref="CO193:CO195" si="1198">SUM(CM193:CN193)</f>
        <v>0</v>
      </c>
      <c r="CP193" s="82">
        <f t="shared" ref="CP193:CP195" si="1199">CO193*E193</f>
        <v>0</v>
      </c>
      <c r="CQ193" s="82"/>
      <c r="CR193" s="82"/>
      <c r="CS193" s="82"/>
      <c r="CT193" s="82"/>
      <c r="CU193" s="82">
        <f t="shared" ref="CU193:CU195" si="1200">sum(CQ193:CT193)</f>
        <v>0</v>
      </c>
      <c r="CV193" s="82">
        <f t="shared" ref="CV193:CV195" si="1201">CU193*E193</f>
        <v>0</v>
      </c>
      <c r="CW193" s="82">
        <f t="shared" ref="CW193:CW195" si="1202">CK193+CO193-CU193</f>
        <v>1</v>
      </c>
      <c r="CX193" s="82">
        <f t="shared" ref="CX193:CX195" si="1203">CW193*E193</f>
        <v>166500</v>
      </c>
      <c r="CY193" s="82">
        <f t="shared" ref="CY193:CY195" si="1204">BK193+CC193+CO193</f>
        <v>0</v>
      </c>
      <c r="CZ193" s="82">
        <f t="shared" ref="CZ193:CZ195" si="1205">BW193+CI193+CU193</f>
        <v>0</v>
      </c>
      <c r="DA193" s="82">
        <f t="shared" ref="DA193:DA195" si="1206">BG193+CY193-CZ193</f>
        <v>1</v>
      </c>
      <c r="DB193" s="82">
        <f t="shared" ref="DB193:DB195" si="1207">DA193*E193</f>
        <v>166500</v>
      </c>
      <c r="DC193" s="91"/>
      <c r="DD193" s="82"/>
      <c r="DE193" s="82"/>
      <c r="DF193" s="82">
        <f t="shared" ref="DF193:DF195" si="1208">SUM(DD193:DE193)</f>
        <v>0</v>
      </c>
      <c r="DG193" s="82">
        <f t="shared" ref="DG193:DG195" si="1209">DF193*U193</f>
        <v>0</v>
      </c>
      <c r="DH193" s="82"/>
      <c r="DI193" s="82">
        <f t="shared" ref="DI193:DI195" si="1210">SUM(DG193:DH193)</f>
        <v>0</v>
      </c>
      <c r="DJ193" s="82">
        <f t="shared" ref="DJ193:DJ195" si="1211">DI193*X193</f>
        <v>0</v>
      </c>
      <c r="DK193" s="82"/>
      <c r="DL193" s="82">
        <f t="shared" ref="DL193:DL195" si="1212">sum(DH193:DK193)</f>
        <v>0</v>
      </c>
      <c r="DM193" s="82">
        <f t="shared" ref="DM193:DM195" si="1213">DL193*E193</f>
        <v>0</v>
      </c>
      <c r="DN193" s="82">
        <f t="shared" ref="DN193:DN195" si="1214">DA193+DF193-DL193</f>
        <v>1</v>
      </c>
      <c r="DO193" s="82">
        <f t="shared" ref="DO193:DO195" si="1215">DN193*E193</f>
        <v>166500</v>
      </c>
      <c r="DP193" s="82"/>
      <c r="DQ193" s="82"/>
      <c r="DR193" s="82">
        <f t="shared" ref="DR193:DR195" si="1216">sum(DP193:DQ193)</f>
        <v>0</v>
      </c>
      <c r="DS193" s="82">
        <f t="shared" ref="DS193:DS195" si="1217">DR193*AB193</f>
        <v>0</v>
      </c>
      <c r="DT193" s="82"/>
      <c r="DU193" s="82"/>
      <c r="DV193" s="82"/>
      <c r="DW193" s="82"/>
      <c r="DX193" s="82">
        <f t="shared" ref="DX193:DX195" si="1218">sum(DT193:DW193)</f>
        <v>0</v>
      </c>
      <c r="DY193" s="82">
        <f t="shared" ref="DY193:DY195" si="1219">DX193*AB193</f>
        <v>0</v>
      </c>
      <c r="DZ193" s="82">
        <f t="shared" ref="DZ193:DZ195" si="1220">DN193+DR193-DX193</f>
        <v>1</v>
      </c>
      <c r="EA193" s="82">
        <f t="shared" ref="EA193:EA195" si="1221">DZ193*E193</f>
        <v>166500</v>
      </c>
      <c r="EB193" s="82"/>
      <c r="EC193" s="82"/>
      <c r="ED193" s="82">
        <f t="shared" ref="ED193:ED195" si="1222">sum(EB193:EC193)</f>
        <v>0</v>
      </c>
      <c r="EE193" s="82">
        <f t="shared" ref="EE193:EE195" si="1223">ED193*AN193</f>
        <v>0</v>
      </c>
      <c r="EF193" s="82"/>
      <c r="EG193" s="82"/>
      <c r="EH193" s="82"/>
      <c r="EI193" s="82"/>
      <c r="EJ193" s="82">
        <f t="shared" ref="EJ193:EJ195" si="1224">sum(EF193:EI193)</f>
        <v>0</v>
      </c>
      <c r="EK193" s="82">
        <f t="shared" ref="EK193:EK195" si="1225">EJ193*AN193</f>
        <v>0</v>
      </c>
      <c r="EL193" s="82">
        <f t="shared" ref="EL193:EL195" si="1226">DZ193+ED193-EJ193</f>
        <v>1</v>
      </c>
      <c r="EM193" s="82">
        <f t="shared" ref="EM193:EM195" si="1227">EL193*E193</f>
        <v>166500</v>
      </c>
      <c r="EN193" s="82">
        <f t="shared" ref="EN193:EN195" si="1228">DF193+DR193+ED193</f>
        <v>0</v>
      </c>
      <c r="EO193" s="82">
        <f t="shared" ref="EO193:EO195" si="1229">DL193+DX193+EJ193</f>
        <v>0</v>
      </c>
      <c r="EP193" s="82">
        <f t="shared" ref="EP193:EP195" si="1230">DA193+EN193-EO193</f>
        <v>1</v>
      </c>
      <c r="EQ193" s="82">
        <f t="shared" ref="EQ193:EQ195" si="1231">EP193*E193</f>
        <v>166500</v>
      </c>
      <c r="ER193" s="82"/>
      <c r="ES193" s="82"/>
      <c r="ET193" s="82">
        <f t="shared" ref="ET193:ET195" si="1232">sum(ER193:ES193)</f>
        <v>0</v>
      </c>
      <c r="EU193" s="82">
        <f t="shared" ref="EU193:EU195" si="1233">ET193*BE193</f>
        <v>0</v>
      </c>
      <c r="EV193" s="82"/>
      <c r="EW193" s="82"/>
      <c r="EX193" s="82"/>
      <c r="EY193" s="82"/>
      <c r="EZ193" s="82">
        <f t="shared" ref="EZ193:EZ195" si="1234">sum(EV193:EY193)</f>
        <v>0</v>
      </c>
      <c r="FA193" s="82">
        <f t="shared" ref="FA193:FA195" si="1235">EZ193*BE193</f>
        <v>0</v>
      </c>
      <c r="FB193" s="82">
        <f t="shared" ref="FB193:FB195" si="1236">EP193+ET193-EZ193</f>
        <v>1</v>
      </c>
      <c r="FC193" s="82">
        <f t="shared" ref="FC193:FC195" si="1237">FB193*E193</f>
        <v>166500</v>
      </c>
      <c r="FD193" s="82"/>
      <c r="FE193" s="82"/>
      <c r="FF193" s="82">
        <f t="shared" ref="FF193:FF195" si="1238">sum(FD193:FE193)</f>
        <v>0</v>
      </c>
      <c r="FG193" s="82">
        <f t="shared" ref="FG193:FG195" si="1239">FF193*BW193</f>
        <v>0</v>
      </c>
      <c r="FH193" s="82"/>
      <c r="FI193" s="82"/>
      <c r="FJ193" s="82"/>
      <c r="FK193" s="82"/>
      <c r="FL193" s="82">
        <f t="shared" ref="FL193:FL195" si="1240">sum(FH193:FK193)</f>
        <v>0</v>
      </c>
      <c r="FM193" s="82">
        <f t="shared" ref="FM193:FM195" si="1241">FL193*BW193</f>
        <v>0</v>
      </c>
      <c r="FN193" s="82">
        <f t="shared" ref="FN193:FN195" si="1242">FB193+FF193-FL193</f>
        <v>1</v>
      </c>
      <c r="FO193" s="82">
        <f t="shared" ref="FO193:FO195" si="1243">FN193*E193</f>
        <v>166500</v>
      </c>
      <c r="FP193" s="82"/>
      <c r="FQ193" s="82"/>
      <c r="FR193" s="82">
        <f t="shared" ref="FR193:FR195" si="1244">sum(FP193:FQ193)</f>
        <v>0</v>
      </c>
      <c r="FS193" s="82">
        <f t="shared" ref="FS193:FS195" si="1245">FR193*CI193</f>
        <v>0</v>
      </c>
      <c r="FT193" s="82"/>
      <c r="FU193" s="82"/>
      <c r="FV193" s="82"/>
      <c r="FW193" s="82"/>
      <c r="FX193" s="82">
        <f t="shared" ref="FX193:FX195" si="1246">sum(FT193:FW193)</f>
        <v>0</v>
      </c>
      <c r="FY193" s="82">
        <f t="shared" ref="FY193:FY195" si="1247">FX193*CI193</f>
        <v>0</v>
      </c>
      <c r="FZ193" s="82">
        <f t="shared" ref="FZ193:FZ195" si="1248">FN193+FR193-FX193</f>
        <v>1</v>
      </c>
      <c r="GA193" s="82">
        <f t="shared" ref="GA193:GA195" si="1249">FZ193*E193</f>
        <v>166500</v>
      </c>
      <c r="GB193" s="82">
        <f t="shared" ref="GB193:GB195" si="1250">ET193+FF193+FR193</f>
        <v>0</v>
      </c>
      <c r="GC193" s="82">
        <f t="shared" ref="GC193:GC195" si="1251">EZ193+FL193+FX193</f>
        <v>0</v>
      </c>
      <c r="GD193" s="82">
        <f t="shared" ref="GD193:GD195" si="1252">EP193+GB193-GC193</f>
        <v>1</v>
      </c>
      <c r="GE193" s="82">
        <f t="shared" ref="GE193:GE195" si="1253">GD193*E193</f>
        <v>166500</v>
      </c>
      <c r="GF193" s="85"/>
    </row>
    <row r="194" ht="29.25" customHeight="1">
      <c r="A194" s="96">
        <v>24.0</v>
      </c>
      <c r="B194" s="58"/>
      <c r="C194" s="58" t="s">
        <v>239</v>
      </c>
      <c r="D194" s="78" t="s">
        <v>134</v>
      </c>
      <c r="E194" s="79">
        <v>166500.0</v>
      </c>
      <c r="F194" s="61" t="s">
        <v>97</v>
      </c>
      <c r="G194" s="81">
        <v>1.0</v>
      </c>
      <c r="H194" s="82">
        <v>166500.0</v>
      </c>
      <c r="I194" s="82"/>
      <c r="J194" s="82"/>
      <c r="K194" s="82">
        <f t="shared" si="1164"/>
        <v>0</v>
      </c>
      <c r="L194" s="82">
        <f t="shared" si="1165"/>
        <v>0</v>
      </c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>
        <f t="shared" si="1166"/>
        <v>0</v>
      </c>
      <c r="AC194" s="82">
        <f t="shared" si="1167"/>
        <v>0</v>
      </c>
      <c r="AD194" s="82">
        <f t="shared" si="1168"/>
        <v>1</v>
      </c>
      <c r="AE194" s="82">
        <f t="shared" si="1169"/>
        <v>166500</v>
      </c>
      <c r="AF194" s="82"/>
      <c r="AG194" s="82"/>
      <c r="AH194" s="82">
        <f t="shared" si="1170"/>
        <v>0</v>
      </c>
      <c r="AI194" s="82">
        <f t="shared" si="1171"/>
        <v>0</v>
      </c>
      <c r="AJ194" s="82"/>
      <c r="AK194" s="82"/>
      <c r="AL194" s="82"/>
      <c r="AM194" s="82"/>
      <c r="AN194" s="82">
        <f t="shared" si="1172"/>
        <v>0</v>
      </c>
      <c r="AO194" s="82">
        <f t="shared" si="1173"/>
        <v>0</v>
      </c>
      <c r="AP194" s="82">
        <f t="shared" si="1174"/>
        <v>1</v>
      </c>
      <c r="AQ194" s="82">
        <f t="shared" si="1175"/>
        <v>166500</v>
      </c>
      <c r="AR194" s="82"/>
      <c r="AS194" s="82"/>
      <c r="AT194" s="82"/>
      <c r="AU194" s="82">
        <f t="shared" si="1176"/>
        <v>0</v>
      </c>
      <c r="AV194" s="82">
        <f t="shared" si="1177"/>
        <v>0</v>
      </c>
      <c r="AW194" s="82"/>
      <c r="AX194" s="82"/>
      <c r="AY194" s="82"/>
      <c r="AZ194" s="82"/>
      <c r="BA194" s="82">
        <f t="shared" si="1178"/>
        <v>0</v>
      </c>
      <c r="BB194" s="82">
        <f t="shared" si="1179"/>
        <v>0</v>
      </c>
      <c r="BC194" s="82">
        <f t="shared" si="1180"/>
        <v>1</v>
      </c>
      <c r="BD194" s="82">
        <f t="shared" si="1181"/>
        <v>166500</v>
      </c>
      <c r="BE194" s="82">
        <f t="shared" si="1182"/>
        <v>0</v>
      </c>
      <c r="BF194" s="82">
        <f t="shared" si="1183"/>
        <v>0</v>
      </c>
      <c r="BG194" s="82">
        <f t="shared" si="1184"/>
        <v>1</v>
      </c>
      <c r="BH194" s="82">
        <f t="shared" si="1185"/>
        <v>166500</v>
      </c>
      <c r="BI194" s="82"/>
      <c r="BJ194" s="83"/>
      <c r="BK194" s="82">
        <f t="shared" si="1186"/>
        <v>0</v>
      </c>
      <c r="BL194" s="82">
        <f t="shared" si="1187"/>
        <v>0</v>
      </c>
      <c r="BM194" s="82"/>
      <c r="BN194" s="82"/>
      <c r="BO194" s="82"/>
      <c r="BP194" s="82"/>
      <c r="BQ194" s="82"/>
      <c r="BR194" s="82"/>
      <c r="BS194" s="82"/>
      <c r="BT194" s="82"/>
      <c r="BU194" s="82"/>
      <c r="BV194" s="82"/>
      <c r="BW194" s="82">
        <f t="shared" si="1188"/>
        <v>0</v>
      </c>
      <c r="BX194" s="82">
        <f t="shared" si="1189"/>
        <v>0</v>
      </c>
      <c r="BY194" s="82">
        <f t="shared" si="1190"/>
        <v>1</v>
      </c>
      <c r="BZ194" s="82">
        <f t="shared" si="1191"/>
        <v>166500</v>
      </c>
      <c r="CA194" s="82"/>
      <c r="CB194" s="82"/>
      <c r="CC194" s="82">
        <f t="shared" si="1192"/>
        <v>0</v>
      </c>
      <c r="CD194" s="82">
        <f t="shared" si="1193"/>
        <v>0</v>
      </c>
      <c r="CE194" s="82"/>
      <c r="CF194" s="82"/>
      <c r="CG194" s="82"/>
      <c r="CH194" s="82"/>
      <c r="CI194" s="82">
        <f t="shared" si="1194"/>
        <v>0</v>
      </c>
      <c r="CJ194" s="82">
        <f t="shared" si="1195"/>
        <v>0</v>
      </c>
      <c r="CK194" s="82">
        <f t="shared" si="1196"/>
        <v>1</v>
      </c>
      <c r="CL194" s="82">
        <f t="shared" si="1197"/>
        <v>166500</v>
      </c>
      <c r="CM194" s="82"/>
      <c r="CN194" s="82"/>
      <c r="CO194" s="82">
        <f t="shared" si="1198"/>
        <v>0</v>
      </c>
      <c r="CP194" s="82">
        <f t="shared" si="1199"/>
        <v>0</v>
      </c>
      <c r="CQ194" s="82"/>
      <c r="CR194" s="82"/>
      <c r="CS194" s="82"/>
      <c r="CT194" s="82"/>
      <c r="CU194" s="82">
        <f t="shared" si="1200"/>
        <v>0</v>
      </c>
      <c r="CV194" s="82">
        <f t="shared" si="1201"/>
        <v>0</v>
      </c>
      <c r="CW194" s="82">
        <f t="shared" si="1202"/>
        <v>1</v>
      </c>
      <c r="CX194" s="82">
        <f t="shared" si="1203"/>
        <v>166500</v>
      </c>
      <c r="CY194" s="82">
        <f t="shared" si="1204"/>
        <v>0</v>
      </c>
      <c r="CZ194" s="82">
        <f t="shared" si="1205"/>
        <v>0</v>
      </c>
      <c r="DA194" s="82">
        <f t="shared" si="1206"/>
        <v>1</v>
      </c>
      <c r="DB194" s="82">
        <f t="shared" si="1207"/>
        <v>166500</v>
      </c>
      <c r="DC194" s="91"/>
      <c r="DD194" s="82"/>
      <c r="DE194" s="82"/>
      <c r="DF194" s="82">
        <f t="shared" si="1208"/>
        <v>0</v>
      </c>
      <c r="DG194" s="82">
        <f t="shared" si="1209"/>
        <v>0</v>
      </c>
      <c r="DH194" s="82"/>
      <c r="DI194" s="82">
        <f t="shared" si="1210"/>
        <v>0</v>
      </c>
      <c r="DJ194" s="82">
        <f t="shared" si="1211"/>
        <v>0</v>
      </c>
      <c r="DK194" s="82"/>
      <c r="DL194" s="82">
        <f t="shared" si="1212"/>
        <v>0</v>
      </c>
      <c r="DM194" s="82">
        <f t="shared" si="1213"/>
        <v>0</v>
      </c>
      <c r="DN194" s="82">
        <f t="shared" si="1214"/>
        <v>1</v>
      </c>
      <c r="DO194" s="82">
        <f t="shared" si="1215"/>
        <v>166500</v>
      </c>
      <c r="DP194" s="82"/>
      <c r="DQ194" s="82"/>
      <c r="DR194" s="82">
        <f t="shared" si="1216"/>
        <v>0</v>
      </c>
      <c r="DS194" s="82">
        <f t="shared" si="1217"/>
        <v>0</v>
      </c>
      <c r="DT194" s="82"/>
      <c r="DU194" s="82"/>
      <c r="DV194" s="82"/>
      <c r="DW194" s="82"/>
      <c r="DX194" s="82">
        <f t="shared" si="1218"/>
        <v>0</v>
      </c>
      <c r="DY194" s="82">
        <f t="shared" si="1219"/>
        <v>0</v>
      </c>
      <c r="DZ194" s="82">
        <f t="shared" si="1220"/>
        <v>1</v>
      </c>
      <c r="EA194" s="82">
        <f t="shared" si="1221"/>
        <v>166500</v>
      </c>
      <c r="EB194" s="82"/>
      <c r="EC194" s="82"/>
      <c r="ED194" s="82">
        <f t="shared" si="1222"/>
        <v>0</v>
      </c>
      <c r="EE194" s="82">
        <f t="shared" si="1223"/>
        <v>0</v>
      </c>
      <c r="EF194" s="82"/>
      <c r="EG194" s="82"/>
      <c r="EH194" s="82"/>
      <c r="EI194" s="82"/>
      <c r="EJ194" s="82">
        <f t="shared" si="1224"/>
        <v>0</v>
      </c>
      <c r="EK194" s="82">
        <f t="shared" si="1225"/>
        <v>0</v>
      </c>
      <c r="EL194" s="82">
        <f t="shared" si="1226"/>
        <v>1</v>
      </c>
      <c r="EM194" s="82">
        <f t="shared" si="1227"/>
        <v>166500</v>
      </c>
      <c r="EN194" s="82">
        <f t="shared" si="1228"/>
        <v>0</v>
      </c>
      <c r="EO194" s="82">
        <f t="shared" si="1229"/>
        <v>0</v>
      </c>
      <c r="EP194" s="82">
        <f t="shared" si="1230"/>
        <v>1</v>
      </c>
      <c r="EQ194" s="82">
        <f t="shared" si="1231"/>
        <v>166500</v>
      </c>
      <c r="ER194" s="82"/>
      <c r="ES194" s="82"/>
      <c r="ET194" s="82">
        <f t="shared" si="1232"/>
        <v>0</v>
      </c>
      <c r="EU194" s="82">
        <f t="shared" si="1233"/>
        <v>0</v>
      </c>
      <c r="EV194" s="82"/>
      <c r="EW194" s="82"/>
      <c r="EX194" s="82"/>
      <c r="EY194" s="82"/>
      <c r="EZ194" s="82">
        <f t="shared" si="1234"/>
        <v>0</v>
      </c>
      <c r="FA194" s="82">
        <f t="shared" si="1235"/>
        <v>0</v>
      </c>
      <c r="FB194" s="82">
        <f t="shared" si="1236"/>
        <v>1</v>
      </c>
      <c r="FC194" s="82">
        <f t="shared" si="1237"/>
        <v>166500</v>
      </c>
      <c r="FD194" s="82"/>
      <c r="FE194" s="82"/>
      <c r="FF194" s="82">
        <f t="shared" si="1238"/>
        <v>0</v>
      </c>
      <c r="FG194" s="82">
        <f t="shared" si="1239"/>
        <v>0</v>
      </c>
      <c r="FH194" s="82"/>
      <c r="FI194" s="82"/>
      <c r="FJ194" s="82"/>
      <c r="FK194" s="82"/>
      <c r="FL194" s="82">
        <f t="shared" si="1240"/>
        <v>0</v>
      </c>
      <c r="FM194" s="82">
        <f t="shared" si="1241"/>
        <v>0</v>
      </c>
      <c r="FN194" s="82">
        <f t="shared" si="1242"/>
        <v>1</v>
      </c>
      <c r="FO194" s="82">
        <f t="shared" si="1243"/>
        <v>166500</v>
      </c>
      <c r="FP194" s="82"/>
      <c r="FQ194" s="82"/>
      <c r="FR194" s="82">
        <f t="shared" si="1244"/>
        <v>0</v>
      </c>
      <c r="FS194" s="82">
        <f t="shared" si="1245"/>
        <v>0</v>
      </c>
      <c r="FT194" s="82"/>
      <c r="FU194" s="82"/>
      <c r="FV194" s="82"/>
      <c r="FW194" s="82"/>
      <c r="FX194" s="82">
        <f t="shared" si="1246"/>
        <v>0</v>
      </c>
      <c r="FY194" s="82">
        <f t="shared" si="1247"/>
        <v>0</v>
      </c>
      <c r="FZ194" s="82">
        <f t="shared" si="1248"/>
        <v>1</v>
      </c>
      <c r="GA194" s="82">
        <f t="shared" si="1249"/>
        <v>166500</v>
      </c>
      <c r="GB194" s="82">
        <f t="shared" si="1250"/>
        <v>0</v>
      </c>
      <c r="GC194" s="82">
        <f t="shared" si="1251"/>
        <v>0</v>
      </c>
      <c r="GD194" s="82">
        <f t="shared" si="1252"/>
        <v>1</v>
      </c>
      <c r="GE194" s="82">
        <f t="shared" si="1253"/>
        <v>166500</v>
      </c>
      <c r="GF194" s="85"/>
    </row>
    <row r="195" ht="29.25" customHeight="1">
      <c r="A195" s="96">
        <v>25.0</v>
      </c>
      <c r="B195" s="58"/>
      <c r="C195" s="58" t="s">
        <v>240</v>
      </c>
      <c r="D195" s="78" t="s">
        <v>134</v>
      </c>
      <c r="E195" s="79">
        <v>166500.0</v>
      </c>
      <c r="F195" s="61" t="s">
        <v>97</v>
      </c>
      <c r="G195" s="81">
        <v>1.0</v>
      </c>
      <c r="H195" s="82">
        <v>166500.0</v>
      </c>
      <c r="I195" s="82"/>
      <c r="J195" s="82"/>
      <c r="K195" s="82">
        <f t="shared" si="1164"/>
        <v>0</v>
      </c>
      <c r="L195" s="82">
        <f t="shared" si="1165"/>
        <v>0</v>
      </c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>
        <f t="shared" si="1166"/>
        <v>0</v>
      </c>
      <c r="AC195" s="82">
        <f t="shared" si="1167"/>
        <v>0</v>
      </c>
      <c r="AD195" s="82">
        <f t="shared" si="1168"/>
        <v>1</v>
      </c>
      <c r="AE195" s="82">
        <f t="shared" si="1169"/>
        <v>166500</v>
      </c>
      <c r="AF195" s="82"/>
      <c r="AG195" s="82"/>
      <c r="AH195" s="82">
        <f t="shared" si="1170"/>
        <v>0</v>
      </c>
      <c r="AI195" s="82">
        <f t="shared" si="1171"/>
        <v>0</v>
      </c>
      <c r="AJ195" s="82"/>
      <c r="AK195" s="82"/>
      <c r="AL195" s="82"/>
      <c r="AM195" s="82"/>
      <c r="AN195" s="82">
        <f t="shared" si="1172"/>
        <v>0</v>
      </c>
      <c r="AO195" s="82">
        <f t="shared" si="1173"/>
        <v>0</v>
      </c>
      <c r="AP195" s="82">
        <f t="shared" si="1174"/>
        <v>1</v>
      </c>
      <c r="AQ195" s="82">
        <f t="shared" si="1175"/>
        <v>166500</v>
      </c>
      <c r="AR195" s="82"/>
      <c r="AS195" s="82"/>
      <c r="AT195" s="82"/>
      <c r="AU195" s="82">
        <f t="shared" si="1176"/>
        <v>0</v>
      </c>
      <c r="AV195" s="82">
        <f t="shared" si="1177"/>
        <v>0</v>
      </c>
      <c r="AW195" s="82"/>
      <c r="AX195" s="82"/>
      <c r="AY195" s="82"/>
      <c r="AZ195" s="82"/>
      <c r="BA195" s="82">
        <f t="shared" si="1178"/>
        <v>0</v>
      </c>
      <c r="BB195" s="82">
        <f t="shared" si="1179"/>
        <v>0</v>
      </c>
      <c r="BC195" s="82">
        <f t="shared" si="1180"/>
        <v>1</v>
      </c>
      <c r="BD195" s="82">
        <f t="shared" si="1181"/>
        <v>166500</v>
      </c>
      <c r="BE195" s="82">
        <f t="shared" si="1182"/>
        <v>0</v>
      </c>
      <c r="BF195" s="82">
        <f t="shared" si="1183"/>
        <v>0</v>
      </c>
      <c r="BG195" s="82">
        <f t="shared" si="1184"/>
        <v>1</v>
      </c>
      <c r="BH195" s="82">
        <f t="shared" si="1185"/>
        <v>166500</v>
      </c>
      <c r="BI195" s="82"/>
      <c r="BJ195" s="83"/>
      <c r="BK195" s="82">
        <f t="shared" si="1186"/>
        <v>0</v>
      </c>
      <c r="BL195" s="82">
        <f t="shared" si="1187"/>
        <v>0</v>
      </c>
      <c r="BM195" s="82"/>
      <c r="BN195" s="82"/>
      <c r="BO195" s="82"/>
      <c r="BP195" s="82"/>
      <c r="BQ195" s="82"/>
      <c r="BR195" s="82"/>
      <c r="BS195" s="82"/>
      <c r="BT195" s="82"/>
      <c r="BU195" s="82"/>
      <c r="BV195" s="82"/>
      <c r="BW195" s="82">
        <f t="shared" si="1188"/>
        <v>0</v>
      </c>
      <c r="BX195" s="82">
        <f t="shared" si="1189"/>
        <v>0</v>
      </c>
      <c r="BY195" s="82">
        <f t="shared" si="1190"/>
        <v>1</v>
      </c>
      <c r="BZ195" s="82">
        <f t="shared" si="1191"/>
        <v>166500</v>
      </c>
      <c r="CA195" s="82"/>
      <c r="CB195" s="82"/>
      <c r="CC195" s="82">
        <f t="shared" si="1192"/>
        <v>0</v>
      </c>
      <c r="CD195" s="82">
        <f t="shared" si="1193"/>
        <v>0</v>
      </c>
      <c r="CE195" s="82"/>
      <c r="CF195" s="82"/>
      <c r="CG195" s="82"/>
      <c r="CH195" s="82"/>
      <c r="CI195" s="82">
        <f t="shared" si="1194"/>
        <v>0</v>
      </c>
      <c r="CJ195" s="82">
        <f t="shared" si="1195"/>
        <v>0</v>
      </c>
      <c r="CK195" s="82">
        <f t="shared" si="1196"/>
        <v>1</v>
      </c>
      <c r="CL195" s="82">
        <f t="shared" si="1197"/>
        <v>166500</v>
      </c>
      <c r="CM195" s="82"/>
      <c r="CN195" s="82"/>
      <c r="CO195" s="82">
        <f t="shared" si="1198"/>
        <v>0</v>
      </c>
      <c r="CP195" s="82">
        <f t="shared" si="1199"/>
        <v>0</v>
      </c>
      <c r="CQ195" s="82"/>
      <c r="CR195" s="82"/>
      <c r="CS195" s="82"/>
      <c r="CT195" s="82"/>
      <c r="CU195" s="82">
        <f t="shared" si="1200"/>
        <v>0</v>
      </c>
      <c r="CV195" s="82">
        <f t="shared" si="1201"/>
        <v>0</v>
      </c>
      <c r="CW195" s="82">
        <f t="shared" si="1202"/>
        <v>1</v>
      </c>
      <c r="CX195" s="82">
        <f t="shared" si="1203"/>
        <v>166500</v>
      </c>
      <c r="CY195" s="82">
        <f t="shared" si="1204"/>
        <v>0</v>
      </c>
      <c r="CZ195" s="82">
        <f t="shared" si="1205"/>
        <v>0</v>
      </c>
      <c r="DA195" s="82">
        <f t="shared" si="1206"/>
        <v>1</v>
      </c>
      <c r="DB195" s="82">
        <f t="shared" si="1207"/>
        <v>166500</v>
      </c>
      <c r="DC195" s="91"/>
      <c r="DD195" s="82"/>
      <c r="DE195" s="82"/>
      <c r="DF195" s="82">
        <f t="shared" si="1208"/>
        <v>0</v>
      </c>
      <c r="DG195" s="82">
        <f t="shared" si="1209"/>
        <v>0</v>
      </c>
      <c r="DH195" s="82"/>
      <c r="DI195" s="82">
        <f t="shared" si="1210"/>
        <v>0</v>
      </c>
      <c r="DJ195" s="82">
        <f t="shared" si="1211"/>
        <v>0</v>
      </c>
      <c r="DK195" s="82"/>
      <c r="DL195" s="82">
        <f t="shared" si="1212"/>
        <v>0</v>
      </c>
      <c r="DM195" s="82">
        <f t="shared" si="1213"/>
        <v>0</v>
      </c>
      <c r="DN195" s="82">
        <f t="shared" si="1214"/>
        <v>1</v>
      </c>
      <c r="DO195" s="82">
        <f t="shared" si="1215"/>
        <v>166500</v>
      </c>
      <c r="DP195" s="82"/>
      <c r="DQ195" s="82"/>
      <c r="DR195" s="82">
        <f t="shared" si="1216"/>
        <v>0</v>
      </c>
      <c r="DS195" s="82">
        <f t="shared" si="1217"/>
        <v>0</v>
      </c>
      <c r="DT195" s="82"/>
      <c r="DU195" s="82"/>
      <c r="DV195" s="82"/>
      <c r="DW195" s="82"/>
      <c r="DX195" s="82">
        <f t="shared" si="1218"/>
        <v>0</v>
      </c>
      <c r="DY195" s="82">
        <f t="shared" si="1219"/>
        <v>0</v>
      </c>
      <c r="DZ195" s="82">
        <f t="shared" si="1220"/>
        <v>1</v>
      </c>
      <c r="EA195" s="82">
        <f t="shared" si="1221"/>
        <v>166500</v>
      </c>
      <c r="EB195" s="82"/>
      <c r="EC195" s="82"/>
      <c r="ED195" s="82">
        <f t="shared" si="1222"/>
        <v>0</v>
      </c>
      <c r="EE195" s="82">
        <f t="shared" si="1223"/>
        <v>0</v>
      </c>
      <c r="EF195" s="82"/>
      <c r="EG195" s="82"/>
      <c r="EH195" s="82"/>
      <c r="EI195" s="82"/>
      <c r="EJ195" s="82">
        <f t="shared" si="1224"/>
        <v>0</v>
      </c>
      <c r="EK195" s="82">
        <f t="shared" si="1225"/>
        <v>0</v>
      </c>
      <c r="EL195" s="82">
        <f t="shared" si="1226"/>
        <v>1</v>
      </c>
      <c r="EM195" s="82">
        <f t="shared" si="1227"/>
        <v>166500</v>
      </c>
      <c r="EN195" s="82">
        <f t="shared" si="1228"/>
        <v>0</v>
      </c>
      <c r="EO195" s="82">
        <f t="shared" si="1229"/>
        <v>0</v>
      </c>
      <c r="EP195" s="82">
        <f t="shared" si="1230"/>
        <v>1</v>
      </c>
      <c r="EQ195" s="82">
        <f t="shared" si="1231"/>
        <v>166500</v>
      </c>
      <c r="ER195" s="82"/>
      <c r="ES195" s="82"/>
      <c r="ET195" s="82">
        <f t="shared" si="1232"/>
        <v>0</v>
      </c>
      <c r="EU195" s="82">
        <f t="shared" si="1233"/>
        <v>0</v>
      </c>
      <c r="EV195" s="82"/>
      <c r="EW195" s="82"/>
      <c r="EX195" s="82"/>
      <c r="EY195" s="82"/>
      <c r="EZ195" s="82">
        <f t="shared" si="1234"/>
        <v>0</v>
      </c>
      <c r="FA195" s="82">
        <f t="shared" si="1235"/>
        <v>0</v>
      </c>
      <c r="FB195" s="82">
        <f t="shared" si="1236"/>
        <v>1</v>
      </c>
      <c r="FC195" s="82">
        <f t="shared" si="1237"/>
        <v>166500</v>
      </c>
      <c r="FD195" s="82"/>
      <c r="FE195" s="82"/>
      <c r="FF195" s="82">
        <f t="shared" si="1238"/>
        <v>0</v>
      </c>
      <c r="FG195" s="82">
        <f t="shared" si="1239"/>
        <v>0</v>
      </c>
      <c r="FH195" s="82"/>
      <c r="FI195" s="82"/>
      <c r="FJ195" s="82"/>
      <c r="FK195" s="82"/>
      <c r="FL195" s="82">
        <f t="shared" si="1240"/>
        <v>0</v>
      </c>
      <c r="FM195" s="82">
        <f t="shared" si="1241"/>
        <v>0</v>
      </c>
      <c r="FN195" s="82">
        <f t="shared" si="1242"/>
        <v>1</v>
      </c>
      <c r="FO195" s="82">
        <f t="shared" si="1243"/>
        <v>166500</v>
      </c>
      <c r="FP195" s="82"/>
      <c r="FQ195" s="82"/>
      <c r="FR195" s="82">
        <f t="shared" si="1244"/>
        <v>0</v>
      </c>
      <c r="FS195" s="82">
        <f t="shared" si="1245"/>
        <v>0</v>
      </c>
      <c r="FT195" s="82"/>
      <c r="FU195" s="82"/>
      <c r="FV195" s="82"/>
      <c r="FW195" s="82"/>
      <c r="FX195" s="82">
        <f t="shared" si="1246"/>
        <v>0</v>
      </c>
      <c r="FY195" s="82">
        <f t="shared" si="1247"/>
        <v>0</v>
      </c>
      <c r="FZ195" s="82">
        <f t="shared" si="1248"/>
        <v>1</v>
      </c>
      <c r="GA195" s="82">
        <f t="shared" si="1249"/>
        <v>166500</v>
      </c>
      <c r="GB195" s="82">
        <f t="shared" si="1250"/>
        <v>0</v>
      </c>
      <c r="GC195" s="82">
        <f t="shared" si="1251"/>
        <v>0</v>
      </c>
      <c r="GD195" s="82">
        <f t="shared" si="1252"/>
        <v>1</v>
      </c>
      <c r="GE195" s="82">
        <f t="shared" si="1253"/>
        <v>166500</v>
      </c>
      <c r="GF195" s="85"/>
    </row>
    <row r="196" ht="29.25" customHeight="1">
      <c r="A196" s="96"/>
      <c r="B196" s="58"/>
      <c r="C196" s="88" t="s">
        <v>241</v>
      </c>
      <c r="D196" s="89" t="s">
        <v>222</v>
      </c>
      <c r="E196" s="86">
        <f>40000+(40000*11%)</f>
        <v>44400</v>
      </c>
      <c r="F196" s="80" t="s">
        <v>242</v>
      </c>
      <c r="G196" s="81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3"/>
      <c r="V196" s="83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3"/>
      <c r="BK196" s="82"/>
      <c r="BL196" s="82"/>
      <c r="BM196" s="82"/>
      <c r="BN196" s="83"/>
      <c r="BO196" s="82"/>
      <c r="BP196" s="82"/>
      <c r="BQ196" s="82"/>
      <c r="BR196" s="82"/>
      <c r="BS196" s="82"/>
      <c r="BT196" s="82"/>
      <c r="BU196" s="82"/>
      <c r="BV196" s="82"/>
      <c r="BW196" s="82"/>
      <c r="BX196" s="82"/>
      <c r="BY196" s="82"/>
      <c r="BZ196" s="82"/>
      <c r="CA196" s="82"/>
      <c r="CB196" s="82"/>
      <c r="CC196" s="82"/>
      <c r="CD196" s="82"/>
      <c r="CE196" s="82"/>
      <c r="CF196" s="82"/>
      <c r="CG196" s="82"/>
      <c r="CH196" s="82"/>
      <c r="CI196" s="82"/>
      <c r="CJ196" s="82"/>
      <c r="CK196" s="82"/>
      <c r="CL196" s="82"/>
      <c r="CM196" s="82"/>
      <c r="CN196" s="82"/>
      <c r="CO196" s="82"/>
      <c r="CP196" s="82"/>
      <c r="CQ196" s="82"/>
      <c r="CR196" s="82"/>
      <c r="CS196" s="82"/>
      <c r="CT196" s="82"/>
      <c r="CU196" s="82"/>
      <c r="CV196" s="82"/>
      <c r="CW196" s="82"/>
      <c r="CX196" s="82"/>
      <c r="CY196" s="82"/>
      <c r="CZ196" s="82"/>
      <c r="DA196" s="82"/>
      <c r="DB196" s="82"/>
      <c r="DC196" s="91"/>
      <c r="DD196" s="83">
        <v>50.0</v>
      </c>
      <c r="DE196" s="82"/>
      <c r="DF196" s="82"/>
      <c r="DG196" s="82">
        <f>DD196*E196</f>
        <v>2220000</v>
      </c>
      <c r="DH196" s="82"/>
      <c r="DI196" s="82"/>
      <c r="DJ196" s="82"/>
      <c r="DK196" s="82"/>
      <c r="DL196" s="82"/>
      <c r="DM196" s="82"/>
      <c r="DN196" s="82"/>
      <c r="DO196" s="82"/>
      <c r="DP196" s="82"/>
      <c r="DQ196" s="82"/>
      <c r="DR196" s="82"/>
      <c r="DS196" s="82"/>
      <c r="DT196" s="82"/>
      <c r="DU196" s="82"/>
      <c r="DV196" s="82"/>
      <c r="DW196" s="82"/>
      <c r="DX196" s="82"/>
      <c r="DY196" s="82"/>
      <c r="DZ196" s="82"/>
      <c r="EA196" s="82"/>
      <c r="EB196" s="82"/>
      <c r="EC196" s="82"/>
      <c r="ED196" s="82"/>
      <c r="EE196" s="82"/>
      <c r="EF196" s="82"/>
      <c r="EG196" s="82"/>
      <c r="EH196" s="82"/>
      <c r="EI196" s="82"/>
      <c r="EJ196" s="82"/>
      <c r="EK196" s="82"/>
      <c r="EL196" s="82"/>
      <c r="EM196" s="82"/>
      <c r="EN196" s="82"/>
      <c r="EO196" s="82"/>
      <c r="EP196" s="82"/>
      <c r="EQ196" s="82"/>
      <c r="ER196" s="82"/>
      <c r="ES196" s="82"/>
      <c r="ET196" s="82"/>
      <c r="EU196" s="82"/>
      <c r="EV196" s="82"/>
      <c r="EW196" s="82"/>
      <c r="EX196" s="82"/>
      <c r="EY196" s="82"/>
      <c r="EZ196" s="82"/>
      <c r="FA196" s="82"/>
      <c r="FB196" s="82"/>
      <c r="FC196" s="82"/>
      <c r="FD196" s="82"/>
      <c r="FE196" s="82"/>
      <c r="FF196" s="82"/>
      <c r="FG196" s="82"/>
      <c r="FH196" s="82"/>
      <c r="FI196" s="82"/>
      <c r="FJ196" s="82"/>
      <c r="FK196" s="82"/>
      <c r="FL196" s="82"/>
      <c r="FM196" s="82"/>
      <c r="FN196" s="82"/>
      <c r="FO196" s="82"/>
      <c r="FP196" s="82"/>
      <c r="FQ196" s="82"/>
      <c r="FR196" s="82"/>
      <c r="FS196" s="82"/>
      <c r="FT196" s="82"/>
      <c r="FU196" s="82"/>
      <c r="FV196" s="82"/>
      <c r="FW196" s="82"/>
      <c r="FX196" s="82"/>
      <c r="FY196" s="82"/>
      <c r="FZ196" s="82"/>
      <c r="GA196" s="82"/>
      <c r="GB196" s="82"/>
      <c r="GC196" s="82"/>
      <c r="GD196" s="82"/>
      <c r="GE196" s="82"/>
      <c r="GF196" s="85"/>
    </row>
    <row r="197" ht="29.25" customHeight="1">
      <c r="A197" s="76">
        <v>23.0</v>
      </c>
      <c r="B197" s="77"/>
      <c r="C197" s="77" t="s">
        <v>243</v>
      </c>
      <c r="D197" s="78" t="s">
        <v>134</v>
      </c>
      <c r="E197" s="79">
        <v>183150.0</v>
      </c>
      <c r="F197" s="61" t="s">
        <v>110</v>
      </c>
      <c r="G197" s="81">
        <v>3.0</v>
      </c>
      <c r="H197" s="82">
        <v>549450.0</v>
      </c>
      <c r="I197" s="82"/>
      <c r="J197" s="82"/>
      <c r="K197" s="82">
        <f t="shared" ref="K197:K198" si="1254">SUM(I197:J197)</f>
        <v>0</v>
      </c>
      <c r="L197" s="82">
        <f t="shared" ref="L197:L198" si="1255">K197*E197</f>
        <v>0</v>
      </c>
      <c r="M197" s="82"/>
      <c r="N197" s="82"/>
      <c r="O197" s="82"/>
      <c r="P197" s="82"/>
      <c r="Q197" s="82"/>
      <c r="R197" s="82"/>
      <c r="S197" s="82"/>
      <c r="T197" s="82"/>
      <c r="U197" s="83">
        <v>1.0</v>
      </c>
      <c r="V197" s="83">
        <v>1.0</v>
      </c>
      <c r="W197" s="82"/>
      <c r="X197" s="82"/>
      <c r="Y197" s="82"/>
      <c r="Z197" s="82"/>
      <c r="AA197" s="82"/>
      <c r="AB197" s="82">
        <f t="shared" ref="AB197:AB198" si="1256">SUM(M197:AA197)</f>
        <v>2</v>
      </c>
      <c r="AC197" s="82">
        <f t="shared" ref="AC197:AC198" si="1257">AB197*E197</f>
        <v>366300</v>
      </c>
      <c r="AD197" s="82">
        <f t="shared" ref="AD197:AD198" si="1258">G197+K197-AB197</f>
        <v>1</v>
      </c>
      <c r="AE197" s="82">
        <f t="shared" ref="AE197:AE198" si="1259">AD197*E197</f>
        <v>183150</v>
      </c>
      <c r="AF197" s="82"/>
      <c r="AG197" s="82"/>
      <c r="AH197" s="82">
        <f t="shared" ref="AH197:AH198" si="1260">SUM(AF197:AG197)</f>
        <v>0</v>
      </c>
      <c r="AI197" s="82">
        <f t="shared" ref="AI197:AI198" si="1261">AH197*E197</f>
        <v>0</v>
      </c>
      <c r="AJ197" s="82"/>
      <c r="AK197" s="82"/>
      <c r="AL197" s="82"/>
      <c r="AM197" s="82"/>
      <c r="AN197" s="82">
        <f t="shared" ref="AN197:AN198" si="1262">SUM(AJ197:AM197)</f>
        <v>0</v>
      </c>
      <c r="AO197" s="82">
        <f t="shared" ref="AO197:AO198" si="1263">AN197*E197</f>
        <v>0</v>
      </c>
      <c r="AP197" s="82">
        <f t="shared" ref="AP197:AP198" si="1264">AD197+AH197-AN197</f>
        <v>1</v>
      </c>
      <c r="AQ197" s="82">
        <f t="shared" ref="AQ197:AQ198" si="1265">AP197*E197</f>
        <v>183150</v>
      </c>
      <c r="AR197" s="82"/>
      <c r="AS197" s="82"/>
      <c r="AT197" s="82"/>
      <c r="AU197" s="82">
        <f t="shared" ref="AU197:AU198" si="1266">SUM(AS197:AT197)</f>
        <v>0</v>
      </c>
      <c r="AV197" s="82">
        <f t="shared" ref="AV197:AV198" si="1267">AU197*AB197</f>
        <v>0</v>
      </c>
      <c r="AW197" s="82"/>
      <c r="AX197" s="82"/>
      <c r="AY197" s="82"/>
      <c r="AZ197" s="82"/>
      <c r="BA197" s="82">
        <f t="shared" ref="BA197:BA198" si="1268">SUM(AW197:AZ197)</f>
        <v>0</v>
      </c>
      <c r="BB197" s="82">
        <f t="shared" ref="BB197:BB198" si="1269">BA197*AB197</f>
        <v>0</v>
      </c>
      <c r="BC197" s="82">
        <f t="shared" ref="BC197:BC198" si="1270">AP197+AU197-BA197</f>
        <v>1</v>
      </c>
      <c r="BD197" s="82">
        <f t="shared" ref="BD197:BD198" si="1271">BC197*E197</f>
        <v>183150</v>
      </c>
      <c r="BE197" s="82">
        <f t="shared" ref="BE197:BE198" si="1272">K197+AH197+AU197</f>
        <v>0</v>
      </c>
      <c r="BF197" s="82">
        <f t="shared" ref="BF197:BF198" si="1273">AB197+AN197+BA197</f>
        <v>2</v>
      </c>
      <c r="BG197" s="82">
        <f t="shared" ref="BG197:BG198" si="1274">G197+BE197-BF197</f>
        <v>1</v>
      </c>
      <c r="BH197" s="82">
        <f t="shared" ref="BH197:BH198" si="1275">BG197*E197</f>
        <v>183150</v>
      </c>
      <c r="BI197" s="82"/>
      <c r="BJ197" s="83"/>
      <c r="BK197" s="82">
        <f t="shared" ref="BK197:BK198" si="1276">SUM(BI197:BJ197)</f>
        <v>0</v>
      </c>
      <c r="BL197" s="82">
        <f t="shared" ref="BL197:BL198" si="1277">BK197*E197</f>
        <v>0</v>
      </c>
      <c r="BM197" s="82"/>
      <c r="BN197" s="83">
        <v>1.0</v>
      </c>
      <c r="BO197" s="82"/>
      <c r="BP197" s="82"/>
      <c r="BQ197" s="82"/>
      <c r="BR197" s="82"/>
      <c r="BS197" s="82"/>
      <c r="BT197" s="82"/>
      <c r="BU197" s="82"/>
      <c r="BV197" s="82"/>
      <c r="BW197" s="82">
        <f t="shared" ref="BW197:BW198" si="1278">SUM(BM197:BV197)</f>
        <v>1</v>
      </c>
      <c r="BX197" s="82">
        <f t="shared" ref="BX197:BX198" si="1279">BW197*E197</f>
        <v>183150</v>
      </c>
      <c r="BY197" s="82">
        <f t="shared" ref="BY197:BY198" si="1280">BG197+BK197-BW197</f>
        <v>0</v>
      </c>
      <c r="BZ197" s="82">
        <f t="shared" ref="BZ197:BZ198" si="1281">BY197*E197</f>
        <v>0</v>
      </c>
      <c r="CA197" s="82"/>
      <c r="CB197" s="82"/>
      <c r="CC197" s="82">
        <f t="shared" ref="CC197:CC198" si="1282">sum(CA197:CB197)</f>
        <v>0</v>
      </c>
      <c r="CD197" s="82">
        <f t="shared" ref="CD197:CD198" si="1283">CC197*E197</f>
        <v>0</v>
      </c>
      <c r="CE197" s="82"/>
      <c r="CF197" s="82"/>
      <c r="CG197" s="82"/>
      <c r="CH197" s="82"/>
      <c r="CI197" s="82">
        <f t="shared" ref="CI197:CI198" si="1284">sum(CE197:CH197)</f>
        <v>0</v>
      </c>
      <c r="CJ197" s="82">
        <f t="shared" ref="CJ197:CJ198" si="1285">CI197*E197</f>
        <v>0</v>
      </c>
      <c r="CK197" s="82">
        <f t="shared" ref="CK197:CK198" si="1286">BY197+CC197-CI197</f>
        <v>0</v>
      </c>
      <c r="CL197" s="82">
        <f t="shared" ref="CL197:CL198" si="1287">CK197*E197</f>
        <v>0</v>
      </c>
      <c r="CM197" s="82"/>
      <c r="CN197" s="82"/>
      <c r="CO197" s="82">
        <f t="shared" ref="CO197:CO198" si="1288">SUM(CM197:CN197)</f>
        <v>0</v>
      </c>
      <c r="CP197" s="82">
        <f t="shared" ref="CP197:CP198" si="1289">CO197*E197</f>
        <v>0</v>
      </c>
      <c r="CQ197" s="82"/>
      <c r="CR197" s="82"/>
      <c r="CS197" s="82"/>
      <c r="CT197" s="82"/>
      <c r="CU197" s="82">
        <f t="shared" ref="CU197:CU198" si="1290">sum(CQ197:CT197)</f>
        <v>0</v>
      </c>
      <c r="CV197" s="82">
        <f t="shared" ref="CV197:CV198" si="1291">CU197*E197</f>
        <v>0</v>
      </c>
      <c r="CW197" s="82">
        <f t="shared" ref="CW197:CW198" si="1292">CK197+CO197-CU197</f>
        <v>0</v>
      </c>
      <c r="CX197" s="82">
        <f t="shared" ref="CX197:CX198" si="1293">CW197*E197</f>
        <v>0</v>
      </c>
      <c r="CY197" s="82">
        <f t="shared" ref="CY197:CY198" si="1294">BK197+CC197+CO197</f>
        <v>0</v>
      </c>
      <c r="CZ197" s="82">
        <f t="shared" ref="CZ197:CZ198" si="1295">BW197+CI197+CU197</f>
        <v>1</v>
      </c>
      <c r="DA197" s="82">
        <f t="shared" ref="DA197:DA198" si="1296">BG197+CY197-CZ197</f>
        <v>0</v>
      </c>
      <c r="DB197" s="82">
        <f t="shared" ref="DB197:DB198" si="1297">DA197*E197</f>
        <v>0</v>
      </c>
      <c r="DC197" s="91"/>
      <c r="DD197" s="82"/>
      <c r="DE197" s="82"/>
      <c r="DF197" s="82">
        <f t="shared" ref="DF197:DF198" si="1298">SUM(DD197:DE197)</f>
        <v>0</v>
      </c>
      <c r="DG197" s="82">
        <f t="shared" ref="DG197:DG198" si="1299">DF197*U197</f>
        <v>0</v>
      </c>
      <c r="DH197" s="82"/>
      <c r="DI197" s="82">
        <f t="shared" ref="DI197:DI198" si="1300">SUM(DG197:DH197)</f>
        <v>0</v>
      </c>
      <c r="DJ197" s="82">
        <f t="shared" ref="DJ197:DJ198" si="1301">DI197*X197</f>
        <v>0</v>
      </c>
      <c r="DK197" s="82"/>
      <c r="DL197" s="82">
        <f t="shared" ref="DL197:DL198" si="1302">sum(DH197:DK197)</f>
        <v>0</v>
      </c>
      <c r="DM197" s="82">
        <f t="shared" ref="DM197:DM198" si="1303">DL197*E197</f>
        <v>0</v>
      </c>
      <c r="DN197" s="82">
        <f t="shared" ref="DN197:DN198" si="1304">DA197+DF197-DL197</f>
        <v>0</v>
      </c>
      <c r="DO197" s="82">
        <f t="shared" ref="DO197:DO198" si="1305">DN197*E197</f>
        <v>0</v>
      </c>
      <c r="DP197" s="82"/>
      <c r="DQ197" s="82"/>
      <c r="DR197" s="82">
        <f t="shared" ref="DR197:DR198" si="1306">sum(DP197:DQ197)</f>
        <v>0</v>
      </c>
      <c r="DS197" s="82">
        <f t="shared" ref="DS197:DS198" si="1307">DR197*AB197</f>
        <v>0</v>
      </c>
      <c r="DT197" s="82"/>
      <c r="DU197" s="82"/>
      <c r="DV197" s="82"/>
      <c r="DW197" s="82"/>
      <c r="DX197" s="82">
        <f t="shared" ref="DX197:DX198" si="1308">sum(DT197:DW197)</f>
        <v>0</v>
      </c>
      <c r="DY197" s="82">
        <f t="shared" ref="DY197:DY198" si="1309">DX197*AB197</f>
        <v>0</v>
      </c>
      <c r="DZ197" s="82">
        <f t="shared" ref="DZ197:DZ198" si="1310">DN197+DR197-DX197</f>
        <v>0</v>
      </c>
      <c r="EA197" s="82">
        <f t="shared" ref="EA197:EA198" si="1311">DZ197*E197</f>
        <v>0</v>
      </c>
      <c r="EB197" s="82"/>
      <c r="EC197" s="82"/>
      <c r="ED197" s="82">
        <f t="shared" ref="ED197:ED198" si="1312">sum(EB197:EC197)</f>
        <v>0</v>
      </c>
      <c r="EE197" s="82">
        <f t="shared" ref="EE197:EE198" si="1313">ED197*AN197</f>
        <v>0</v>
      </c>
      <c r="EF197" s="82"/>
      <c r="EG197" s="82"/>
      <c r="EH197" s="82"/>
      <c r="EI197" s="82"/>
      <c r="EJ197" s="82">
        <f t="shared" ref="EJ197:EJ198" si="1314">sum(EF197:EI197)</f>
        <v>0</v>
      </c>
      <c r="EK197" s="82">
        <f t="shared" ref="EK197:EK198" si="1315">EJ197*AN197</f>
        <v>0</v>
      </c>
      <c r="EL197" s="82">
        <f t="shared" ref="EL197:EL198" si="1316">DZ197+ED197-EJ197</f>
        <v>0</v>
      </c>
      <c r="EM197" s="82">
        <f t="shared" ref="EM197:EM198" si="1317">EL197*E197</f>
        <v>0</v>
      </c>
      <c r="EN197" s="82">
        <f t="shared" ref="EN197:EN198" si="1318">DF197+DR197+ED197</f>
        <v>0</v>
      </c>
      <c r="EO197" s="82">
        <f t="shared" ref="EO197:EO198" si="1319">DL197+DX197+EJ197</f>
        <v>0</v>
      </c>
      <c r="EP197" s="82">
        <f t="shared" ref="EP197:EP198" si="1320">DA197+EN197-EO197</f>
        <v>0</v>
      </c>
      <c r="EQ197" s="82">
        <f t="shared" ref="EQ197:EQ198" si="1321">EP197*E197</f>
        <v>0</v>
      </c>
      <c r="ER197" s="82"/>
      <c r="ES197" s="82"/>
      <c r="ET197" s="82">
        <f t="shared" ref="ET197:ET198" si="1322">sum(ER197:ES197)</f>
        <v>0</v>
      </c>
      <c r="EU197" s="82">
        <f t="shared" ref="EU197:EU198" si="1323">ET197*BE197</f>
        <v>0</v>
      </c>
      <c r="EV197" s="82"/>
      <c r="EW197" s="82"/>
      <c r="EX197" s="82"/>
      <c r="EY197" s="82"/>
      <c r="EZ197" s="82">
        <f t="shared" ref="EZ197:EZ198" si="1324">sum(EV197:EY197)</f>
        <v>0</v>
      </c>
      <c r="FA197" s="82">
        <f t="shared" ref="FA197:FA198" si="1325">EZ197*BE197</f>
        <v>0</v>
      </c>
      <c r="FB197" s="82">
        <f t="shared" ref="FB197:FB198" si="1326">EP197+ET197-EZ197</f>
        <v>0</v>
      </c>
      <c r="FC197" s="82">
        <f t="shared" ref="FC197:FC198" si="1327">FB197*E197</f>
        <v>0</v>
      </c>
      <c r="FD197" s="82"/>
      <c r="FE197" s="82"/>
      <c r="FF197" s="82">
        <f t="shared" ref="FF197:FF198" si="1328">sum(FD197:FE197)</f>
        <v>0</v>
      </c>
      <c r="FG197" s="82">
        <f t="shared" ref="FG197:FG198" si="1329">FF197*BW197</f>
        <v>0</v>
      </c>
      <c r="FH197" s="82"/>
      <c r="FI197" s="82"/>
      <c r="FJ197" s="82"/>
      <c r="FK197" s="82"/>
      <c r="FL197" s="82">
        <f t="shared" ref="FL197:FL198" si="1330">sum(FH197:FK197)</f>
        <v>0</v>
      </c>
      <c r="FM197" s="82">
        <f t="shared" ref="FM197:FM198" si="1331">FL197*BW197</f>
        <v>0</v>
      </c>
      <c r="FN197" s="82">
        <f t="shared" ref="FN197:FN198" si="1332">FB197+FF197-FL197</f>
        <v>0</v>
      </c>
      <c r="FO197" s="82">
        <f t="shared" ref="FO197:FO198" si="1333">FN197*E197</f>
        <v>0</v>
      </c>
      <c r="FP197" s="82"/>
      <c r="FQ197" s="82"/>
      <c r="FR197" s="82">
        <f t="shared" ref="FR197:FR198" si="1334">sum(FP197:FQ197)</f>
        <v>0</v>
      </c>
      <c r="FS197" s="82">
        <f t="shared" ref="FS197:FS198" si="1335">FR197*CI197</f>
        <v>0</v>
      </c>
      <c r="FT197" s="82"/>
      <c r="FU197" s="82"/>
      <c r="FV197" s="82"/>
      <c r="FW197" s="82"/>
      <c r="FX197" s="82">
        <f t="shared" ref="FX197:FX198" si="1336">sum(FT197:FW197)</f>
        <v>0</v>
      </c>
      <c r="FY197" s="82">
        <f t="shared" ref="FY197:FY198" si="1337">FX197*CI197</f>
        <v>0</v>
      </c>
      <c r="FZ197" s="82">
        <f t="shared" ref="FZ197:FZ198" si="1338">FN197+FR197-FX197</f>
        <v>0</v>
      </c>
      <c r="GA197" s="82">
        <f t="shared" ref="GA197:GA198" si="1339">FZ197*E197</f>
        <v>0</v>
      </c>
      <c r="GB197" s="82">
        <f t="shared" ref="GB197:GB198" si="1340">ET197+FF197+FR197</f>
        <v>0</v>
      </c>
      <c r="GC197" s="82">
        <f t="shared" ref="GC197:GC198" si="1341">EZ197+FL197+FX197</f>
        <v>0</v>
      </c>
      <c r="GD197" s="82">
        <f t="shared" ref="GD197:GD198" si="1342">EP197+GB197-GC197</f>
        <v>0</v>
      </c>
      <c r="GE197" s="82">
        <f t="shared" ref="GE197:GE198" si="1343">GD197*E197</f>
        <v>0</v>
      </c>
      <c r="GF197" s="85"/>
    </row>
    <row r="198" ht="29.25" customHeight="1">
      <c r="A198" s="50"/>
      <c r="B198" s="50"/>
      <c r="C198" s="16"/>
      <c r="D198" s="78" t="s">
        <v>134</v>
      </c>
      <c r="E198" s="79">
        <v>165000.0</v>
      </c>
      <c r="F198" s="61" t="s">
        <v>110</v>
      </c>
      <c r="G198" s="81">
        <v>5.0</v>
      </c>
      <c r="H198" s="82">
        <v>825000.0</v>
      </c>
      <c r="I198" s="82"/>
      <c r="J198" s="82"/>
      <c r="K198" s="82">
        <f t="shared" si="1254"/>
        <v>0</v>
      </c>
      <c r="L198" s="82">
        <f t="shared" si="1255"/>
        <v>0</v>
      </c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>
        <f t="shared" si="1256"/>
        <v>0</v>
      </c>
      <c r="AC198" s="82">
        <f t="shared" si="1257"/>
        <v>0</v>
      </c>
      <c r="AD198" s="82">
        <f t="shared" si="1258"/>
        <v>5</v>
      </c>
      <c r="AE198" s="82">
        <f t="shared" si="1259"/>
        <v>825000</v>
      </c>
      <c r="AF198" s="82"/>
      <c r="AG198" s="82"/>
      <c r="AH198" s="82">
        <f t="shared" si="1260"/>
        <v>0</v>
      </c>
      <c r="AI198" s="82">
        <f t="shared" si="1261"/>
        <v>0</v>
      </c>
      <c r="AJ198" s="82"/>
      <c r="AK198" s="82"/>
      <c r="AL198" s="82"/>
      <c r="AM198" s="82"/>
      <c r="AN198" s="82">
        <f t="shared" si="1262"/>
        <v>0</v>
      </c>
      <c r="AO198" s="82">
        <f t="shared" si="1263"/>
        <v>0</v>
      </c>
      <c r="AP198" s="82">
        <f t="shared" si="1264"/>
        <v>5</v>
      </c>
      <c r="AQ198" s="82">
        <f t="shared" si="1265"/>
        <v>825000</v>
      </c>
      <c r="AR198" s="82"/>
      <c r="AS198" s="82"/>
      <c r="AT198" s="82"/>
      <c r="AU198" s="82">
        <f t="shared" si="1266"/>
        <v>0</v>
      </c>
      <c r="AV198" s="82">
        <f t="shared" si="1267"/>
        <v>0</v>
      </c>
      <c r="AW198" s="82"/>
      <c r="AX198" s="82"/>
      <c r="AY198" s="82"/>
      <c r="AZ198" s="82"/>
      <c r="BA198" s="82">
        <f t="shared" si="1268"/>
        <v>0</v>
      </c>
      <c r="BB198" s="82">
        <f t="shared" si="1269"/>
        <v>0</v>
      </c>
      <c r="BC198" s="82">
        <f t="shared" si="1270"/>
        <v>5</v>
      </c>
      <c r="BD198" s="82">
        <f t="shared" si="1271"/>
        <v>825000</v>
      </c>
      <c r="BE198" s="82">
        <f t="shared" si="1272"/>
        <v>0</v>
      </c>
      <c r="BF198" s="82">
        <f t="shared" si="1273"/>
        <v>0</v>
      </c>
      <c r="BG198" s="82">
        <f t="shared" si="1274"/>
        <v>5</v>
      </c>
      <c r="BH198" s="82">
        <f t="shared" si="1275"/>
        <v>825000</v>
      </c>
      <c r="BI198" s="82"/>
      <c r="BJ198" s="83"/>
      <c r="BK198" s="82">
        <f t="shared" si="1276"/>
        <v>0</v>
      </c>
      <c r="BL198" s="82">
        <f t="shared" si="1277"/>
        <v>0</v>
      </c>
      <c r="BM198" s="82"/>
      <c r="BN198" s="82"/>
      <c r="BO198" s="82"/>
      <c r="BP198" s="82"/>
      <c r="BQ198" s="83">
        <v>1.0</v>
      </c>
      <c r="BR198" s="82"/>
      <c r="BS198" s="82"/>
      <c r="BT198" s="82"/>
      <c r="BU198" s="82"/>
      <c r="BV198" s="82"/>
      <c r="BW198" s="82">
        <f t="shared" si="1278"/>
        <v>1</v>
      </c>
      <c r="BX198" s="82">
        <f t="shared" si="1279"/>
        <v>165000</v>
      </c>
      <c r="BY198" s="82">
        <f t="shared" si="1280"/>
        <v>4</v>
      </c>
      <c r="BZ198" s="82">
        <f t="shared" si="1281"/>
        <v>660000</v>
      </c>
      <c r="CA198" s="82"/>
      <c r="CB198" s="82"/>
      <c r="CC198" s="82">
        <f t="shared" si="1282"/>
        <v>0</v>
      </c>
      <c r="CD198" s="82">
        <f t="shared" si="1283"/>
        <v>0</v>
      </c>
      <c r="CE198" s="82"/>
      <c r="CF198" s="82"/>
      <c r="CG198" s="82"/>
      <c r="CH198" s="82"/>
      <c r="CI198" s="82">
        <f t="shared" si="1284"/>
        <v>0</v>
      </c>
      <c r="CJ198" s="82">
        <f t="shared" si="1285"/>
        <v>0</v>
      </c>
      <c r="CK198" s="82">
        <f t="shared" si="1286"/>
        <v>4</v>
      </c>
      <c r="CL198" s="82">
        <f t="shared" si="1287"/>
        <v>660000</v>
      </c>
      <c r="CM198" s="82"/>
      <c r="CN198" s="82"/>
      <c r="CO198" s="82">
        <f t="shared" si="1288"/>
        <v>0</v>
      </c>
      <c r="CP198" s="82">
        <f t="shared" si="1289"/>
        <v>0</v>
      </c>
      <c r="CQ198" s="82"/>
      <c r="CR198" s="82"/>
      <c r="CS198" s="82"/>
      <c r="CT198" s="82"/>
      <c r="CU198" s="82">
        <f t="shared" si="1290"/>
        <v>0</v>
      </c>
      <c r="CV198" s="82">
        <f t="shared" si="1291"/>
        <v>0</v>
      </c>
      <c r="CW198" s="82">
        <f t="shared" si="1292"/>
        <v>4</v>
      </c>
      <c r="CX198" s="82">
        <f t="shared" si="1293"/>
        <v>660000</v>
      </c>
      <c r="CY198" s="82">
        <f t="shared" si="1294"/>
        <v>0</v>
      </c>
      <c r="CZ198" s="82">
        <f t="shared" si="1295"/>
        <v>1</v>
      </c>
      <c r="DA198" s="82">
        <f t="shared" si="1296"/>
        <v>4</v>
      </c>
      <c r="DB198" s="82">
        <f t="shared" si="1297"/>
        <v>660000</v>
      </c>
      <c r="DC198" s="91"/>
      <c r="DD198" s="82"/>
      <c r="DE198" s="82"/>
      <c r="DF198" s="82">
        <f t="shared" si="1298"/>
        <v>0</v>
      </c>
      <c r="DG198" s="82">
        <f t="shared" si="1299"/>
        <v>0</v>
      </c>
      <c r="DH198" s="82"/>
      <c r="DI198" s="82">
        <f t="shared" si="1300"/>
        <v>0</v>
      </c>
      <c r="DJ198" s="82">
        <f t="shared" si="1301"/>
        <v>0</v>
      </c>
      <c r="DK198" s="82"/>
      <c r="DL198" s="82">
        <f t="shared" si="1302"/>
        <v>0</v>
      </c>
      <c r="DM198" s="82">
        <f t="shared" si="1303"/>
        <v>0</v>
      </c>
      <c r="DN198" s="82">
        <f t="shared" si="1304"/>
        <v>4</v>
      </c>
      <c r="DO198" s="82">
        <f t="shared" si="1305"/>
        <v>660000</v>
      </c>
      <c r="DP198" s="82"/>
      <c r="DQ198" s="82"/>
      <c r="DR198" s="82">
        <f t="shared" si="1306"/>
        <v>0</v>
      </c>
      <c r="DS198" s="82">
        <f t="shared" si="1307"/>
        <v>0</v>
      </c>
      <c r="DT198" s="82"/>
      <c r="DU198" s="82"/>
      <c r="DV198" s="82"/>
      <c r="DW198" s="82"/>
      <c r="DX198" s="82">
        <f t="shared" si="1308"/>
        <v>0</v>
      </c>
      <c r="DY198" s="82">
        <f t="shared" si="1309"/>
        <v>0</v>
      </c>
      <c r="DZ198" s="82">
        <f t="shared" si="1310"/>
        <v>4</v>
      </c>
      <c r="EA198" s="82">
        <f t="shared" si="1311"/>
        <v>660000</v>
      </c>
      <c r="EB198" s="82"/>
      <c r="EC198" s="82"/>
      <c r="ED198" s="82">
        <f t="shared" si="1312"/>
        <v>0</v>
      </c>
      <c r="EE198" s="82">
        <f t="shared" si="1313"/>
        <v>0</v>
      </c>
      <c r="EF198" s="82"/>
      <c r="EG198" s="82"/>
      <c r="EH198" s="82"/>
      <c r="EI198" s="82"/>
      <c r="EJ198" s="82">
        <f t="shared" si="1314"/>
        <v>0</v>
      </c>
      <c r="EK198" s="82">
        <f t="shared" si="1315"/>
        <v>0</v>
      </c>
      <c r="EL198" s="82">
        <f t="shared" si="1316"/>
        <v>4</v>
      </c>
      <c r="EM198" s="82">
        <f t="shared" si="1317"/>
        <v>660000</v>
      </c>
      <c r="EN198" s="82">
        <f t="shared" si="1318"/>
        <v>0</v>
      </c>
      <c r="EO198" s="82">
        <f t="shared" si="1319"/>
        <v>0</v>
      </c>
      <c r="EP198" s="82">
        <f t="shared" si="1320"/>
        <v>4</v>
      </c>
      <c r="EQ198" s="82">
        <f t="shared" si="1321"/>
        <v>660000</v>
      </c>
      <c r="ER198" s="82"/>
      <c r="ES198" s="82"/>
      <c r="ET198" s="82">
        <f t="shared" si="1322"/>
        <v>0</v>
      </c>
      <c r="EU198" s="82">
        <f t="shared" si="1323"/>
        <v>0</v>
      </c>
      <c r="EV198" s="82"/>
      <c r="EW198" s="82"/>
      <c r="EX198" s="82"/>
      <c r="EY198" s="82"/>
      <c r="EZ198" s="82">
        <f t="shared" si="1324"/>
        <v>0</v>
      </c>
      <c r="FA198" s="82">
        <f t="shared" si="1325"/>
        <v>0</v>
      </c>
      <c r="FB198" s="82">
        <f t="shared" si="1326"/>
        <v>4</v>
      </c>
      <c r="FC198" s="82">
        <f t="shared" si="1327"/>
        <v>660000</v>
      </c>
      <c r="FD198" s="82"/>
      <c r="FE198" s="82"/>
      <c r="FF198" s="82">
        <f t="shared" si="1328"/>
        <v>0</v>
      </c>
      <c r="FG198" s="82">
        <f t="shared" si="1329"/>
        <v>0</v>
      </c>
      <c r="FH198" s="82"/>
      <c r="FI198" s="82"/>
      <c r="FJ198" s="82"/>
      <c r="FK198" s="82"/>
      <c r="FL198" s="82">
        <f t="shared" si="1330"/>
        <v>0</v>
      </c>
      <c r="FM198" s="82">
        <f t="shared" si="1331"/>
        <v>0</v>
      </c>
      <c r="FN198" s="82">
        <f t="shared" si="1332"/>
        <v>4</v>
      </c>
      <c r="FO198" s="82">
        <f t="shared" si="1333"/>
        <v>660000</v>
      </c>
      <c r="FP198" s="82"/>
      <c r="FQ198" s="82"/>
      <c r="FR198" s="82">
        <f t="shared" si="1334"/>
        <v>0</v>
      </c>
      <c r="FS198" s="82">
        <f t="shared" si="1335"/>
        <v>0</v>
      </c>
      <c r="FT198" s="82"/>
      <c r="FU198" s="82"/>
      <c r="FV198" s="82"/>
      <c r="FW198" s="82"/>
      <c r="FX198" s="82">
        <f t="shared" si="1336"/>
        <v>0</v>
      </c>
      <c r="FY198" s="82">
        <f t="shared" si="1337"/>
        <v>0</v>
      </c>
      <c r="FZ198" s="82">
        <f t="shared" si="1338"/>
        <v>4</v>
      </c>
      <c r="GA198" s="82">
        <f t="shared" si="1339"/>
        <v>660000</v>
      </c>
      <c r="GB198" s="82">
        <f t="shared" si="1340"/>
        <v>0</v>
      </c>
      <c r="GC198" s="82">
        <f t="shared" si="1341"/>
        <v>0</v>
      </c>
      <c r="GD198" s="82">
        <f t="shared" si="1342"/>
        <v>4</v>
      </c>
      <c r="GE198" s="82">
        <f t="shared" si="1343"/>
        <v>660000</v>
      </c>
      <c r="GF198" s="85"/>
    </row>
    <row r="199" ht="29.25" customHeight="1">
      <c r="A199" s="96"/>
      <c r="B199" s="58"/>
      <c r="C199" s="77"/>
      <c r="D199" s="89" t="s">
        <v>244</v>
      </c>
      <c r="E199" s="86">
        <f>40000+(40000*11%)</f>
        <v>44400</v>
      </c>
      <c r="F199" s="80" t="s">
        <v>119</v>
      </c>
      <c r="G199" s="90">
        <v>50.0</v>
      </c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3"/>
      <c r="V199" s="83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3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3">
        <v>0.0</v>
      </c>
      <c r="CN199" s="83">
        <v>0.0</v>
      </c>
      <c r="CO199" s="82"/>
      <c r="CP199" s="82" t="str">
        <f t="shared" ref="CP199:CP200" si="1344">CM199&amp;CN199</f>
        <v>00</v>
      </c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4"/>
      <c r="DD199" s="83">
        <v>50.0</v>
      </c>
      <c r="DE199" s="83">
        <v>0.0</v>
      </c>
      <c r="DF199" s="82"/>
      <c r="DG199" s="82">
        <f>DD199*E199</f>
        <v>2220000</v>
      </c>
      <c r="DH199" s="83">
        <v>0.0</v>
      </c>
      <c r="DI199" s="82"/>
      <c r="DJ199" s="83">
        <v>0.0</v>
      </c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82"/>
      <c r="DZ199" s="82"/>
      <c r="EA199" s="82"/>
      <c r="EB199" s="82"/>
      <c r="EC199" s="82"/>
      <c r="ED199" s="82"/>
      <c r="EE199" s="82"/>
      <c r="EF199" s="82"/>
      <c r="EG199" s="82"/>
      <c r="EH199" s="82"/>
      <c r="EI199" s="82"/>
      <c r="EJ199" s="82"/>
      <c r="EK199" s="82"/>
      <c r="EL199" s="82"/>
      <c r="EM199" s="82"/>
      <c r="EN199" s="82"/>
      <c r="EO199" s="82"/>
      <c r="EP199" s="82"/>
      <c r="EQ199" s="82"/>
      <c r="ER199" s="82"/>
      <c r="ES199" s="82"/>
      <c r="ET199" s="82"/>
      <c r="EU199" s="82"/>
      <c r="EV199" s="82"/>
      <c r="EW199" s="82"/>
      <c r="EX199" s="82"/>
      <c r="EY199" s="82"/>
      <c r="EZ199" s="82"/>
      <c r="FA199" s="82"/>
      <c r="FB199" s="82"/>
      <c r="FC199" s="82"/>
      <c r="FD199" s="82"/>
      <c r="FE199" s="82"/>
      <c r="FF199" s="82"/>
      <c r="FG199" s="82"/>
      <c r="FH199" s="82"/>
      <c r="FI199" s="82"/>
      <c r="FJ199" s="82"/>
      <c r="FK199" s="82"/>
      <c r="FL199" s="82"/>
      <c r="FM199" s="82"/>
      <c r="FN199" s="82"/>
      <c r="FO199" s="82"/>
      <c r="FP199" s="82"/>
      <c r="FQ199" s="82"/>
      <c r="FR199" s="82"/>
      <c r="FS199" s="82"/>
      <c r="FT199" s="82"/>
      <c r="FU199" s="82"/>
      <c r="FV199" s="82"/>
      <c r="FW199" s="82"/>
      <c r="FX199" s="82"/>
      <c r="FY199" s="82"/>
      <c r="FZ199" s="82"/>
      <c r="GA199" s="82"/>
      <c r="GB199" s="82"/>
      <c r="GC199" s="82"/>
      <c r="GD199" s="82"/>
      <c r="GE199" s="82"/>
      <c r="GF199" s="85"/>
    </row>
    <row r="200" ht="29.25" customHeight="1">
      <c r="A200" s="96">
        <v>27.0</v>
      </c>
      <c r="B200" s="58"/>
      <c r="C200" s="58" t="s">
        <v>245</v>
      </c>
      <c r="D200" s="78" t="s">
        <v>134</v>
      </c>
      <c r="E200" s="79">
        <v>166500.0</v>
      </c>
      <c r="F200" s="61" t="s">
        <v>97</v>
      </c>
      <c r="G200" s="81">
        <v>2.0</v>
      </c>
      <c r="H200" s="82">
        <v>333000.0</v>
      </c>
      <c r="I200" s="82"/>
      <c r="J200" s="82"/>
      <c r="K200" s="82">
        <f>SUM(I200:J200)</f>
        <v>0</v>
      </c>
      <c r="L200" s="82">
        <f>K200*E200</f>
        <v>0</v>
      </c>
      <c r="M200" s="82"/>
      <c r="N200" s="82"/>
      <c r="O200" s="82"/>
      <c r="P200" s="82"/>
      <c r="Q200" s="82"/>
      <c r="R200" s="82"/>
      <c r="S200" s="82"/>
      <c r="T200" s="82"/>
      <c r="U200" s="83">
        <v>1.0</v>
      </c>
      <c r="V200" s="83">
        <v>1.0</v>
      </c>
      <c r="W200" s="82"/>
      <c r="X200" s="82"/>
      <c r="Y200" s="82"/>
      <c r="Z200" s="82"/>
      <c r="AA200" s="82"/>
      <c r="AB200" s="82">
        <f>SUM(M200:AA200)</f>
        <v>2</v>
      </c>
      <c r="AC200" s="82">
        <f>AB200*E200</f>
        <v>333000</v>
      </c>
      <c r="AD200" s="82">
        <f>G200+K200-AB200</f>
        <v>0</v>
      </c>
      <c r="AE200" s="82">
        <f>AD200*E200</f>
        <v>0</v>
      </c>
      <c r="AF200" s="82"/>
      <c r="AG200" s="82"/>
      <c r="AH200" s="82">
        <f>SUM(AF200:AG200)</f>
        <v>0</v>
      </c>
      <c r="AI200" s="82">
        <f>AH200*E200</f>
        <v>0</v>
      </c>
      <c r="AJ200" s="82"/>
      <c r="AK200" s="82"/>
      <c r="AL200" s="82"/>
      <c r="AM200" s="82"/>
      <c r="AN200" s="82">
        <f>SUM(AJ200:AM200)</f>
        <v>0</v>
      </c>
      <c r="AO200" s="82">
        <f>AN200*E200</f>
        <v>0</v>
      </c>
      <c r="AP200" s="82">
        <f>AD200+AH200-AN200</f>
        <v>0</v>
      </c>
      <c r="AQ200" s="82">
        <f>AP200*E200</f>
        <v>0</v>
      </c>
      <c r="AR200" s="82"/>
      <c r="AS200" s="82"/>
      <c r="AT200" s="82"/>
      <c r="AU200" s="82">
        <f>SUM(AS200:AT200)</f>
        <v>0</v>
      </c>
      <c r="AV200" s="82">
        <f>AU200*AB200</f>
        <v>0</v>
      </c>
      <c r="AW200" s="82"/>
      <c r="AX200" s="82"/>
      <c r="AY200" s="82"/>
      <c r="AZ200" s="82"/>
      <c r="BA200" s="82">
        <f>SUM(AW200:AZ200)</f>
        <v>0</v>
      </c>
      <c r="BB200" s="82">
        <f>BA200*AB200</f>
        <v>0</v>
      </c>
      <c r="BC200" s="82">
        <f>AP200+AU200-BA200</f>
        <v>0</v>
      </c>
      <c r="BD200" s="82">
        <f>BC200*E200</f>
        <v>0</v>
      </c>
      <c r="BE200" s="82">
        <f>K200+AH200+AU200</f>
        <v>0</v>
      </c>
      <c r="BF200" s="82">
        <f>AB200+AN200+BA200</f>
        <v>2</v>
      </c>
      <c r="BG200" s="82">
        <f>G200+BE200-BF200</f>
        <v>0</v>
      </c>
      <c r="BH200" s="82">
        <f>BG200*E200</f>
        <v>0</v>
      </c>
      <c r="BI200" s="82"/>
      <c r="BJ200" s="83"/>
      <c r="BK200" s="82">
        <f>SUM(BI200:BJ200)</f>
        <v>0</v>
      </c>
      <c r="BL200" s="82">
        <f>BK200*E200</f>
        <v>0</v>
      </c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>
        <f>SUM(BM200:BV200)</f>
        <v>0</v>
      </c>
      <c r="BX200" s="82">
        <f>BW200*E200</f>
        <v>0</v>
      </c>
      <c r="BY200" s="82">
        <f>BG200+BK200-BW200</f>
        <v>0</v>
      </c>
      <c r="BZ200" s="82">
        <f>BY200*E200</f>
        <v>0</v>
      </c>
      <c r="CA200" s="82"/>
      <c r="CB200" s="82"/>
      <c r="CC200" s="82">
        <f>sum(CA200:CB200)</f>
        <v>0</v>
      </c>
      <c r="CD200" s="82">
        <f>CC200*E200</f>
        <v>0</v>
      </c>
      <c r="CE200" s="82"/>
      <c r="CF200" s="82"/>
      <c r="CG200" s="82"/>
      <c r="CH200" s="82"/>
      <c r="CI200" s="82">
        <f>sum(CE200:CH200)</f>
        <v>0</v>
      </c>
      <c r="CJ200" s="82">
        <f>CI200*E200</f>
        <v>0</v>
      </c>
      <c r="CK200" s="82">
        <f>BY200+CC200-CI200</f>
        <v>0</v>
      </c>
      <c r="CL200" s="82">
        <f>CK200*E200</f>
        <v>0</v>
      </c>
      <c r="CM200" s="83">
        <v>0.0</v>
      </c>
      <c r="CN200" s="83">
        <v>0.0</v>
      </c>
      <c r="CO200" s="82"/>
      <c r="CP200" s="82" t="str">
        <f t="shared" si="1344"/>
        <v>00</v>
      </c>
      <c r="CQ200" s="82"/>
      <c r="CR200" s="82"/>
      <c r="CS200" s="82"/>
      <c r="CT200" s="82"/>
      <c r="CU200" s="82">
        <f>sum(CQ200:CT200)</f>
        <v>0</v>
      </c>
      <c r="CV200" s="82">
        <f>CU200*E200</f>
        <v>0</v>
      </c>
      <c r="CW200" s="82">
        <f>CK200+CO200-CU200</f>
        <v>0</v>
      </c>
      <c r="CX200" s="82">
        <f>CW200*E200</f>
        <v>0</v>
      </c>
      <c r="CY200" s="82">
        <f>BK200+CC200+CO200</f>
        <v>0</v>
      </c>
      <c r="CZ200" s="82">
        <f>BW200+CI200+CU200</f>
        <v>0</v>
      </c>
      <c r="DA200" s="82">
        <f>BG200+CY200-CZ200</f>
        <v>0</v>
      </c>
      <c r="DB200" s="82">
        <f>DA200*E200</f>
        <v>0</v>
      </c>
      <c r="DC200" s="119"/>
      <c r="DH200" s="83">
        <v>0.0</v>
      </c>
      <c r="DI200" s="82"/>
      <c r="DJ200" s="83">
        <v>0.0</v>
      </c>
      <c r="DK200" s="82"/>
      <c r="DL200" s="82">
        <f>sum(DH200:DK200)</f>
        <v>0</v>
      </c>
      <c r="DM200" s="82">
        <f>DL200*E200</f>
        <v>0</v>
      </c>
      <c r="DN200" s="82">
        <f>DA200+DF201-DL200</f>
        <v>0</v>
      </c>
      <c r="DO200" s="82">
        <f>DN200*E200</f>
        <v>0</v>
      </c>
      <c r="DP200" s="82"/>
      <c r="DQ200" s="82"/>
      <c r="DR200" s="82">
        <f>sum(DP200:DQ200)</f>
        <v>0</v>
      </c>
      <c r="DS200" s="82">
        <f>DR200*AB200</f>
        <v>0</v>
      </c>
      <c r="DT200" s="82"/>
      <c r="DU200" s="82"/>
      <c r="DV200" s="82"/>
      <c r="DW200" s="82"/>
      <c r="DX200" s="82">
        <f>sum(DT200:DW200)</f>
        <v>0</v>
      </c>
      <c r="DY200" s="82">
        <f>DX200*AB200</f>
        <v>0</v>
      </c>
      <c r="DZ200" s="82">
        <f>DN200+DR200-DX200</f>
        <v>0</v>
      </c>
      <c r="EA200" s="82">
        <f>DZ200*E200</f>
        <v>0</v>
      </c>
      <c r="EB200" s="82"/>
      <c r="EC200" s="82"/>
      <c r="ED200" s="82">
        <f>sum(EB200:EC200)</f>
        <v>0</v>
      </c>
      <c r="EE200" s="82">
        <f>ED200*AN200</f>
        <v>0</v>
      </c>
      <c r="EF200" s="82"/>
      <c r="EG200" s="82"/>
      <c r="EH200" s="82"/>
      <c r="EI200" s="82"/>
      <c r="EJ200" s="82">
        <f>sum(EF200:EI200)</f>
        <v>0</v>
      </c>
      <c r="EK200" s="82">
        <f>EJ200*AN200</f>
        <v>0</v>
      </c>
      <c r="EL200" s="82">
        <f>DZ200+ED200-EJ200</f>
        <v>0</v>
      </c>
      <c r="EM200" s="82">
        <f>EL200*E200</f>
        <v>0</v>
      </c>
      <c r="EN200" s="82">
        <f>DF201+DR200+ED200</f>
        <v>0</v>
      </c>
      <c r="EO200" s="82">
        <f>DL200+DX200+EJ200</f>
        <v>0</v>
      </c>
      <c r="EP200" s="82">
        <f>DA200+EN200-EO200</f>
        <v>0</v>
      </c>
      <c r="EQ200" s="82">
        <f>EP200*E200</f>
        <v>0</v>
      </c>
      <c r="ER200" s="82"/>
      <c r="ES200" s="82"/>
      <c r="ET200" s="82">
        <f>sum(ER200:ES200)</f>
        <v>0</v>
      </c>
      <c r="EU200" s="82">
        <f>ET200*BE200</f>
        <v>0</v>
      </c>
      <c r="EV200" s="82"/>
      <c r="EW200" s="82"/>
      <c r="EX200" s="82"/>
      <c r="EY200" s="82"/>
      <c r="EZ200" s="82">
        <f>sum(EV200:EY200)</f>
        <v>0</v>
      </c>
      <c r="FA200" s="82">
        <f>EZ200*BE200</f>
        <v>0</v>
      </c>
      <c r="FB200" s="82">
        <f>EP200+ET200-EZ200</f>
        <v>0</v>
      </c>
      <c r="FC200" s="82">
        <f>FB200*E200</f>
        <v>0</v>
      </c>
      <c r="FD200" s="82"/>
      <c r="FE200" s="82"/>
      <c r="FF200" s="82">
        <f>sum(FD200:FE200)</f>
        <v>0</v>
      </c>
      <c r="FG200" s="82">
        <f>FF200*BW200</f>
        <v>0</v>
      </c>
      <c r="FH200" s="82"/>
      <c r="FI200" s="82"/>
      <c r="FJ200" s="82"/>
      <c r="FK200" s="82"/>
      <c r="FL200" s="82">
        <f>sum(FH200:FK200)</f>
        <v>0</v>
      </c>
      <c r="FM200" s="82">
        <f>FL200*BW200</f>
        <v>0</v>
      </c>
      <c r="FN200" s="82">
        <f>FB200+FF200-FL200</f>
        <v>0</v>
      </c>
      <c r="FO200" s="82">
        <f>FN200*E200</f>
        <v>0</v>
      </c>
      <c r="FP200" s="82"/>
      <c r="FQ200" s="82"/>
      <c r="FR200" s="82">
        <f>sum(FP200:FQ200)</f>
        <v>0</v>
      </c>
      <c r="FS200" s="82">
        <f>FR200*CI200</f>
        <v>0</v>
      </c>
      <c r="FT200" s="82"/>
      <c r="FU200" s="82"/>
      <c r="FV200" s="82"/>
      <c r="FW200" s="82"/>
      <c r="FX200" s="82">
        <f>sum(FT200:FW200)</f>
        <v>0</v>
      </c>
      <c r="FY200" s="82">
        <f>FX200*CI200</f>
        <v>0</v>
      </c>
      <c r="FZ200" s="82">
        <f>FN200+FR200-FX200</f>
        <v>0</v>
      </c>
      <c r="GA200" s="82">
        <f>FZ200*E200</f>
        <v>0</v>
      </c>
      <c r="GB200" s="82">
        <f>ET200+FF200+FR200</f>
        <v>0</v>
      </c>
      <c r="GC200" s="82">
        <f>EZ200+FL200+FX200</f>
        <v>0</v>
      </c>
      <c r="GD200" s="82">
        <f>EP200+GB200-GC200</f>
        <v>0</v>
      </c>
      <c r="GE200" s="82">
        <f>GD200*E200</f>
        <v>0</v>
      </c>
      <c r="GF200" s="85"/>
    </row>
    <row r="201" ht="29.25" customHeight="1">
      <c r="A201" s="96"/>
      <c r="B201" s="58"/>
      <c r="C201" s="58"/>
      <c r="D201" s="89" t="s">
        <v>99</v>
      </c>
      <c r="E201" s="86">
        <f>40000+(40000*11%)</f>
        <v>44400</v>
      </c>
      <c r="F201" s="80" t="s">
        <v>180</v>
      </c>
      <c r="G201" s="81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3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3"/>
      <c r="BK201" s="82"/>
      <c r="BL201" s="82"/>
      <c r="BM201" s="82"/>
      <c r="BN201" s="82"/>
      <c r="BO201" s="82"/>
      <c r="BP201" s="82"/>
      <c r="BQ201" s="82"/>
      <c r="BR201" s="82"/>
      <c r="BS201" s="82"/>
      <c r="BT201" s="82"/>
      <c r="BU201" s="82"/>
      <c r="BV201" s="82"/>
      <c r="BW201" s="82"/>
      <c r="BX201" s="82"/>
      <c r="BY201" s="82"/>
      <c r="BZ201" s="82"/>
      <c r="CA201" s="82"/>
      <c r="CB201" s="82"/>
      <c r="CC201" s="82"/>
      <c r="CD201" s="82"/>
      <c r="CE201" s="82"/>
      <c r="CF201" s="82"/>
      <c r="CG201" s="82"/>
      <c r="CH201" s="82"/>
      <c r="CI201" s="82"/>
      <c r="CJ201" s="82"/>
      <c r="CK201" s="82"/>
      <c r="CL201" s="82"/>
      <c r="CM201" s="82"/>
      <c r="CN201" s="82"/>
      <c r="CO201" s="82"/>
      <c r="CP201" s="82"/>
      <c r="CQ201" s="82"/>
      <c r="CR201" s="82"/>
      <c r="CS201" s="82"/>
      <c r="CT201" s="82"/>
      <c r="CU201" s="82"/>
      <c r="CV201" s="82"/>
      <c r="CW201" s="82"/>
      <c r="CX201" s="82"/>
      <c r="CY201" s="82"/>
      <c r="CZ201" s="82"/>
      <c r="DA201" s="82"/>
      <c r="DB201" s="82"/>
      <c r="DC201" s="84"/>
      <c r="DD201" s="83">
        <v>50.0</v>
      </c>
      <c r="DE201" s="83">
        <v>0.0</v>
      </c>
      <c r="DF201" s="82"/>
      <c r="DG201" s="82">
        <f>DD201*E201</f>
        <v>2220000</v>
      </c>
      <c r="DH201" s="82"/>
      <c r="DI201" s="82"/>
      <c r="DJ201" s="82"/>
      <c r="DK201" s="82"/>
      <c r="DL201" s="82"/>
      <c r="DM201" s="82"/>
      <c r="DN201" s="82"/>
      <c r="DO201" s="82"/>
      <c r="DP201" s="82"/>
      <c r="DQ201" s="82"/>
      <c r="DR201" s="82"/>
      <c r="DS201" s="82"/>
      <c r="DT201" s="82"/>
      <c r="DU201" s="82"/>
      <c r="DV201" s="82"/>
      <c r="DW201" s="82"/>
      <c r="DX201" s="82"/>
      <c r="DY201" s="82"/>
      <c r="DZ201" s="82"/>
      <c r="EA201" s="82"/>
      <c r="EB201" s="82"/>
      <c r="EC201" s="82"/>
      <c r="ED201" s="82"/>
      <c r="EE201" s="82"/>
      <c r="EF201" s="82"/>
      <c r="EG201" s="82"/>
      <c r="EH201" s="82"/>
      <c r="EI201" s="82"/>
      <c r="EJ201" s="82"/>
      <c r="EK201" s="82"/>
      <c r="EL201" s="82"/>
      <c r="EM201" s="82"/>
      <c r="EN201" s="82"/>
      <c r="EO201" s="82"/>
      <c r="EP201" s="82"/>
      <c r="EQ201" s="82"/>
      <c r="ER201" s="82"/>
      <c r="ES201" s="82"/>
      <c r="ET201" s="82"/>
      <c r="EU201" s="82"/>
      <c r="EV201" s="82"/>
      <c r="EW201" s="82"/>
      <c r="EX201" s="82"/>
      <c r="EY201" s="82"/>
      <c r="EZ201" s="82"/>
      <c r="FA201" s="82"/>
      <c r="FB201" s="82"/>
      <c r="FC201" s="82"/>
      <c r="FD201" s="82"/>
      <c r="FE201" s="82"/>
      <c r="FF201" s="82"/>
      <c r="FG201" s="82"/>
      <c r="FH201" s="82"/>
      <c r="FI201" s="82"/>
      <c r="FJ201" s="82"/>
      <c r="FK201" s="82"/>
      <c r="FL201" s="82"/>
      <c r="FM201" s="82"/>
      <c r="FN201" s="82"/>
      <c r="FO201" s="82"/>
      <c r="FP201" s="82"/>
      <c r="FQ201" s="82"/>
      <c r="FR201" s="82"/>
      <c r="FS201" s="82"/>
      <c r="FT201" s="82"/>
      <c r="FU201" s="82"/>
      <c r="FV201" s="82"/>
      <c r="FW201" s="82"/>
      <c r="FX201" s="82"/>
      <c r="FY201" s="82"/>
      <c r="FZ201" s="82"/>
      <c r="GA201" s="82"/>
      <c r="GB201" s="82"/>
      <c r="GC201" s="82"/>
      <c r="GD201" s="82"/>
      <c r="GE201" s="82"/>
      <c r="GF201" s="85"/>
    </row>
    <row r="202" ht="29.25" customHeight="1">
      <c r="A202" s="76">
        <v>28.0</v>
      </c>
      <c r="B202" s="77"/>
      <c r="C202" s="77" t="s">
        <v>246</v>
      </c>
      <c r="D202" s="78" t="s">
        <v>134</v>
      </c>
      <c r="E202" s="79">
        <v>166500.0</v>
      </c>
      <c r="F202" s="61" t="s">
        <v>97</v>
      </c>
      <c r="G202" s="81">
        <v>1.0</v>
      </c>
      <c r="H202" s="82">
        <v>166500.0</v>
      </c>
      <c r="I202" s="82"/>
      <c r="J202" s="82"/>
      <c r="K202" s="82">
        <f t="shared" ref="K202:K203" si="1345">SUM(I202:J202)</f>
        <v>0</v>
      </c>
      <c r="L202" s="82">
        <f t="shared" ref="L202:L203" si="1346">K202*E202</f>
        <v>0</v>
      </c>
      <c r="M202" s="82"/>
      <c r="N202" s="82"/>
      <c r="O202" s="82"/>
      <c r="P202" s="82"/>
      <c r="Q202" s="82"/>
      <c r="R202" s="82"/>
      <c r="S202" s="82"/>
      <c r="T202" s="82"/>
      <c r="U202" s="83">
        <v>1.0</v>
      </c>
      <c r="V202" s="82"/>
      <c r="W202" s="82"/>
      <c r="X202" s="82"/>
      <c r="Y202" s="82"/>
      <c r="Z202" s="82"/>
      <c r="AA202" s="82"/>
      <c r="AB202" s="82">
        <f t="shared" ref="AB202:AB203" si="1347">SUM(M202:AA202)</f>
        <v>1</v>
      </c>
      <c r="AC202" s="82">
        <f t="shared" ref="AC202:AC203" si="1348">AB202*E202</f>
        <v>166500</v>
      </c>
      <c r="AD202" s="82">
        <f t="shared" ref="AD202:AD203" si="1349">G202+K202-AB202</f>
        <v>0</v>
      </c>
      <c r="AE202" s="82">
        <f t="shared" ref="AE202:AE203" si="1350">AD202*E202</f>
        <v>0</v>
      </c>
      <c r="AF202" s="82"/>
      <c r="AG202" s="82"/>
      <c r="AH202" s="82">
        <f t="shared" ref="AH202:AH203" si="1351">SUM(AF202:AG202)</f>
        <v>0</v>
      </c>
      <c r="AI202" s="82">
        <f t="shared" ref="AI202:AI203" si="1352">AH202*E202</f>
        <v>0</v>
      </c>
      <c r="AJ202" s="82"/>
      <c r="AK202" s="82"/>
      <c r="AL202" s="82"/>
      <c r="AM202" s="82"/>
      <c r="AN202" s="82">
        <f t="shared" ref="AN202:AN203" si="1353">SUM(AJ202:AM202)</f>
        <v>0</v>
      </c>
      <c r="AO202" s="82">
        <f t="shared" ref="AO202:AO203" si="1354">AN202*E202</f>
        <v>0</v>
      </c>
      <c r="AP202" s="82">
        <f t="shared" ref="AP202:AP203" si="1355">AD202+AH202-AN202</f>
        <v>0</v>
      </c>
      <c r="AQ202" s="82">
        <f t="shared" ref="AQ202:AQ203" si="1356">AP202*E202</f>
        <v>0</v>
      </c>
      <c r="AR202" s="82"/>
      <c r="AS202" s="82"/>
      <c r="AT202" s="82"/>
      <c r="AU202" s="82">
        <f t="shared" ref="AU202:AU203" si="1357">SUM(AS202:AT202)</f>
        <v>0</v>
      </c>
      <c r="AV202" s="82">
        <f t="shared" ref="AV202:AV203" si="1358">AU202*AB202</f>
        <v>0</v>
      </c>
      <c r="AW202" s="82"/>
      <c r="AX202" s="82"/>
      <c r="AY202" s="82"/>
      <c r="AZ202" s="82"/>
      <c r="BA202" s="82">
        <f t="shared" ref="BA202:BA203" si="1359">SUM(AW202:AZ202)</f>
        <v>0</v>
      </c>
      <c r="BB202" s="82">
        <f t="shared" ref="BB202:BB203" si="1360">BA202*AB202</f>
        <v>0</v>
      </c>
      <c r="BC202" s="82">
        <f t="shared" ref="BC202:BC203" si="1361">AP202+AU202-BA202</f>
        <v>0</v>
      </c>
      <c r="BD202" s="82">
        <f t="shared" ref="BD202:BD203" si="1362">BC202*E202</f>
        <v>0</v>
      </c>
      <c r="BE202" s="82">
        <f t="shared" ref="BE202:BE203" si="1363">K202+AH202+AU202</f>
        <v>0</v>
      </c>
      <c r="BF202" s="82">
        <f t="shared" ref="BF202:BF203" si="1364">AB202+AN202+BA202</f>
        <v>1</v>
      </c>
      <c r="BG202" s="82">
        <f t="shared" ref="BG202:BG203" si="1365">G202+BE202-BF202</f>
        <v>0</v>
      </c>
      <c r="BH202" s="82">
        <f t="shared" ref="BH202:BH203" si="1366">BG202*E202</f>
        <v>0</v>
      </c>
      <c r="BI202" s="82"/>
      <c r="BJ202" s="83"/>
      <c r="BK202" s="82">
        <f t="shared" ref="BK202:BK203" si="1367">SUM(BI202:BJ202)</f>
        <v>0</v>
      </c>
      <c r="BL202" s="82">
        <f t="shared" ref="BL202:BL203" si="1368">BK202*E202</f>
        <v>0</v>
      </c>
      <c r="BM202" s="82"/>
      <c r="BN202" s="82"/>
      <c r="BO202" s="82"/>
      <c r="BP202" s="82"/>
      <c r="BQ202" s="82"/>
      <c r="BR202" s="82"/>
      <c r="BS202" s="82"/>
      <c r="BT202" s="82"/>
      <c r="BU202" s="82"/>
      <c r="BV202" s="82"/>
      <c r="BW202" s="82">
        <f t="shared" ref="BW202:BW203" si="1369">SUM(BM202:BV202)</f>
        <v>0</v>
      </c>
      <c r="BX202" s="82">
        <f t="shared" ref="BX202:BX203" si="1370">BW202*E202</f>
        <v>0</v>
      </c>
      <c r="BY202" s="82">
        <f t="shared" ref="BY202:BY203" si="1371">BG202+BK202-BW202</f>
        <v>0</v>
      </c>
      <c r="BZ202" s="82">
        <f t="shared" ref="BZ202:BZ203" si="1372">BY202*E202</f>
        <v>0</v>
      </c>
      <c r="CA202" s="82"/>
      <c r="CB202" s="82"/>
      <c r="CC202" s="82">
        <f t="shared" ref="CC202:CC203" si="1373">sum(CA202:CB202)</f>
        <v>0</v>
      </c>
      <c r="CD202" s="82">
        <f t="shared" ref="CD202:CD203" si="1374">CC202*E202</f>
        <v>0</v>
      </c>
      <c r="CE202" s="82"/>
      <c r="CF202" s="82"/>
      <c r="CG202" s="82"/>
      <c r="CH202" s="82"/>
      <c r="CI202" s="82">
        <f t="shared" ref="CI202:CI203" si="1375">sum(CE202:CH202)</f>
        <v>0</v>
      </c>
      <c r="CJ202" s="82">
        <f t="shared" ref="CJ202:CJ203" si="1376">CI202*E202</f>
        <v>0</v>
      </c>
      <c r="CK202" s="82">
        <f t="shared" ref="CK202:CK203" si="1377">BY202+CC202-CI202</f>
        <v>0</v>
      </c>
      <c r="CL202" s="82">
        <f t="shared" ref="CL202:CL203" si="1378">CK202*E202</f>
        <v>0</v>
      </c>
      <c r="CM202" s="82"/>
      <c r="CN202" s="82"/>
      <c r="CO202" s="82">
        <f t="shared" ref="CO202:CO203" si="1379">SUM(CM202:CN202)</f>
        <v>0</v>
      </c>
      <c r="CP202" s="82">
        <f t="shared" ref="CP202:CP203" si="1380">CO202*E202</f>
        <v>0</v>
      </c>
      <c r="CQ202" s="82"/>
      <c r="CR202" s="82"/>
      <c r="CS202" s="82"/>
      <c r="CT202" s="82"/>
      <c r="CU202" s="82">
        <f t="shared" ref="CU202:CU203" si="1381">sum(CQ202:CT202)</f>
        <v>0</v>
      </c>
      <c r="CV202" s="82">
        <f t="shared" ref="CV202:CV203" si="1382">CU202*E202</f>
        <v>0</v>
      </c>
      <c r="CW202" s="82">
        <f t="shared" ref="CW202:CW203" si="1383">CK202+CO202-CU202</f>
        <v>0</v>
      </c>
      <c r="CX202" s="82">
        <f t="shared" ref="CX202:CX203" si="1384">CW202*E202</f>
        <v>0</v>
      </c>
      <c r="CY202" s="82">
        <f t="shared" ref="CY202:CY203" si="1385">BK202+CC202+CO202</f>
        <v>0</v>
      </c>
      <c r="CZ202" s="82">
        <f t="shared" ref="CZ202:CZ203" si="1386">BW202+CI202+CU202</f>
        <v>0</v>
      </c>
      <c r="DA202" s="82">
        <f t="shared" ref="DA202:DA203" si="1387">BG202+CY202-CZ202</f>
        <v>0</v>
      </c>
      <c r="DB202" s="82">
        <f t="shared" ref="DB202:DB203" si="1388">DA202*E202</f>
        <v>0</v>
      </c>
      <c r="DC202" s="91"/>
      <c r="DD202" s="82"/>
      <c r="DE202" s="82"/>
      <c r="DF202" s="82">
        <f t="shared" ref="DF202:DF203" si="1389">SUM(DD202:DE202)</f>
        <v>0</v>
      </c>
      <c r="DG202" s="82">
        <f t="shared" ref="DG202:DG203" si="1390">DF202*U202</f>
        <v>0</v>
      </c>
      <c r="DH202" s="82"/>
      <c r="DI202" s="82">
        <f t="shared" ref="DI202:DI203" si="1391">SUM(DG202:DH202)</f>
        <v>0</v>
      </c>
      <c r="DJ202" s="82">
        <f t="shared" ref="DJ202:DJ210" si="1392">DI202*X202</f>
        <v>0</v>
      </c>
      <c r="DK202" s="82"/>
      <c r="DL202" s="82">
        <f t="shared" ref="DL202:DL203" si="1393">sum(DH202:DK202)</f>
        <v>0</v>
      </c>
      <c r="DM202" s="82">
        <f t="shared" ref="DM202:DM203" si="1394">DL202*E202</f>
        <v>0</v>
      </c>
      <c r="DN202" s="82">
        <f t="shared" ref="DN202:DN203" si="1395">DA202+DF202-DL202</f>
        <v>0</v>
      </c>
      <c r="DO202" s="82">
        <f t="shared" ref="DO202:DO203" si="1396">DN202*E202</f>
        <v>0</v>
      </c>
      <c r="DP202" s="82"/>
      <c r="DQ202" s="82"/>
      <c r="DR202" s="82">
        <f t="shared" ref="DR202:DR203" si="1397">sum(DP202:DQ202)</f>
        <v>0</v>
      </c>
      <c r="DS202" s="82">
        <f t="shared" ref="DS202:DS203" si="1398">DR202*AB202</f>
        <v>0</v>
      </c>
      <c r="DT202" s="82"/>
      <c r="DU202" s="82"/>
      <c r="DV202" s="82"/>
      <c r="DW202" s="82"/>
      <c r="DX202" s="82">
        <f t="shared" ref="DX202:DX203" si="1399">sum(DT202:DW202)</f>
        <v>0</v>
      </c>
      <c r="DY202" s="82">
        <f t="shared" ref="DY202:DY203" si="1400">DX202*AB202</f>
        <v>0</v>
      </c>
      <c r="DZ202" s="82">
        <f t="shared" ref="DZ202:DZ203" si="1401">DN202+DR202-DX202</f>
        <v>0</v>
      </c>
      <c r="EA202" s="82">
        <f t="shared" ref="EA202:EA203" si="1402">DZ202*E202</f>
        <v>0</v>
      </c>
      <c r="EB202" s="82"/>
      <c r="EC202" s="82"/>
      <c r="ED202" s="82">
        <f t="shared" ref="ED202:ED203" si="1403">sum(EB202:EC202)</f>
        <v>0</v>
      </c>
      <c r="EE202" s="82">
        <f t="shared" ref="EE202:EE203" si="1404">ED202*AN202</f>
        <v>0</v>
      </c>
      <c r="EF202" s="82"/>
      <c r="EG202" s="82"/>
      <c r="EH202" s="82"/>
      <c r="EI202" s="82"/>
      <c r="EJ202" s="82">
        <f t="shared" ref="EJ202:EJ203" si="1405">sum(EF202:EI202)</f>
        <v>0</v>
      </c>
      <c r="EK202" s="82">
        <f t="shared" ref="EK202:EK203" si="1406">EJ202*AN202</f>
        <v>0</v>
      </c>
      <c r="EL202" s="82">
        <f t="shared" ref="EL202:EL203" si="1407">DZ202+ED202-EJ202</f>
        <v>0</v>
      </c>
      <c r="EM202" s="82">
        <f t="shared" ref="EM202:EM203" si="1408">EL202*E202</f>
        <v>0</v>
      </c>
      <c r="EN202" s="82">
        <f t="shared" ref="EN202:EN203" si="1409">DF202+DR202+ED202</f>
        <v>0</v>
      </c>
      <c r="EO202" s="82">
        <f t="shared" ref="EO202:EO203" si="1410">DL202+DX202+EJ202</f>
        <v>0</v>
      </c>
      <c r="EP202" s="82">
        <f t="shared" ref="EP202:EP203" si="1411">DA202+EN202-EO202</f>
        <v>0</v>
      </c>
      <c r="EQ202" s="82">
        <f t="shared" ref="EQ202:EQ203" si="1412">EP202*E202</f>
        <v>0</v>
      </c>
      <c r="ER202" s="82"/>
      <c r="ES202" s="82"/>
      <c r="ET202" s="82">
        <f t="shared" ref="ET202:ET203" si="1413">sum(ER202:ES202)</f>
        <v>0</v>
      </c>
      <c r="EU202" s="82">
        <f t="shared" ref="EU202:EU203" si="1414">ET202*BE202</f>
        <v>0</v>
      </c>
      <c r="EV202" s="82"/>
      <c r="EW202" s="82"/>
      <c r="EX202" s="82"/>
      <c r="EY202" s="82"/>
      <c r="EZ202" s="82">
        <f t="shared" ref="EZ202:EZ203" si="1415">sum(EV202:EY202)</f>
        <v>0</v>
      </c>
      <c r="FA202" s="82">
        <f t="shared" ref="FA202:FA203" si="1416">EZ202*BE202</f>
        <v>0</v>
      </c>
      <c r="FB202" s="82">
        <f t="shared" ref="FB202:FB203" si="1417">EP202+ET202-EZ202</f>
        <v>0</v>
      </c>
      <c r="FC202" s="82">
        <f t="shared" ref="FC202:FC203" si="1418">FB202*E202</f>
        <v>0</v>
      </c>
      <c r="FD202" s="82"/>
      <c r="FE202" s="82"/>
      <c r="FF202" s="82">
        <f t="shared" ref="FF202:FF203" si="1419">sum(FD202:FE202)</f>
        <v>0</v>
      </c>
      <c r="FG202" s="82">
        <f t="shared" ref="FG202:FG203" si="1420">FF202*BW202</f>
        <v>0</v>
      </c>
      <c r="FH202" s="82"/>
      <c r="FI202" s="82"/>
      <c r="FJ202" s="82"/>
      <c r="FK202" s="82"/>
      <c r="FL202" s="82">
        <f t="shared" ref="FL202:FL203" si="1421">sum(FH202:FK202)</f>
        <v>0</v>
      </c>
      <c r="FM202" s="82">
        <f t="shared" ref="FM202:FM203" si="1422">FL202*BW202</f>
        <v>0</v>
      </c>
      <c r="FN202" s="82">
        <f t="shared" ref="FN202:FN203" si="1423">FB202+FF202-FL202</f>
        <v>0</v>
      </c>
      <c r="FO202" s="82">
        <f t="shared" ref="FO202:FO203" si="1424">FN202*E202</f>
        <v>0</v>
      </c>
      <c r="FP202" s="82"/>
      <c r="FQ202" s="82"/>
      <c r="FR202" s="82">
        <f t="shared" ref="FR202:FR203" si="1425">sum(FP202:FQ202)</f>
        <v>0</v>
      </c>
      <c r="FS202" s="82">
        <f t="shared" ref="FS202:FS203" si="1426">FR202*CI202</f>
        <v>0</v>
      </c>
      <c r="FT202" s="82"/>
      <c r="FU202" s="82"/>
      <c r="FV202" s="82"/>
      <c r="FW202" s="82"/>
      <c r="FX202" s="82">
        <f t="shared" ref="FX202:FX203" si="1427">sum(FT202:FW202)</f>
        <v>0</v>
      </c>
      <c r="FY202" s="82">
        <f t="shared" ref="FY202:FY203" si="1428">FX202*CI202</f>
        <v>0</v>
      </c>
      <c r="FZ202" s="82">
        <f t="shared" ref="FZ202:FZ203" si="1429">FN202+FR202-FX202</f>
        <v>0</v>
      </c>
      <c r="GA202" s="82">
        <f t="shared" ref="GA202:GA203" si="1430">FZ202*E202</f>
        <v>0</v>
      </c>
      <c r="GB202" s="82">
        <f t="shared" ref="GB202:GB203" si="1431">ET202+FF202+FR202</f>
        <v>0</v>
      </c>
      <c r="GC202" s="82">
        <f t="shared" ref="GC202:GC203" si="1432">EZ202+FL202+FX202</f>
        <v>0</v>
      </c>
      <c r="GD202" s="82">
        <f t="shared" ref="GD202:GD203" si="1433">EP202+GB202-GC202</f>
        <v>0</v>
      </c>
      <c r="GE202" s="82">
        <f t="shared" ref="GE202:GE203" si="1434">GD202*E202</f>
        <v>0</v>
      </c>
      <c r="GF202" s="85"/>
    </row>
    <row r="203" ht="29.25" customHeight="1">
      <c r="A203" s="50"/>
      <c r="B203" s="50"/>
      <c r="C203" s="50"/>
      <c r="D203" s="78" t="s">
        <v>134</v>
      </c>
      <c r="E203" s="79">
        <v>165000.0</v>
      </c>
      <c r="F203" s="61" t="s">
        <v>110</v>
      </c>
      <c r="G203" s="81">
        <v>5.0</v>
      </c>
      <c r="H203" s="82">
        <v>825000.0</v>
      </c>
      <c r="I203" s="82"/>
      <c r="J203" s="82"/>
      <c r="K203" s="82">
        <f t="shared" si="1345"/>
        <v>0</v>
      </c>
      <c r="L203" s="82">
        <f t="shared" si="1346"/>
        <v>0</v>
      </c>
      <c r="M203" s="82"/>
      <c r="N203" s="82"/>
      <c r="O203" s="82"/>
      <c r="P203" s="82"/>
      <c r="Q203" s="82"/>
      <c r="R203" s="82"/>
      <c r="S203" s="82"/>
      <c r="T203" s="82"/>
      <c r="U203" s="82"/>
      <c r="V203" s="83">
        <v>1.0</v>
      </c>
      <c r="W203" s="82"/>
      <c r="X203" s="82"/>
      <c r="Y203" s="82"/>
      <c r="Z203" s="82"/>
      <c r="AA203" s="82"/>
      <c r="AB203" s="82">
        <f t="shared" si="1347"/>
        <v>1</v>
      </c>
      <c r="AC203" s="82">
        <f t="shared" si="1348"/>
        <v>165000</v>
      </c>
      <c r="AD203" s="82">
        <f t="shared" si="1349"/>
        <v>4</v>
      </c>
      <c r="AE203" s="82">
        <f t="shared" si="1350"/>
        <v>660000</v>
      </c>
      <c r="AF203" s="82"/>
      <c r="AG203" s="82"/>
      <c r="AH203" s="82">
        <f t="shared" si="1351"/>
        <v>0</v>
      </c>
      <c r="AI203" s="82">
        <f t="shared" si="1352"/>
        <v>0</v>
      </c>
      <c r="AJ203" s="82"/>
      <c r="AK203" s="82"/>
      <c r="AL203" s="82"/>
      <c r="AM203" s="82"/>
      <c r="AN203" s="82">
        <f t="shared" si="1353"/>
        <v>0</v>
      </c>
      <c r="AO203" s="82">
        <f t="shared" si="1354"/>
        <v>0</v>
      </c>
      <c r="AP203" s="82">
        <f t="shared" si="1355"/>
        <v>4</v>
      </c>
      <c r="AQ203" s="82">
        <f t="shared" si="1356"/>
        <v>660000</v>
      </c>
      <c r="AR203" s="82"/>
      <c r="AS203" s="82"/>
      <c r="AT203" s="82"/>
      <c r="AU203" s="82">
        <f t="shared" si="1357"/>
        <v>0</v>
      </c>
      <c r="AV203" s="82">
        <f t="shared" si="1358"/>
        <v>0</v>
      </c>
      <c r="AW203" s="82"/>
      <c r="AX203" s="82"/>
      <c r="AY203" s="82"/>
      <c r="AZ203" s="82"/>
      <c r="BA203" s="82">
        <f t="shared" si="1359"/>
        <v>0</v>
      </c>
      <c r="BB203" s="82">
        <f t="shared" si="1360"/>
        <v>0</v>
      </c>
      <c r="BC203" s="82">
        <f t="shared" si="1361"/>
        <v>4</v>
      </c>
      <c r="BD203" s="82">
        <f t="shared" si="1362"/>
        <v>660000</v>
      </c>
      <c r="BE203" s="82">
        <f t="shared" si="1363"/>
        <v>0</v>
      </c>
      <c r="BF203" s="82">
        <f t="shared" si="1364"/>
        <v>1</v>
      </c>
      <c r="BG203" s="82">
        <f t="shared" si="1365"/>
        <v>4</v>
      </c>
      <c r="BH203" s="82">
        <f t="shared" si="1366"/>
        <v>660000</v>
      </c>
      <c r="BI203" s="82"/>
      <c r="BJ203" s="83"/>
      <c r="BK203" s="82">
        <f t="shared" si="1367"/>
        <v>0</v>
      </c>
      <c r="BL203" s="82">
        <f t="shared" si="1368"/>
        <v>0</v>
      </c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>
        <f t="shared" si="1369"/>
        <v>0</v>
      </c>
      <c r="BX203" s="82">
        <f t="shared" si="1370"/>
        <v>0</v>
      </c>
      <c r="BY203" s="82">
        <f t="shared" si="1371"/>
        <v>4</v>
      </c>
      <c r="BZ203" s="82">
        <f t="shared" si="1372"/>
        <v>660000</v>
      </c>
      <c r="CA203" s="82"/>
      <c r="CB203" s="82"/>
      <c r="CC203" s="82">
        <f t="shared" si="1373"/>
        <v>0</v>
      </c>
      <c r="CD203" s="82">
        <f t="shared" si="1374"/>
        <v>0</v>
      </c>
      <c r="CE203" s="82"/>
      <c r="CF203" s="82"/>
      <c r="CG203" s="82"/>
      <c r="CH203" s="82"/>
      <c r="CI203" s="82">
        <f t="shared" si="1375"/>
        <v>0</v>
      </c>
      <c r="CJ203" s="82">
        <f t="shared" si="1376"/>
        <v>0</v>
      </c>
      <c r="CK203" s="82">
        <f t="shared" si="1377"/>
        <v>4</v>
      </c>
      <c r="CL203" s="82">
        <f t="shared" si="1378"/>
        <v>660000</v>
      </c>
      <c r="CM203" s="82"/>
      <c r="CN203" s="82"/>
      <c r="CO203" s="82">
        <f t="shared" si="1379"/>
        <v>0</v>
      </c>
      <c r="CP203" s="82">
        <f t="shared" si="1380"/>
        <v>0</v>
      </c>
      <c r="CQ203" s="82"/>
      <c r="CR203" s="82"/>
      <c r="CS203" s="82"/>
      <c r="CT203" s="82"/>
      <c r="CU203" s="82">
        <f t="shared" si="1381"/>
        <v>0</v>
      </c>
      <c r="CV203" s="82">
        <f t="shared" si="1382"/>
        <v>0</v>
      </c>
      <c r="CW203" s="82">
        <f t="shared" si="1383"/>
        <v>4</v>
      </c>
      <c r="CX203" s="82">
        <f t="shared" si="1384"/>
        <v>660000</v>
      </c>
      <c r="CY203" s="82">
        <f t="shared" si="1385"/>
        <v>0</v>
      </c>
      <c r="CZ203" s="82">
        <f t="shared" si="1386"/>
        <v>0</v>
      </c>
      <c r="DA203" s="82">
        <f t="shared" si="1387"/>
        <v>4</v>
      </c>
      <c r="DB203" s="82">
        <f t="shared" si="1388"/>
        <v>660000</v>
      </c>
      <c r="DC203" s="91"/>
      <c r="DD203" s="82"/>
      <c r="DE203" s="82"/>
      <c r="DF203" s="82">
        <f t="shared" si="1389"/>
        <v>0</v>
      </c>
      <c r="DG203" s="82">
        <f t="shared" si="1390"/>
        <v>0</v>
      </c>
      <c r="DH203" s="82"/>
      <c r="DI203" s="82">
        <f t="shared" si="1391"/>
        <v>0</v>
      </c>
      <c r="DJ203" s="82">
        <f t="shared" si="1392"/>
        <v>0</v>
      </c>
      <c r="DK203" s="82"/>
      <c r="DL203" s="82">
        <f t="shared" si="1393"/>
        <v>0</v>
      </c>
      <c r="DM203" s="82">
        <f t="shared" si="1394"/>
        <v>0</v>
      </c>
      <c r="DN203" s="82">
        <f t="shared" si="1395"/>
        <v>4</v>
      </c>
      <c r="DO203" s="82">
        <f t="shared" si="1396"/>
        <v>660000</v>
      </c>
      <c r="DP203" s="82"/>
      <c r="DQ203" s="82"/>
      <c r="DR203" s="82">
        <f t="shared" si="1397"/>
        <v>0</v>
      </c>
      <c r="DS203" s="82">
        <f t="shared" si="1398"/>
        <v>0</v>
      </c>
      <c r="DT203" s="82"/>
      <c r="DU203" s="82"/>
      <c r="DV203" s="82"/>
      <c r="DW203" s="82"/>
      <c r="DX203" s="82">
        <f t="shared" si="1399"/>
        <v>0</v>
      </c>
      <c r="DY203" s="82">
        <f t="shared" si="1400"/>
        <v>0</v>
      </c>
      <c r="DZ203" s="82">
        <f t="shared" si="1401"/>
        <v>4</v>
      </c>
      <c r="EA203" s="82">
        <f t="shared" si="1402"/>
        <v>660000</v>
      </c>
      <c r="EB203" s="82"/>
      <c r="EC203" s="82"/>
      <c r="ED203" s="82">
        <f t="shared" si="1403"/>
        <v>0</v>
      </c>
      <c r="EE203" s="82">
        <f t="shared" si="1404"/>
        <v>0</v>
      </c>
      <c r="EF203" s="82"/>
      <c r="EG203" s="82"/>
      <c r="EH203" s="82"/>
      <c r="EI203" s="82"/>
      <c r="EJ203" s="82">
        <f t="shared" si="1405"/>
        <v>0</v>
      </c>
      <c r="EK203" s="82">
        <f t="shared" si="1406"/>
        <v>0</v>
      </c>
      <c r="EL203" s="82">
        <f t="shared" si="1407"/>
        <v>4</v>
      </c>
      <c r="EM203" s="82">
        <f t="shared" si="1408"/>
        <v>660000</v>
      </c>
      <c r="EN203" s="82">
        <f t="shared" si="1409"/>
        <v>0</v>
      </c>
      <c r="EO203" s="82">
        <f t="shared" si="1410"/>
        <v>0</v>
      </c>
      <c r="EP203" s="82">
        <f t="shared" si="1411"/>
        <v>4</v>
      </c>
      <c r="EQ203" s="82">
        <f t="shared" si="1412"/>
        <v>660000</v>
      </c>
      <c r="ER203" s="82"/>
      <c r="ES203" s="82"/>
      <c r="ET203" s="82">
        <f t="shared" si="1413"/>
        <v>0</v>
      </c>
      <c r="EU203" s="82">
        <f t="shared" si="1414"/>
        <v>0</v>
      </c>
      <c r="EV203" s="82"/>
      <c r="EW203" s="82"/>
      <c r="EX203" s="82"/>
      <c r="EY203" s="82"/>
      <c r="EZ203" s="82">
        <f t="shared" si="1415"/>
        <v>0</v>
      </c>
      <c r="FA203" s="82">
        <f t="shared" si="1416"/>
        <v>0</v>
      </c>
      <c r="FB203" s="82">
        <f t="shared" si="1417"/>
        <v>4</v>
      </c>
      <c r="FC203" s="82">
        <f t="shared" si="1418"/>
        <v>660000</v>
      </c>
      <c r="FD203" s="82"/>
      <c r="FE203" s="82"/>
      <c r="FF203" s="82">
        <f t="shared" si="1419"/>
        <v>0</v>
      </c>
      <c r="FG203" s="82">
        <f t="shared" si="1420"/>
        <v>0</v>
      </c>
      <c r="FH203" s="82"/>
      <c r="FI203" s="82"/>
      <c r="FJ203" s="82"/>
      <c r="FK203" s="82"/>
      <c r="FL203" s="82">
        <f t="shared" si="1421"/>
        <v>0</v>
      </c>
      <c r="FM203" s="82">
        <f t="shared" si="1422"/>
        <v>0</v>
      </c>
      <c r="FN203" s="82">
        <f t="shared" si="1423"/>
        <v>4</v>
      </c>
      <c r="FO203" s="82">
        <f t="shared" si="1424"/>
        <v>660000</v>
      </c>
      <c r="FP203" s="82"/>
      <c r="FQ203" s="82"/>
      <c r="FR203" s="82">
        <f t="shared" si="1425"/>
        <v>0</v>
      </c>
      <c r="FS203" s="82">
        <f t="shared" si="1426"/>
        <v>0</v>
      </c>
      <c r="FT203" s="82"/>
      <c r="FU203" s="82"/>
      <c r="FV203" s="82"/>
      <c r="FW203" s="82"/>
      <c r="FX203" s="82">
        <f t="shared" si="1427"/>
        <v>0</v>
      </c>
      <c r="FY203" s="82">
        <f t="shared" si="1428"/>
        <v>0</v>
      </c>
      <c r="FZ203" s="82">
        <f t="shared" si="1429"/>
        <v>4</v>
      </c>
      <c r="GA203" s="82">
        <f t="shared" si="1430"/>
        <v>660000</v>
      </c>
      <c r="GB203" s="82">
        <f t="shared" si="1431"/>
        <v>0</v>
      </c>
      <c r="GC203" s="82">
        <f t="shared" si="1432"/>
        <v>0</v>
      </c>
      <c r="GD203" s="82">
        <f t="shared" si="1433"/>
        <v>4</v>
      </c>
      <c r="GE203" s="82">
        <f t="shared" si="1434"/>
        <v>660000</v>
      </c>
      <c r="GF203" s="85"/>
    </row>
    <row r="204" ht="29.25" customHeight="1">
      <c r="A204" s="96"/>
      <c r="B204" s="58"/>
      <c r="C204" s="58"/>
      <c r="D204" s="89" t="s">
        <v>222</v>
      </c>
      <c r="E204" s="86">
        <f>40000+(40000*11%)</f>
        <v>44400</v>
      </c>
      <c r="F204" s="80" t="s">
        <v>180</v>
      </c>
      <c r="G204" s="81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3"/>
      <c r="BK204" s="82"/>
      <c r="BL204" s="82"/>
      <c r="BM204" s="82"/>
      <c r="BN204" s="82"/>
      <c r="BO204" s="82"/>
      <c r="BP204" s="82"/>
      <c r="BQ204" s="82"/>
      <c r="BR204" s="82"/>
      <c r="BS204" s="82"/>
      <c r="BT204" s="82"/>
      <c r="BU204" s="82"/>
      <c r="BV204" s="82"/>
      <c r="BW204" s="82"/>
      <c r="BX204" s="82"/>
      <c r="BY204" s="82"/>
      <c r="BZ204" s="82"/>
      <c r="CA204" s="82"/>
      <c r="CB204" s="82"/>
      <c r="CC204" s="82"/>
      <c r="CD204" s="82"/>
      <c r="CE204" s="82"/>
      <c r="CF204" s="82"/>
      <c r="CG204" s="82"/>
      <c r="CH204" s="82"/>
      <c r="CI204" s="82"/>
      <c r="CJ204" s="82"/>
      <c r="CK204" s="82"/>
      <c r="CL204" s="82"/>
      <c r="CM204" s="83">
        <v>0.0</v>
      </c>
      <c r="CN204" s="83">
        <v>0.0</v>
      </c>
      <c r="CO204" s="82"/>
      <c r="CP204" s="82" t="str">
        <f>CM204&amp;CN204</f>
        <v>00</v>
      </c>
      <c r="CQ204" s="82"/>
      <c r="CR204" s="82"/>
      <c r="CS204" s="82"/>
      <c r="CT204" s="82"/>
      <c r="CU204" s="82"/>
      <c r="CV204" s="82"/>
      <c r="CW204" s="82"/>
      <c r="CX204" s="82"/>
      <c r="CY204" s="82"/>
      <c r="CZ204" s="82"/>
      <c r="DA204" s="82"/>
      <c r="DB204" s="82"/>
      <c r="DC204" s="84"/>
      <c r="DD204" s="83">
        <v>50.0</v>
      </c>
      <c r="DE204" s="83">
        <v>0.0</v>
      </c>
      <c r="DF204" s="82"/>
      <c r="DG204" s="82">
        <f>DD204*E204</f>
        <v>2220000</v>
      </c>
      <c r="DH204" s="83">
        <v>0.0</v>
      </c>
      <c r="DI204" s="82"/>
      <c r="DJ204" s="82">
        <f t="shared" si="1392"/>
        <v>0</v>
      </c>
      <c r="DK204" s="82"/>
      <c r="DL204" s="82"/>
      <c r="DM204" s="82"/>
      <c r="DN204" s="82"/>
      <c r="DO204" s="82"/>
      <c r="DP204" s="82"/>
      <c r="DQ204" s="82"/>
      <c r="DR204" s="82"/>
      <c r="DS204" s="82"/>
      <c r="DT204" s="82"/>
      <c r="DU204" s="82"/>
      <c r="DV204" s="82"/>
      <c r="DW204" s="82"/>
      <c r="DX204" s="82"/>
      <c r="DY204" s="82"/>
      <c r="DZ204" s="82"/>
      <c r="EA204" s="82"/>
      <c r="EB204" s="82"/>
      <c r="EC204" s="82"/>
      <c r="ED204" s="82"/>
      <c r="EE204" s="82"/>
      <c r="EF204" s="82"/>
      <c r="EG204" s="82"/>
      <c r="EH204" s="82"/>
      <c r="EI204" s="82"/>
      <c r="EJ204" s="82"/>
      <c r="EK204" s="82"/>
      <c r="EL204" s="82"/>
      <c r="EM204" s="82"/>
      <c r="EN204" s="82"/>
      <c r="EO204" s="82"/>
      <c r="EP204" s="82"/>
      <c r="EQ204" s="82"/>
      <c r="ER204" s="82"/>
      <c r="ES204" s="82"/>
      <c r="ET204" s="82"/>
      <c r="EU204" s="82"/>
      <c r="EV204" s="82"/>
      <c r="EW204" s="82"/>
      <c r="EX204" s="82"/>
      <c r="EY204" s="82"/>
      <c r="EZ204" s="82"/>
      <c r="FA204" s="82"/>
      <c r="FB204" s="82"/>
      <c r="FC204" s="82"/>
      <c r="FD204" s="82"/>
      <c r="FE204" s="82"/>
      <c r="FF204" s="82"/>
      <c r="FG204" s="82"/>
      <c r="FH204" s="82"/>
      <c r="FI204" s="82"/>
      <c r="FJ204" s="82"/>
      <c r="FK204" s="82"/>
      <c r="FL204" s="82"/>
      <c r="FM204" s="82"/>
      <c r="FN204" s="82"/>
      <c r="FO204" s="82"/>
      <c r="FP204" s="82"/>
      <c r="FQ204" s="82"/>
      <c r="FR204" s="82"/>
      <c r="FS204" s="82"/>
      <c r="FT204" s="82"/>
      <c r="FU204" s="82"/>
      <c r="FV204" s="82"/>
      <c r="FW204" s="82"/>
      <c r="FX204" s="82"/>
      <c r="FY204" s="82"/>
      <c r="FZ204" s="82"/>
      <c r="GA204" s="82"/>
      <c r="GB204" s="82"/>
      <c r="GC204" s="82"/>
      <c r="GD204" s="82"/>
      <c r="GE204" s="82"/>
      <c r="GF204" s="85"/>
    </row>
    <row r="205" ht="29.25" customHeight="1">
      <c r="A205" s="96">
        <v>29.0</v>
      </c>
      <c r="B205" s="58"/>
      <c r="C205" s="58" t="s">
        <v>247</v>
      </c>
      <c r="D205" s="78" t="s">
        <v>99</v>
      </c>
      <c r="E205" s="79">
        <v>27750.0</v>
      </c>
      <c r="F205" s="61" t="s">
        <v>110</v>
      </c>
      <c r="G205" s="81">
        <v>25.0</v>
      </c>
      <c r="H205" s="82">
        <v>693750.0</v>
      </c>
      <c r="I205" s="82"/>
      <c r="J205" s="82"/>
      <c r="K205" s="82">
        <f t="shared" ref="K205:K210" si="1435">SUM(I205:J205)</f>
        <v>0</v>
      </c>
      <c r="L205" s="82">
        <f t="shared" ref="L205:L210" si="1436">K205*E205</f>
        <v>0</v>
      </c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>
        <f t="shared" ref="AB205:AB210" si="1437">SUM(M205:AA205)</f>
        <v>0</v>
      </c>
      <c r="AC205" s="82">
        <f t="shared" ref="AC205:AC210" si="1438">AB205*E205</f>
        <v>0</v>
      </c>
      <c r="AD205" s="82">
        <f t="shared" ref="AD205:AD210" si="1439">G205+K205-AB205</f>
        <v>25</v>
      </c>
      <c r="AE205" s="82">
        <f t="shared" ref="AE205:AE210" si="1440">AD205*E205</f>
        <v>693750</v>
      </c>
      <c r="AF205" s="82"/>
      <c r="AG205" s="82"/>
      <c r="AH205" s="82">
        <f t="shared" ref="AH205:AH210" si="1441">SUM(AF205:AG205)</f>
        <v>0</v>
      </c>
      <c r="AI205" s="82">
        <f t="shared" ref="AI205:AI210" si="1442">AH205*E205</f>
        <v>0</v>
      </c>
      <c r="AJ205" s="82"/>
      <c r="AK205" s="82"/>
      <c r="AL205" s="82"/>
      <c r="AM205" s="82"/>
      <c r="AN205" s="82">
        <f t="shared" ref="AN205:AN210" si="1443">SUM(AJ205:AM205)</f>
        <v>0</v>
      </c>
      <c r="AO205" s="82">
        <f t="shared" ref="AO205:AO210" si="1444">AN205*E205</f>
        <v>0</v>
      </c>
      <c r="AP205" s="82">
        <f t="shared" ref="AP205:AP210" si="1445">AD205+AH205-AN205</f>
        <v>25</v>
      </c>
      <c r="AQ205" s="82">
        <f t="shared" ref="AQ205:AQ210" si="1446">AP205*E205</f>
        <v>693750</v>
      </c>
      <c r="AR205" s="82"/>
      <c r="AS205" s="82"/>
      <c r="AT205" s="82"/>
      <c r="AU205" s="82">
        <f t="shared" ref="AU205:AU210" si="1447">SUM(AS205:AT205)</f>
        <v>0</v>
      </c>
      <c r="AV205" s="82">
        <f t="shared" ref="AV205:AV210" si="1448">AU205*AB205</f>
        <v>0</v>
      </c>
      <c r="AW205" s="82"/>
      <c r="AX205" s="82"/>
      <c r="AY205" s="82"/>
      <c r="AZ205" s="82"/>
      <c r="BA205" s="82">
        <f t="shared" ref="BA205:BA210" si="1449">SUM(AW205:AZ205)</f>
        <v>0</v>
      </c>
      <c r="BB205" s="82">
        <f t="shared" ref="BB205:BB210" si="1450">BA205*AB205</f>
        <v>0</v>
      </c>
      <c r="BC205" s="82">
        <f t="shared" ref="BC205:BC210" si="1451">AP205+AU205-BA205</f>
        <v>25</v>
      </c>
      <c r="BD205" s="82">
        <f t="shared" ref="BD205:BD210" si="1452">BC205*E205</f>
        <v>693750</v>
      </c>
      <c r="BE205" s="82">
        <f t="shared" ref="BE205:BE210" si="1453">K205+AH205+AU205</f>
        <v>0</v>
      </c>
      <c r="BF205" s="82">
        <f t="shared" ref="BF205:BF210" si="1454">AB205+AN205+BA205</f>
        <v>0</v>
      </c>
      <c r="BG205" s="82">
        <f t="shared" ref="BG205:BG210" si="1455">G205+BE205-BF205</f>
        <v>25</v>
      </c>
      <c r="BH205" s="82">
        <f t="shared" ref="BH205:BH210" si="1456">BG205*E205</f>
        <v>693750</v>
      </c>
      <c r="BI205" s="82"/>
      <c r="BJ205" s="83"/>
      <c r="BK205" s="82">
        <f t="shared" ref="BK205:BK210" si="1457">SUM(BI205:BJ205)</f>
        <v>0</v>
      </c>
      <c r="BL205" s="82">
        <f t="shared" ref="BL205:BL210" si="1458">BK205*E205</f>
        <v>0</v>
      </c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>
        <f t="shared" ref="BW205:BW210" si="1459">SUM(BM205:BV205)</f>
        <v>0</v>
      </c>
      <c r="BX205" s="82">
        <f t="shared" ref="BX205:BX210" si="1460">BW205*E205</f>
        <v>0</v>
      </c>
      <c r="BY205" s="82">
        <f t="shared" ref="BY205:BY210" si="1461">BG205+BK205-BW205</f>
        <v>25</v>
      </c>
      <c r="BZ205" s="82">
        <f t="shared" ref="BZ205:BZ210" si="1462">BY205*E205</f>
        <v>693750</v>
      </c>
      <c r="CA205" s="82"/>
      <c r="CB205" s="82"/>
      <c r="CC205" s="82">
        <f t="shared" ref="CC205:CC210" si="1463">sum(CA205:CB205)</f>
        <v>0</v>
      </c>
      <c r="CD205" s="82">
        <f t="shared" ref="CD205:CD210" si="1464">CC205*E205</f>
        <v>0</v>
      </c>
      <c r="CE205" s="82"/>
      <c r="CF205" s="82"/>
      <c r="CG205" s="82"/>
      <c r="CH205" s="82"/>
      <c r="CI205" s="82">
        <f t="shared" ref="CI205:CI210" si="1465">sum(CE205:CH205)</f>
        <v>0</v>
      </c>
      <c r="CJ205" s="82">
        <f t="shared" ref="CJ205:CJ210" si="1466">CI205*E205</f>
        <v>0</v>
      </c>
      <c r="CK205" s="82">
        <f t="shared" ref="CK205:CK210" si="1467">BY205+CC205-CI205</f>
        <v>25</v>
      </c>
      <c r="CL205" s="82">
        <f t="shared" ref="CL205:CL210" si="1468">CK205*E205</f>
        <v>693750</v>
      </c>
      <c r="CM205" s="82"/>
      <c r="CN205" s="82"/>
      <c r="CO205" s="82">
        <f t="shared" ref="CO205:CO210" si="1469">SUM(CM205:CN205)</f>
        <v>0</v>
      </c>
      <c r="CP205" s="82">
        <f t="shared" ref="CP205:CP210" si="1470">CO205*E205</f>
        <v>0</v>
      </c>
      <c r="CQ205" s="82"/>
      <c r="CR205" s="82"/>
      <c r="CS205" s="82"/>
      <c r="CT205" s="82"/>
      <c r="CU205" s="82">
        <f t="shared" ref="CU205:CU210" si="1471">sum(CQ205:CT205)</f>
        <v>0</v>
      </c>
      <c r="CV205" s="82">
        <f t="shared" ref="CV205:CV210" si="1472">CU205*E205</f>
        <v>0</v>
      </c>
      <c r="CW205" s="82">
        <f t="shared" ref="CW205:CW210" si="1473">CK205+CO205-CU205</f>
        <v>25</v>
      </c>
      <c r="CX205" s="82">
        <f t="shared" ref="CX205:CX210" si="1474">CW205*E205</f>
        <v>693750</v>
      </c>
      <c r="CY205" s="82">
        <f t="shared" ref="CY205:CY210" si="1475">BK205+CC205+CO205</f>
        <v>0</v>
      </c>
      <c r="CZ205" s="82">
        <f t="shared" ref="CZ205:CZ210" si="1476">BW205+CI205+CU205</f>
        <v>0</v>
      </c>
      <c r="DA205" s="82">
        <f t="shared" ref="DA205:DA210" si="1477">BG205+CY205-CZ205</f>
        <v>25</v>
      </c>
      <c r="DB205" s="82">
        <f t="shared" ref="DB205:DB210" si="1478">DA205*E205</f>
        <v>693750</v>
      </c>
      <c r="DC205" s="91"/>
      <c r="DD205" s="82"/>
      <c r="DE205" s="82"/>
      <c r="DF205" s="82">
        <f t="shared" ref="DF205:DF210" si="1479">SUM(DD205:DE205)</f>
        <v>0</v>
      </c>
      <c r="DG205" s="82">
        <f t="shared" ref="DG205:DG210" si="1480">DF205*U205</f>
        <v>0</v>
      </c>
      <c r="DH205" s="82"/>
      <c r="DI205" s="82">
        <f t="shared" ref="DI205:DI210" si="1481">SUM(DG205:DH205)</f>
        <v>0</v>
      </c>
      <c r="DJ205" s="82">
        <f t="shared" si="1392"/>
        <v>0</v>
      </c>
      <c r="DK205" s="82"/>
      <c r="DL205" s="82">
        <f t="shared" ref="DL205:DL210" si="1482">sum(DH205:DK205)</f>
        <v>0</v>
      </c>
      <c r="DM205" s="82">
        <f t="shared" ref="DM205:DM210" si="1483">DL205*E205</f>
        <v>0</v>
      </c>
      <c r="DN205" s="82">
        <f t="shared" ref="DN205:DN210" si="1484">DA205+DF205-DL205</f>
        <v>25</v>
      </c>
      <c r="DO205" s="82">
        <f t="shared" ref="DO205:DO210" si="1485">DN205*E205</f>
        <v>693750</v>
      </c>
      <c r="DP205" s="82"/>
      <c r="DQ205" s="82"/>
      <c r="DR205" s="82">
        <f t="shared" ref="DR205:DR210" si="1486">sum(DP205:DQ205)</f>
        <v>0</v>
      </c>
      <c r="DS205" s="82">
        <f t="shared" ref="DS205:DS210" si="1487">DR205*AB205</f>
        <v>0</v>
      </c>
      <c r="DT205" s="82"/>
      <c r="DU205" s="82"/>
      <c r="DV205" s="82"/>
      <c r="DW205" s="82"/>
      <c r="DX205" s="82">
        <f t="shared" ref="DX205:DX210" si="1488">sum(DT205:DW205)</f>
        <v>0</v>
      </c>
      <c r="DY205" s="82">
        <f t="shared" ref="DY205:DY210" si="1489">DX205*AB205</f>
        <v>0</v>
      </c>
      <c r="DZ205" s="82">
        <f t="shared" ref="DZ205:DZ210" si="1490">DN205+DR205-DX205</f>
        <v>25</v>
      </c>
      <c r="EA205" s="82">
        <f t="shared" ref="EA205:EA210" si="1491">DZ205*E205</f>
        <v>693750</v>
      </c>
      <c r="EB205" s="82"/>
      <c r="EC205" s="82"/>
      <c r="ED205" s="82">
        <f t="shared" ref="ED205:ED210" si="1492">sum(EB205:EC205)</f>
        <v>0</v>
      </c>
      <c r="EE205" s="82">
        <f t="shared" ref="EE205:EE210" si="1493">ED205*AN205</f>
        <v>0</v>
      </c>
      <c r="EF205" s="82"/>
      <c r="EG205" s="82"/>
      <c r="EH205" s="82"/>
      <c r="EI205" s="82"/>
      <c r="EJ205" s="82">
        <f t="shared" ref="EJ205:EJ210" si="1494">sum(EF205:EI205)</f>
        <v>0</v>
      </c>
      <c r="EK205" s="82">
        <f t="shared" ref="EK205:EK210" si="1495">EJ205*AN205</f>
        <v>0</v>
      </c>
      <c r="EL205" s="82">
        <f t="shared" ref="EL205:EL210" si="1496">DZ205+ED205-EJ205</f>
        <v>25</v>
      </c>
      <c r="EM205" s="82">
        <f t="shared" ref="EM205:EM210" si="1497">EL205*E205</f>
        <v>693750</v>
      </c>
      <c r="EN205" s="82">
        <f t="shared" ref="EN205:EN210" si="1498">DF205+DR205+ED205</f>
        <v>0</v>
      </c>
      <c r="EO205" s="82">
        <f t="shared" ref="EO205:EO210" si="1499">DL205+DX205+EJ205</f>
        <v>0</v>
      </c>
      <c r="EP205" s="82">
        <f t="shared" ref="EP205:EP210" si="1500">DA205+EN205-EO205</f>
        <v>25</v>
      </c>
      <c r="EQ205" s="82">
        <f t="shared" ref="EQ205:EQ210" si="1501">EP205*E205</f>
        <v>693750</v>
      </c>
      <c r="ER205" s="82"/>
      <c r="ES205" s="82"/>
      <c r="ET205" s="82">
        <f t="shared" ref="ET205:ET210" si="1502">sum(ER205:ES205)</f>
        <v>0</v>
      </c>
      <c r="EU205" s="82">
        <f t="shared" ref="EU205:EU210" si="1503">ET205*BE205</f>
        <v>0</v>
      </c>
      <c r="EV205" s="82"/>
      <c r="EW205" s="82"/>
      <c r="EX205" s="82"/>
      <c r="EY205" s="82"/>
      <c r="EZ205" s="82">
        <f t="shared" ref="EZ205:EZ210" si="1504">sum(EV205:EY205)</f>
        <v>0</v>
      </c>
      <c r="FA205" s="82">
        <f t="shared" ref="FA205:FA210" si="1505">EZ205*BE205</f>
        <v>0</v>
      </c>
      <c r="FB205" s="82">
        <f t="shared" ref="FB205:FB210" si="1506">EP205+ET205-EZ205</f>
        <v>25</v>
      </c>
      <c r="FC205" s="82">
        <f t="shared" ref="FC205:FC210" si="1507">FB205*E205</f>
        <v>693750</v>
      </c>
      <c r="FD205" s="82"/>
      <c r="FE205" s="82"/>
      <c r="FF205" s="82">
        <f t="shared" ref="FF205:FF210" si="1508">sum(FD205:FE205)</f>
        <v>0</v>
      </c>
      <c r="FG205" s="82">
        <f t="shared" ref="FG205:FG210" si="1509">FF205*BW205</f>
        <v>0</v>
      </c>
      <c r="FH205" s="82"/>
      <c r="FI205" s="82"/>
      <c r="FJ205" s="82"/>
      <c r="FK205" s="82"/>
      <c r="FL205" s="82">
        <f t="shared" ref="FL205:FL210" si="1510">sum(FH205:FK205)</f>
        <v>0</v>
      </c>
      <c r="FM205" s="82">
        <f t="shared" ref="FM205:FM210" si="1511">FL205*BW205</f>
        <v>0</v>
      </c>
      <c r="FN205" s="82">
        <f t="shared" ref="FN205:FN210" si="1512">FB205+FF205-FL205</f>
        <v>25</v>
      </c>
      <c r="FO205" s="82">
        <f t="shared" ref="FO205:FO210" si="1513">FN205*E205</f>
        <v>693750</v>
      </c>
      <c r="FP205" s="82"/>
      <c r="FQ205" s="82"/>
      <c r="FR205" s="82">
        <f t="shared" ref="FR205:FR210" si="1514">sum(FP205:FQ205)</f>
        <v>0</v>
      </c>
      <c r="FS205" s="82">
        <f t="shared" ref="FS205:FS210" si="1515">FR205*CI205</f>
        <v>0</v>
      </c>
      <c r="FT205" s="82"/>
      <c r="FU205" s="82"/>
      <c r="FV205" s="82"/>
      <c r="FW205" s="82"/>
      <c r="FX205" s="82">
        <f t="shared" ref="FX205:FX210" si="1516">sum(FT205:FW205)</f>
        <v>0</v>
      </c>
      <c r="FY205" s="82">
        <f t="shared" ref="FY205:FY210" si="1517">FX205*CI205</f>
        <v>0</v>
      </c>
      <c r="FZ205" s="82">
        <f t="shared" ref="FZ205:FZ210" si="1518">FN205+FR205-FX205</f>
        <v>25</v>
      </c>
      <c r="GA205" s="82">
        <f t="shared" ref="GA205:GA210" si="1519">FZ205*E205</f>
        <v>693750</v>
      </c>
      <c r="GB205" s="82">
        <f t="shared" ref="GB205:GB210" si="1520">ET205+FF205+FR205</f>
        <v>0</v>
      </c>
      <c r="GC205" s="82">
        <f t="shared" ref="GC205:GC210" si="1521">EZ205+FL205+FX205</f>
        <v>0</v>
      </c>
      <c r="GD205" s="82">
        <f t="shared" ref="GD205:GD210" si="1522">EP205+GB205-GC205</f>
        <v>25</v>
      </c>
      <c r="GE205" s="82">
        <f t="shared" ref="GE205:GE210" si="1523">GD205*E205</f>
        <v>693750</v>
      </c>
      <c r="GF205" s="85"/>
    </row>
    <row r="206" ht="29.25" customHeight="1">
      <c r="A206" s="96">
        <v>30.0</v>
      </c>
      <c r="B206" s="58"/>
      <c r="C206" s="58" t="s">
        <v>248</v>
      </c>
      <c r="D206" s="78" t="s">
        <v>249</v>
      </c>
      <c r="E206" s="79">
        <v>3630.0</v>
      </c>
      <c r="F206" s="61"/>
      <c r="G206" s="81">
        <v>5840.0</v>
      </c>
      <c r="H206" s="82">
        <v>2.11992E7</v>
      </c>
      <c r="I206" s="82"/>
      <c r="J206" s="82"/>
      <c r="K206" s="82">
        <f t="shared" si="1435"/>
        <v>0</v>
      </c>
      <c r="L206" s="82">
        <f t="shared" si="1436"/>
        <v>0</v>
      </c>
      <c r="M206" s="82"/>
      <c r="N206" s="83">
        <v>50.0</v>
      </c>
      <c r="O206" s="82"/>
      <c r="P206" s="82"/>
      <c r="Q206" s="82"/>
      <c r="R206" s="82"/>
      <c r="S206" s="82"/>
      <c r="T206" s="82"/>
      <c r="U206" s="82"/>
      <c r="V206" s="83">
        <v>100.0</v>
      </c>
      <c r="W206" s="82"/>
      <c r="X206" s="82"/>
      <c r="Y206" s="82"/>
      <c r="Z206" s="82"/>
      <c r="AA206" s="83">
        <v>100.0</v>
      </c>
      <c r="AB206" s="82">
        <f t="shared" si="1437"/>
        <v>250</v>
      </c>
      <c r="AC206" s="82">
        <f t="shared" si="1438"/>
        <v>907500</v>
      </c>
      <c r="AD206" s="82">
        <f t="shared" si="1439"/>
        <v>5590</v>
      </c>
      <c r="AE206" s="82">
        <f t="shared" si="1440"/>
        <v>20291700</v>
      </c>
      <c r="AF206" s="82"/>
      <c r="AG206" s="82"/>
      <c r="AH206" s="82">
        <f t="shared" si="1441"/>
        <v>0</v>
      </c>
      <c r="AI206" s="82">
        <f t="shared" si="1442"/>
        <v>0</v>
      </c>
      <c r="AJ206" s="82"/>
      <c r="AK206" s="82"/>
      <c r="AL206" s="82"/>
      <c r="AM206" s="82"/>
      <c r="AN206" s="82">
        <f t="shared" si="1443"/>
        <v>0</v>
      </c>
      <c r="AO206" s="82">
        <f t="shared" si="1444"/>
        <v>0</v>
      </c>
      <c r="AP206" s="82">
        <f t="shared" si="1445"/>
        <v>5590</v>
      </c>
      <c r="AQ206" s="82">
        <f t="shared" si="1446"/>
        <v>20291700</v>
      </c>
      <c r="AR206" s="82"/>
      <c r="AS206" s="82"/>
      <c r="AT206" s="82"/>
      <c r="AU206" s="82">
        <f t="shared" si="1447"/>
        <v>0</v>
      </c>
      <c r="AV206" s="82">
        <f t="shared" si="1448"/>
        <v>0</v>
      </c>
      <c r="AW206" s="82"/>
      <c r="AX206" s="82"/>
      <c r="AY206" s="82"/>
      <c r="AZ206" s="82"/>
      <c r="BA206" s="82">
        <f t="shared" si="1449"/>
        <v>0</v>
      </c>
      <c r="BB206" s="82">
        <f t="shared" si="1450"/>
        <v>0</v>
      </c>
      <c r="BC206" s="82">
        <f t="shared" si="1451"/>
        <v>5590</v>
      </c>
      <c r="BD206" s="82">
        <f t="shared" si="1452"/>
        <v>20291700</v>
      </c>
      <c r="BE206" s="82">
        <f t="shared" si="1453"/>
        <v>0</v>
      </c>
      <c r="BF206" s="82">
        <f t="shared" si="1454"/>
        <v>250</v>
      </c>
      <c r="BG206" s="82">
        <f t="shared" si="1455"/>
        <v>5590</v>
      </c>
      <c r="BH206" s="82">
        <f t="shared" si="1456"/>
        <v>20291700</v>
      </c>
      <c r="BI206" s="82"/>
      <c r="BJ206" s="83"/>
      <c r="BK206" s="82">
        <f t="shared" si="1457"/>
        <v>0</v>
      </c>
      <c r="BL206" s="82">
        <f t="shared" si="1458"/>
        <v>0</v>
      </c>
      <c r="BM206" s="82"/>
      <c r="BN206" s="82"/>
      <c r="BO206" s="82"/>
      <c r="BP206" s="82"/>
      <c r="BQ206" s="82"/>
      <c r="BR206" s="82"/>
      <c r="BS206" s="82"/>
      <c r="BT206" s="83">
        <v>1000.0</v>
      </c>
      <c r="BU206" s="82"/>
      <c r="BV206" s="82"/>
      <c r="BW206" s="82">
        <f t="shared" si="1459"/>
        <v>1000</v>
      </c>
      <c r="BX206" s="82">
        <f t="shared" si="1460"/>
        <v>3630000</v>
      </c>
      <c r="BY206" s="82">
        <f t="shared" si="1461"/>
        <v>4590</v>
      </c>
      <c r="BZ206" s="82">
        <f t="shared" si="1462"/>
        <v>16661700</v>
      </c>
      <c r="CA206" s="82"/>
      <c r="CB206" s="82"/>
      <c r="CC206" s="82">
        <f t="shared" si="1463"/>
        <v>0</v>
      </c>
      <c r="CD206" s="82">
        <f t="shared" si="1464"/>
        <v>0</v>
      </c>
      <c r="CE206" s="82"/>
      <c r="CF206" s="83">
        <v>1000.0</v>
      </c>
      <c r="CG206" s="82"/>
      <c r="CH206" s="82"/>
      <c r="CI206" s="82">
        <f t="shared" si="1465"/>
        <v>1000</v>
      </c>
      <c r="CJ206" s="82">
        <f t="shared" si="1466"/>
        <v>3630000</v>
      </c>
      <c r="CK206" s="82">
        <f t="shared" si="1467"/>
        <v>3590</v>
      </c>
      <c r="CL206" s="82">
        <f t="shared" si="1468"/>
        <v>13031700</v>
      </c>
      <c r="CM206" s="82"/>
      <c r="CN206" s="82"/>
      <c r="CO206" s="82">
        <f t="shared" si="1469"/>
        <v>0</v>
      </c>
      <c r="CP206" s="82">
        <f t="shared" si="1470"/>
        <v>0</v>
      </c>
      <c r="CQ206" s="82"/>
      <c r="CR206" s="83">
        <v>1000.0</v>
      </c>
      <c r="CS206" s="82"/>
      <c r="CT206" s="82"/>
      <c r="CU206" s="82">
        <f t="shared" si="1471"/>
        <v>1000</v>
      </c>
      <c r="CV206" s="82">
        <f t="shared" si="1472"/>
        <v>3630000</v>
      </c>
      <c r="CW206" s="82">
        <f t="shared" si="1473"/>
        <v>2590</v>
      </c>
      <c r="CX206" s="82">
        <f t="shared" si="1474"/>
        <v>9401700</v>
      </c>
      <c r="CY206" s="82">
        <f t="shared" si="1475"/>
        <v>0</v>
      </c>
      <c r="CZ206" s="82">
        <f t="shared" si="1476"/>
        <v>3000</v>
      </c>
      <c r="DA206" s="82">
        <f t="shared" si="1477"/>
        <v>2590</v>
      </c>
      <c r="DB206" s="82">
        <f t="shared" si="1478"/>
        <v>9401700</v>
      </c>
      <c r="DC206" s="91"/>
      <c r="DD206" s="82"/>
      <c r="DE206" s="82"/>
      <c r="DF206" s="82">
        <f t="shared" si="1479"/>
        <v>0</v>
      </c>
      <c r="DG206" s="82">
        <f t="shared" si="1480"/>
        <v>0</v>
      </c>
      <c r="DH206" s="82"/>
      <c r="DI206" s="82">
        <f t="shared" si="1481"/>
        <v>0</v>
      </c>
      <c r="DJ206" s="82">
        <f t="shared" si="1392"/>
        <v>0</v>
      </c>
      <c r="DK206" s="82"/>
      <c r="DL206" s="82">
        <f t="shared" si="1482"/>
        <v>0</v>
      </c>
      <c r="DM206" s="82">
        <f t="shared" si="1483"/>
        <v>0</v>
      </c>
      <c r="DN206" s="82">
        <f t="shared" si="1484"/>
        <v>2590</v>
      </c>
      <c r="DO206" s="82">
        <f t="shared" si="1485"/>
        <v>9401700</v>
      </c>
      <c r="DP206" s="82"/>
      <c r="DQ206" s="82"/>
      <c r="DR206" s="82">
        <f t="shared" si="1486"/>
        <v>0</v>
      </c>
      <c r="DS206" s="82">
        <f t="shared" si="1487"/>
        <v>0</v>
      </c>
      <c r="DT206" s="82"/>
      <c r="DU206" s="82"/>
      <c r="DV206" s="82"/>
      <c r="DW206" s="82"/>
      <c r="DX206" s="82">
        <f t="shared" si="1488"/>
        <v>0</v>
      </c>
      <c r="DY206" s="82">
        <f t="shared" si="1489"/>
        <v>0</v>
      </c>
      <c r="DZ206" s="82">
        <f t="shared" si="1490"/>
        <v>2590</v>
      </c>
      <c r="EA206" s="82">
        <f t="shared" si="1491"/>
        <v>9401700</v>
      </c>
      <c r="EB206" s="82"/>
      <c r="EC206" s="82"/>
      <c r="ED206" s="82">
        <f t="shared" si="1492"/>
        <v>0</v>
      </c>
      <c r="EE206" s="82">
        <f t="shared" si="1493"/>
        <v>0</v>
      </c>
      <c r="EF206" s="82"/>
      <c r="EG206" s="82"/>
      <c r="EH206" s="82"/>
      <c r="EI206" s="82"/>
      <c r="EJ206" s="82">
        <f t="shared" si="1494"/>
        <v>0</v>
      </c>
      <c r="EK206" s="82">
        <f t="shared" si="1495"/>
        <v>0</v>
      </c>
      <c r="EL206" s="82">
        <f t="shared" si="1496"/>
        <v>2590</v>
      </c>
      <c r="EM206" s="82">
        <f t="shared" si="1497"/>
        <v>9401700</v>
      </c>
      <c r="EN206" s="82">
        <f t="shared" si="1498"/>
        <v>0</v>
      </c>
      <c r="EO206" s="82">
        <f t="shared" si="1499"/>
        <v>0</v>
      </c>
      <c r="EP206" s="82">
        <f t="shared" si="1500"/>
        <v>2590</v>
      </c>
      <c r="EQ206" s="82">
        <f t="shared" si="1501"/>
        <v>9401700</v>
      </c>
      <c r="ER206" s="82"/>
      <c r="ES206" s="82"/>
      <c r="ET206" s="82">
        <f t="shared" si="1502"/>
        <v>0</v>
      </c>
      <c r="EU206" s="82">
        <f t="shared" si="1503"/>
        <v>0</v>
      </c>
      <c r="EV206" s="82"/>
      <c r="EW206" s="82"/>
      <c r="EX206" s="82"/>
      <c r="EY206" s="82"/>
      <c r="EZ206" s="82">
        <f t="shared" si="1504"/>
        <v>0</v>
      </c>
      <c r="FA206" s="82">
        <f t="shared" si="1505"/>
        <v>0</v>
      </c>
      <c r="FB206" s="82">
        <f t="shared" si="1506"/>
        <v>2590</v>
      </c>
      <c r="FC206" s="82">
        <f t="shared" si="1507"/>
        <v>9401700</v>
      </c>
      <c r="FD206" s="82"/>
      <c r="FE206" s="82"/>
      <c r="FF206" s="82">
        <f t="shared" si="1508"/>
        <v>0</v>
      </c>
      <c r="FG206" s="82">
        <f t="shared" si="1509"/>
        <v>0</v>
      </c>
      <c r="FH206" s="82"/>
      <c r="FI206" s="82"/>
      <c r="FJ206" s="82"/>
      <c r="FK206" s="82"/>
      <c r="FL206" s="82">
        <f t="shared" si="1510"/>
        <v>0</v>
      </c>
      <c r="FM206" s="82">
        <f t="shared" si="1511"/>
        <v>0</v>
      </c>
      <c r="FN206" s="82">
        <f t="shared" si="1512"/>
        <v>2590</v>
      </c>
      <c r="FO206" s="82">
        <f t="shared" si="1513"/>
        <v>9401700</v>
      </c>
      <c r="FP206" s="82"/>
      <c r="FQ206" s="82"/>
      <c r="FR206" s="82">
        <f t="shared" si="1514"/>
        <v>0</v>
      </c>
      <c r="FS206" s="82">
        <f t="shared" si="1515"/>
        <v>0</v>
      </c>
      <c r="FT206" s="82"/>
      <c r="FU206" s="82"/>
      <c r="FV206" s="82"/>
      <c r="FW206" s="82"/>
      <c r="FX206" s="82">
        <f t="shared" si="1516"/>
        <v>0</v>
      </c>
      <c r="FY206" s="82">
        <f t="shared" si="1517"/>
        <v>0</v>
      </c>
      <c r="FZ206" s="82">
        <f t="shared" si="1518"/>
        <v>2590</v>
      </c>
      <c r="GA206" s="82">
        <f t="shared" si="1519"/>
        <v>9401700</v>
      </c>
      <c r="GB206" s="82">
        <f t="shared" si="1520"/>
        <v>0</v>
      </c>
      <c r="GC206" s="82">
        <f t="shared" si="1521"/>
        <v>0</v>
      </c>
      <c r="GD206" s="82">
        <f t="shared" si="1522"/>
        <v>2590</v>
      </c>
      <c r="GE206" s="82">
        <f t="shared" si="1523"/>
        <v>9401700</v>
      </c>
      <c r="GF206" s="85"/>
    </row>
    <row r="207" ht="29.25" customHeight="1">
      <c r="A207" s="96">
        <v>31.0</v>
      </c>
      <c r="B207" s="58"/>
      <c r="C207" s="77" t="s">
        <v>250</v>
      </c>
      <c r="D207" s="78" t="s">
        <v>99</v>
      </c>
      <c r="E207" s="86">
        <v>19999.98</v>
      </c>
      <c r="F207" s="80" t="s">
        <v>168</v>
      </c>
      <c r="G207" s="81">
        <v>50.0</v>
      </c>
      <c r="H207" s="82">
        <v>999999.0</v>
      </c>
      <c r="I207" s="82"/>
      <c r="J207" s="82"/>
      <c r="K207" s="82">
        <f t="shared" si="1435"/>
        <v>0</v>
      </c>
      <c r="L207" s="82">
        <f t="shared" si="1436"/>
        <v>0</v>
      </c>
      <c r="M207" s="82"/>
      <c r="N207" s="83">
        <v>5.0</v>
      </c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>
        <f t="shared" si="1437"/>
        <v>5</v>
      </c>
      <c r="AC207" s="82">
        <f t="shared" si="1438"/>
        <v>99999.9</v>
      </c>
      <c r="AD207" s="82">
        <f t="shared" si="1439"/>
        <v>45</v>
      </c>
      <c r="AE207" s="82">
        <f t="shared" si="1440"/>
        <v>899999.1</v>
      </c>
      <c r="AF207" s="82"/>
      <c r="AG207" s="82"/>
      <c r="AH207" s="82">
        <f t="shared" si="1441"/>
        <v>0</v>
      </c>
      <c r="AI207" s="82">
        <f t="shared" si="1442"/>
        <v>0</v>
      </c>
      <c r="AJ207" s="82"/>
      <c r="AK207" s="82"/>
      <c r="AL207" s="82"/>
      <c r="AM207" s="82"/>
      <c r="AN207" s="82">
        <f t="shared" si="1443"/>
        <v>0</v>
      </c>
      <c r="AO207" s="82">
        <f t="shared" si="1444"/>
        <v>0</v>
      </c>
      <c r="AP207" s="82">
        <f t="shared" si="1445"/>
        <v>45</v>
      </c>
      <c r="AQ207" s="82">
        <f t="shared" si="1446"/>
        <v>899999.1</v>
      </c>
      <c r="AR207" s="82"/>
      <c r="AS207" s="82"/>
      <c r="AT207" s="82"/>
      <c r="AU207" s="82">
        <f t="shared" si="1447"/>
        <v>0</v>
      </c>
      <c r="AV207" s="82">
        <f t="shared" si="1448"/>
        <v>0</v>
      </c>
      <c r="AW207" s="82"/>
      <c r="AX207" s="82"/>
      <c r="AY207" s="82"/>
      <c r="AZ207" s="82"/>
      <c r="BA207" s="82">
        <f t="shared" si="1449"/>
        <v>0</v>
      </c>
      <c r="BB207" s="82">
        <f t="shared" si="1450"/>
        <v>0</v>
      </c>
      <c r="BC207" s="82">
        <f t="shared" si="1451"/>
        <v>45</v>
      </c>
      <c r="BD207" s="82">
        <f t="shared" si="1452"/>
        <v>899999.1</v>
      </c>
      <c r="BE207" s="82">
        <f t="shared" si="1453"/>
        <v>0</v>
      </c>
      <c r="BF207" s="82">
        <f t="shared" si="1454"/>
        <v>5</v>
      </c>
      <c r="BG207" s="82">
        <f t="shared" si="1455"/>
        <v>45</v>
      </c>
      <c r="BH207" s="82">
        <f t="shared" si="1456"/>
        <v>899999.1</v>
      </c>
      <c r="BI207" s="82"/>
      <c r="BJ207" s="83"/>
      <c r="BK207" s="82">
        <f t="shared" si="1457"/>
        <v>0</v>
      </c>
      <c r="BL207" s="82">
        <f t="shared" si="1458"/>
        <v>0</v>
      </c>
      <c r="BM207" s="82"/>
      <c r="BN207" s="82"/>
      <c r="BO207" s="82"/>
      <c r="BP207" s="82"/>
      <c r="BQ207" s="82"/>
      <c r="BR207" s="82"/>
      <c r="BS207" s="83">
        <v>15.0</v>
      </c>
      <c r="BT207" s="83"/>
      <c r="BU207" s="83"/>
      <c r="BV207" s="82"/>
      <c r="BW207" s="82">
        <f t="shared" si="1459"/>
        <v>15</v>
      </c>
      <c r="BX207" s="82">
        <f t="shared" si="1460"/>
        <v>299999.7</v>
      </c>
      <c r="BY207" s="82">
        <f t="shared" si="1461"/>
        <v>30</v>
      </c>
      <c r="BZ207" s="82">
        <f t="shared" si="1462"/>
        <v>599999.4</v>
      </c>
      <c r="CA207" s="82"/>
      <c r="CB207" s="82"/>
      <c r="CC207" s="82">
        <f t="shared" si="1463"/>
        <v>0</v>
      </c>
      <c r="CD207" s="82">
        <f t="shared" si="1464"/>
        <v>0</v>
      </c>
      <c r="CE207" s="82"/>
      <c r="CF207" s="82"/>
      <c r="CG207" s="82"/>
      <c r="CH207" s="82"/>
      <c r="CI207" s="82">
        <f t="shared" si="1465"/>
        <v>0</v>
      </c>
      <c r="CJ207" s="82">
        <f t="shared" si="1466"/>
        <v>0</v>
      </c>
      <c r="CK207" s="82">
        <f t="shared" si="1467"/>
        <v>30</v>
      </c>
      <c r="CL207" s="82">
        <f t="shared" si="1468"/>
        <v>599999.4</v>
      </c>
      <c r="CM207" s="82"/>
      <c r="CN207" s="82"/>
      <c r="CO207" s="82">
        <f t="shared" si="1469"/>
        <v>0</v>
      </c>
      <c r="CP207" s="82">
        <f t="shared" si="1470"/>
        <v>0</v>
      </c>
      <c r="CQ207" s="83">
        <v>20.0</v>
      </c>
      <c r="CR207" s="82"/>
      <c r="CS207" s="82"/>
      <c r="CT207" s="82"/>
      <c r="CU207" s="82">
        <f t="shared" si="1471"/>
        <v>20</v>
      </c>
      <c r="CV207" s="82">
        <f t="shared" si="1472"/>
        <v>399999.6</v>
      </c>
      <c r="CW207" s="82">
        <f t="shared" si="1473"/>
        <v>10</v>
      </c>
      <c r="CX207" s="82">
        <f t="shared" si="1474"/>
        <v>199999.8</v>
      </c>
      <c r="CY207" s="82">
        <f t="shared" si="1475"/>
        <v>0</v>
      </c>
      <c r="CZ207" s="82">
        <f t="shared" si="1476"/>
        <v>35</v>
      </c>
      <c r="DA207" s="82">
        <f t="shared" si="1477"/>
        <v>10</v>
      </c>
      <c r="DB207" s="82">
        <f t="shared" si="1478"/>
        <v>199999.8</v>
      </c>
      <c r="DC207" s="91"/>
      <c r="DD207" s="82"/>
      <c r="DE207" s="82"/>
      <c r="DF207" s="82">
        <f t="shared" si="1479"/>
        <v>0</v>
      </c>
      <c r="DG207" s="82">
        <f t="shared" si="1480"/>
        <v>0</v>
      </c>
      <c r="DH207" s="82"/>
      <c r="DI207" s="82">
        <f t="shared" si="1481"/>
        <v>0</v>
      </c>
      <c r="DJ207" s="82">
        <f t="shared" si="1392"/>
        <v>0</v>
      </c>
      <c r="DK207" s="82"/>
      <c r="DL207" s="82">
        <f t="shared" si="1482"/>
        <v>0</v>
      </c>
      <c r="DM207" s="82">
        <f t="shared" si="1483"/>
        <v>0</v>
      </c>
      <c r="DN207" s="82">
        <f t="shared" si="1484"/>
        <v>10</v>
      </c>
      <c r="DO207" s="82">
        <f t="shared" si="1485"/>
        <v>199999.8</v>
      </c>
      <c r="DP207" s="82"/>
      <c r="DQ207" s="82"/>
      <c r="DR207" s="82">
        <f t="shared" si="1486"/>
        <v>0</v>
      </c>
      <c r="DS207" s="82">
        <f t="shared" si="1487"/>
        <v>0</v>
      </c>
      <c r="DT207" s="82"/>
      <c r="DU207" s="82"/>
      <c r="DV207" s="82"/>
      <c r="DW207" s="82"/>
      <c r="DX207" s="82">
        <f t="shared" si="1488"/>
        <v>0</v>
      </c>
      <c r="DY207" s="82">
        <f t="shared" si="1489"/>
        <v>0</v>
      </c>
      <c r="DZ207" s="82">
        <f t="shared" si="1490"/>
        <v>10</v>
      </c>
      <c r="EA207" s="82">
        <f t="shared" si="1491"/>
        <v>199999.8</v>
      </c>
      <c r="EB207" s="82"/>
      <c r="EC207" s="82"/>
      <c r="ED207" s="82">
        <f t="shared" si="1492"/>
        <v>0</v>
      </c>
      <c r="EE207" s="82">
        <f t="shared" si="1493"/>
        <v>0</v>
      </c>
      <c r="EF207" s="82"/>
      <c r="EG207" s="82"/>
      <c r="EH207" s="82"/>
      <c r="EI207" s="82"/>
      <c r="EJ207" s="82">
        <f t="shared" si="1494"/>
        <v>0</v>
      </c>
      <c r="EK207" s="82">
        <f t="shared" si="1495"/>
        <v>0</v>
      </c>
      <c r="EL207" s="82">
        <f t="shared" si="1496"/>
        <v>10</v>
      </c>
      <c r="EM207" s="82">
        <f t="shared" si="1497"/>
        <v>199999.8</v>
      </c>
      <c r="EN207" s="82">
        <f t="shared" si="1498"/>
        <v>0</v>
      </c>
      <c r="EO207" s="82">
        <f t="shared" si="1499"/>
        <v>0</v>
      </c>
      <c r="EP207" s="82">
        <f t="shared" si="1500"/>
        <v>10</v>
      </c>
      <c r="EQ207" s="82">
        <f t="shared" si="1501"/>
        <v>199999.8</v>
      </c>
      <c r="ER207" s="82"/>
      <c r="ES207" s="82"/>
      <c r="ET207" s="82">
        <f t="shared" si="1502"/>
        <v>0</v>
      </c>
      <c r="EU207" s="82">
        <f t="shared" si="1503"/>
        <v>0</v>
      </c>
      <c r="EV207" s="82"/>
      <c r="EW207" s="82"/>
      <c r="EX207" s="82"/>
      <c r="EY207" s="82"/>
      <c r="EZ207" s="82">
        <f t="shared" si="1504"/>
        <v>0</v>
      </c>
      <c r="FA207" s="82">
        <f t="shared" si="1505"/>
        <v>0</v>
      </c>
      <c r="FB207" s="82">
        <f t="shared" si="1506"/>
        <v>10</v>
      </c>
      <c r="FC207" s="82">
        <f t="shared" si="1507"/>
        <v>199999.8</v>
      </c>
      <c r="FD207" s="82"/>
      <c r="FE207" s="82"/>
      <c r="FF207" s="82">
        <f t="shared" si="1508"/>
        <v>0</v>
      </c>
      <c r="FG207" s="82">
        <f t="shared" si="1509"/>
        <v>0</v>
      </c>
      <c r="FH207" s="82"/>
      <c r="FI207" s="82"/>
      <c r="FJ207" s="82"/>
      <c r="FK207" s="82"/>
      <c r="FL207" s="82">
        <f t="shared" si="1510"/>
        <v>0</v>
      </c>
      <c r="FM207" s="82">
        <f t="shared" si="1511"/>
        <v>0</v>
      </c>
      <c r="FN207" s="82">
        <f t="shared" si="1512"/>
        <v>10</v>
      </c>
      <c r="FO207" s="82">
        <f t="shared" si="1513"/>
        <v>199999.8</v>
      </c>
      <c r="FP207" s="82"/>
      <c r="FQ207" s="82"/>
      <c r="FR207" s="82">
        <f t="shared" si="1514"/>
        <v>0</v>
      </c>
      <c r="FS207" s="82">
        <f t="shared" si="1515"/>
        <v>0</v>
      </c>
      <c r="FT207" s="82"/>
      <c r="FU207" s="82"/>
      <c r="FV207" s="82"/>
      <c r="FW207" s="82"/>
      <c r="FX207" s="82">
        <f t="shared" si="1516"/>
        <v>0</v>
      </c>
      <c r="FY207" s="82">
        <f t="shared" si="1517"/>
        <v>0</v>
      </c>
      <c r="FZ207" s="82">
        <f t="shared" si="1518"/>
        <v>10</v>
      </c>
      <c r="GA207" s="82">
        <f t="shared" si="1519"/>
        <v>199999.8</v>
      </c>
      <c r="GB207" s="82">
        <f t="shared" si="1520"/>
        <v>0</v>
      </c>
      <c r="GC207" s="82">
        <f t="shared" si="1521"/>
        <v>0</v>
      </c>
      <c r="GD207" s="82">
        <f t="shared" si="1522"/>
        <v>10</v>
      </c>
      <c r="GE207" s="82">
        <f t="shared" si="1523"/>
        <v>199999.8</v>
      </c>
      <c r="GF207" s="85"/>
    </row>
    <row r="208" ht="29.25" customHeight="1">
      <c r="A208" s="76">
        <v>32.0</v>
      </c>
      <c r="B208" s="77"/>
      <c r="C208" s="88" t="s">
        <v>251</v>
      </c>
      <c r="D208" s="78" t="s">
        <v>99</v>
      </c>
      <c r="E208" s="79">
        <v>22200.0</v>
      </c>
      <c r="F208" s="61" t="s">
        <v>110</v>
      </c>
      <c r="G208" s="81">
        <v>5.0</v>
      </c>
      <c r="H208" s="82">
        <v>111000.0</v>
      </c>
      <c r="I208" s="82"/>
      <c r="J208" s="82"/>
      <c r="K208" s="82">
        <f t="shared" si="1435"/>
        <v>0</v>
      </c>
      <c r="L208" s="82">
        <f t="shared" si="1436"/>
        <v>0</v>
      </c>
      <c r="M208" s="82"/>
      <c r="N208" s="82"/>
      <c r="O208" s="82"/>
      <c r="P208" s="82"/>
      <c r="Q208" s="82"/>
      <c r="R208" s="82"/>
      <c r="S208" s="82"/>
      <c r="T208" s="82"/>
      <c r="U208" s="83">
        <v>5.0</v>
      </c>
      <c r="V208" s="82"/>
      <c r="W208" s="82"/>
      <c r="X208" s="82"/>
      <c r="Y208" s="82"/>
      <c r="Z208" s="82"/>
      <c r="AA208" s="82"/>
      <c r="AB208" s="82">
        <f t="shared" si="1437"/>
        <v>5</v>
      </c>
      <c r="AC208" s="82">
        <f t="shared" si="1438"/>
        <v>111000</v>
      </c>
      <c r="AD208" s="82">
        <f t="shared" si="1439"/>
        <v>0</v>
      </c>
      <c r="AE208" s="82">
        <f t="shared" si="1440"/>
        <v>0</v>
      </c>
      <c r="AF208" s="82"/>
      <c r="AG208" s="82"/>
      <c r="AH208" s="82">
        <f t="shared" si="1441"/>
        <v>0</v>
      </c>
      <c r="AI208" s="82">
        <f t="shared" si="1442"/>
        <v>0</v>
      </c>
      <c r="AJ208" s="82"/>
      <c r="AK208" s="82"/>
      <c r="AL208" s="82"/>
      <c r="AM208" s="82"/>
      <c r="AN208" s="82">
        <f t="shared" si="1443"/>
        <v>0</v>
      </c>
      <c r="AO208" s="82">
        <f t="shared" si="1444"/>
        <v>0</v>
      </c>
      <c r="AP208" s="82">
        <f t="shared" si="1445"/>
        <v>0</v>
      </c>
      <c r="AQ208" s="82">
        <f t="shared" si="1446"/>
        <v>0</v>
      </c>
      <c r="AR208" s="82"/>
      <c r="AS208" s="82"/>
      <c r="AT208" s="82"/>
      <c r="AU208" s="82">
        <f t="shared" si="1447"/>
        <v>0</v>
      </c>
      <c r="AV208" s="82">
        <f t="shared" si="1448"/>
        <v>0</v>
      </c>
      <c r="AW208" s="82"/>
      <c r="AX208" s="82"/>
      <c r="AY208" s="82"/>
      <c r="AZ208" s="82"/>
      <c r="BA208" s="82">
        <f t="shared" si="1449"/>
        <v>0</v>
      </c>
      <c r="BB208" s="82">
        <f t="shared" si="1450"/>
        <v>0</v>
      </c>
      <c r="BC208" s="82">
        <f t="shared" si="1451"/>
        <v>0</v>
      </c>
      <c r="BD208" s="82">
        <f t="shared" si="1452"/>
        <v>0</v>
      </c>
      <c r="BE208" s="82">
        <f t="shared" si="1453"/>
        <v>0</v>
      </c>
      <c r="BF208" s="82">
        <f t="shared" si="1454"/>
        <v>5</v>
      </c>
      <c r="BG208" s="82">
        <f t="shared" si="1455"/>
        <v>0</v>
      </c>
      <c r="BH208" s="82">
        <f t="shared" si="1456"/>
        <v>0</v>
      </c>
      <c r="BI208" s="82"/>
      <c r="BJ208" s="83"/>
      <c r="BK208" s="82">
        <f t="shared" si="1457"/>
        <v>0</v>
      </c>
      <c r="BL208" s="82">
        <f t="shared" si="1458"/>
        <v>0</v>
      </c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>
        <f t="shared" si="1459"/>
        <v>0</v>
      </c>
      <c r="BX208" s="82">
        <f t="shared" si="1460"/>
        <v>0</v>
      </c>
      <c r="BY208" s="82">
        <f t="shared" si="1461"/>
        <v>0</v>
      </c>
      <c r="BZ208" s="82">
        <f t="shared" si="1462"/>
        <v>0</v>
      </c>
      <c r="CA208" s="82"/>
      <c r="CB208" s="82"/>
      <c r="CC208" s="82">
        <f t="shared" si="1463"/>
        <v>0</v>
      </c>
      <c r="CD208" s="82">
        <f t="shared" si="1464"/>
        <v>0</v>
      </c>
      <c r="CE208" s="82"/>
      <c r="CF208" s="82"/>
      <c r="CG208" s="82"/>
      <c r="CH208" s="82"/>
      <c r="CI208" s="82">
        <f t="shared" si="1465"/>
        <v>0</v>
      </c>
      <c r="CJ208" s="82">
        <f t="shared" si="1466"/>
        <v>0</v>
      </c>
      <c r="CK208" s="82">
        <f t="shared" si="1467"/>
        <v>0</v>
      </c>
      <c r="CL208" s="82">
        <f t="shared" si="1468"/>
        <v>0</v>
      </c>
      <c r="CM208" s="82"/>
      <c r="CN208" s="82"/>
      <c r="CO208" s="82">
        <f t="shared" si="1469"/>
        <v>0</v>
      </c>
      <c r="CP208" s="82">
        <f t="shared" si="1470"/>
        <v>0</v>
      </c>
      <c r="CQ208" s="82"/>
      <c r="CR208" s="82"/>
      <c r="CS208" s="82"/>
      <c r="CT208" s="82"/>
      <c r="CU208" s="82">
        <f t="shared" si="1471"/>
        <v>0</v>
      </c>
      <c r="CV208" s="82">
        <f t="shared" si="1472"/>
        <v>0</v>
      </c>
      <c r="CW208" s="82">
        <f t="shared" si="1473"/>
        <v>0</v>
      </c>
      <c r="CX208" s="82">
        <f t="shared" si="1474"/>
        <v>0</v>
      </c>
      <c r="CY208" s="82">
        <f t="shared" si="1475"/>
        <v>0</v>
      </c>
      <c r="CZ208" s="82">
        <f t="shared" si="1476"/>
        <v>0</v>
      </c>
      <c r="DA208" s="82">
        <f t="shared" si="1477"/>
        <v>0</v>
      </c>
      <c r="DB208" s="82">
        <f t="shared" si="1478"/>
        <v>0</v>
      </c>
      <c r="DC208" s="91"/>
      <c r="DD208" s="82"/>
      <c r="DE208" s="82"/>
      <c r="DF208" s="82">
        <f t="shared" si="1479"/>
        <v>0</v>
      </c>
      <c r="DG208" s="82">
        <f t="shared" si="1480"/>
        <v>0</v>
      </c>
      <c r="DH208" s="82"/>
      <c r="DI208" s="82">
        <f t="shared" si="1481"/>
        <v>0</v>
      </c>
      <c r="DJ208" s="82">
        <f t="shared" si="1392"/>
        <v>0</v>
      </c>
      <c r="DK208" s="82"/>
      <c r="DL208" s="82">
        <f t="shared" si="1482"/>
        <v>0</v>
      </c>
      <c r="DM208" s="82">
        <f t="shared" si="1483"/>
        <v>0</v>
      </c>
      <c r="DN208" s="82">
        <f t="shared" si="1484"/>
        <v>0</v>
      </c>
      <c r="DO208" s="82">
        <f t="shared" si="1485"/>
        <v>0</v>
      </c>
      <c r="DP208" s="82"/>
      <c r="DQ208" s="82"/>
      <c r="DR208" s="82">
        <f t="shared" si="1486"/>
        <v>0</v>
      </c>
      <c r="DS208" s="82">
        <f t="shared" si="1487"/>
        <v>0</v>
      </c>
      <c r="DT208" s="82"/>
      <c r="DU208" s="82"/>
      <c r="DV208" s="82"/>
      <c r="DW208" s="82"/>
      <c r="DX208" s="82">
        <f t="shared" si="1488"/>
        <v>0</v>
      </c>
      <c r="DY208" s="82">
        <f t="shared" si="1489"/>
        <v>0</v>
      </c>
      <c r="DZ208" s="82">
        <f t="shared" si="1490"/>
        <v>0</v>
      </c>
      <c r="EA208" s="82">
        <f t="shared" si="1491"/>
        <v>0</v>
      </c>
      <c r="EB208" s="82"/>
      <c r="EC208" s="82"/>
      <c r="ED208" s="82">
        <f t="shared" si="1492"/>
        <v>0</v>
      </c>
      <c r="EE208" s="82">
        <f t="shared" si="1493"/>
        <v>0</v>
      </c>
      <c r="EF208" s="82"/>
      <c r="EG208" s="82"/>
      <c r="EH208" s="82"/>
      <c r="EI208" s="82"/>
      <c r="EJ208" s="82">
        <f t="shared" si="1494"/>
        <v>0</v>
      </c>
      <c r="EK208" s="82">
        <f t="shared" si="1495"/>
        <v>0</v>
      </c>
      <c r="EL208" s="82">
        <f t="shared" si="1496"/>
        <v>0</v>
      </c>
      <c r="EM208" s="82">
        <f t="shared" si="1497"/>
        <v>0</v>
      </c>
      <c r="EN208" s="82">
        <f t="shared" si="1498"/>
        <v>0</v>
      </c>
      <c r="EO208" s="82">
        <f t="shared" si="1499"/>
        <v>0</v>
      </c>
      <c r="EP208" s="82">
        <f t="shared" si="1500"/>
        <v>0</v>
      </c>
      <c r="EQ208" s="82">
        <f t="shared" si="1501"/>
        <v>0</v>
      </c>
      <c r="ER208" s="82"/>
      <c r="ES208" s="82"/>
      <c r="ET208" s="82">
        <f t="shared" si="1502"/>
        <v>0</v>
      </c>
      <c r="EU208" s="82">
        <f t="shared" si="1503"/>
        <v>0</v>
      </c>
      <c r="EV208" s="82"/>
      <c r="EW208" s="82"/>
      <c r="EX208" s="82"/>
      <c r="EY208" s="82"/>
      <c r="EZ208" s="82">
        <f t="shared" si="1504"/>
        <v>0</v>
      </c>
      <c r="FA208" s="82">
        <f t="shared" si="1505"/>
        <v>0</v>
      </c>
      <c r="FB208" s="82">
        <f t="shared" si="1506"/>
        <v>0</v>
      </c>
      <c r="FC208" s="82">
        <f t="shared" si="1507"/>
        <v>0</v>
      </c>
      <c r="FD208" s="82"/>
      <c r="FE208" s="82"/>
      <c r="FF208" s="82">
        <f t="shared" si="1508"/>
        <v>0</v>
      </c>
      <c r="FG208" s="82">
        <f t="shared" si="1509"/>
        <v>0</v>
      </c>
      <c r="FH208" s="82"/>
      <c r="FI208" s="82"/>
      <c r="FJ208" s="82"/>
      <c r="FK208" s="82"/>
      <c r="FL208" s="82">
        <f t="shared" si="1510"/>
        <v>0</v>
      </c>
      <c r="FM208" s="82">
        <f t="shared" si="1511"/>
        <v>0</v>
      </c>
      <c r="FN208" s="82">
        <f t="shared" si="1512"/>
        <v>0</v>
      </c>
      <c r="FO208" s="82">
        <f t="shared" si="1513"/>
        <v>0</v>
      </c>
      <c r="FP208" s="82"/>
      <c r="FQ208" s="82"/>
      <c r="FR208" s="82">
        <f t="shared" si="1514"/>
        <v>0</v>
      </c>
      <c r="FS208" s="82">
        <f t="shared" si="1515"/>
        <v>0</v>
      </c>
      <c r="FT208" s="82"/>
      <c r="FU208" s="82"/>
      <c r="FV208" s="82"/>
      <c r="FW208" s="82"/>
      <c r="FX208" s="82">
        <f t="shared" si="1516"/>
        <v>0</v>
      </c>
      <c r="FY208" s="82">
        <f t="shared" si="1517"/>
        <v>0</v>
      </c>
      <c r="FZ208" s="82">
        <f t="shared" si="1518"/>
        <v>0</v>
      </c>
      <c r="GA208" s="82">
        <f t="shared" si="1519"/>
        <v>0</v>
      </c>
      <c r="GB208" s="82">
        <f t="shared" si="1520"/>
        <v>0</v>
      </c>
      <c r="GC208" s="82">
        <f t="shared" si="1521"/>
        <v>0</v>
      </c>
      <c r="GD208" s="82">
        <f t="shared" si="1522"/>
        <v>0</v>
      </c>
      <c r="GE208" s="82">
        <f t="shared" si="1523"/>
        <v>0</v>
      </c>
      <c r="GF208" s="85"/>
    </row>
    <row r="209" ht="29.25" customHeight="1">
      <c r="A209" s="16"/>
      <c r="B209" s="16"/>
      <c r="C209" s="16"/>
      <c r="D209" s="78" t="s">
        <v>99</v>
      </c>
      <c r="E209" s="79">
        <v>20000.0</v>
      </c>
      <c r="F209" s="61" t="s">
        <v>110</v>
      </c>
      <c r="G209" s="81">
        <v>20.0</v>
      </c>
      <c r="H209" s="82">
        <v>400000.0</v>
      </c>
      <c r="I209" s="82"/>
      <c r="J209" s="82"/>
      <c r="K209" s="82">
        <f t="shared" si="1435"/>
        <v>0</v>
      </c>
      <c r="L209" s="82">
        <f t="shared" si="1436"/>
        <v>0</v>
      </c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>
        <f t="shared" si="1437"/>
        <v>0</v>
      </c>
      <c r="AC209" s="82">
        <f t="shared" si="1438"/>
        <v>0</v>
      </c>
      <c r="AD209" s="82">
        <f t="shared" si="1439"/>
        <v>20</v>
      </c>
      <c r="AE209" s="82">
        <f t="shared" si="1440"/>
        <v>400000</v>
      </c>
      <c r="AF209" s="82"/>
      <c r="AG209" s="82"/>
      <c r="AH209" s="82">
        <f t="shared" si="1441"/>
        <v>0</v>
      </c>
      <c r="AI209" s="82">
        <f t="shared" si="1442"/>
        <v>0</v>
      </c>
      <c r="AJ209" s="82"/>
      <c r="AK209" s="82"/>
      <c r="AL209" s="82"/>
      <c r="AM209" s="82"/>
      <c r="AN209" s="82">
        <f t="shared" si="1443"/>
        <v>0</v>
      </c>
      <c r="AO209" s="82">
        <f t="shared" si="1444"/>
        <v>0</v>
      </c>
      <c r="AP209" s="82">
        <f t="shared" si="1445"/>
        <v>20</v>
      </c>
      <c r="AQ209" s="82">
        <f t="shared" si="1446"/>
        <v>400000</v>
      </c>
      <c r="AR209" s="82"/>
      <c r="AS209" s="82"/>
      <c r="AT209" s="82"/>
      <c r="AU209" s="82">
        <f t="shared" si="1447"/>
        <v>0</v>
      </c>
      <c r="AV209" s="82">
        <f t="shared" si="1448"/>
        <v>0</v>
      </c>
      <c r="AW209" s="82"/>
      <c r="AX209" s="82"/>
      <c r="AY209" s="82"/>
      <c r="AZ209" s="82"/>
      <c r="BA209" s="82">
        <f t="shared" si="1449"/>
        <v>0</v>
      </c>
      <c r="BB209" s="82">
        <f t="shared" si="1450"/>
        <v>0</v>
      </c>
      <c r="BC209" s="82">
        <f t="shared" si="1451"/>
        <v>20</v>
      </c>
      <c r="BD209" s="82">
        <f t="shared" si="1452"/>
        <v>400000</v>
      </c>
      <c r="BE209" s="82">
        <f t="shared" si="1453"/>
        <v>0</v>
      </c>
      <c r="BF209" s="82">
        <f t="shared" si="1454"/>
        <v>0</v>
      </c>
      <c r="BG209" s="82">
        <f t="shared" si="1455"/>
        <v>20</v>
      </c>
      <c r="BH209" s="82">
        <f t="shared" si="1456"/>
        <v>400000</v>
      </c>
      <c r="BI209" s="82"/>
      <c r="BJ209" s="83"/>
      <c r="BK209" s="82">
        <f t="shared" si="1457"/>
        <v>0</v>
      </c>
      <c r="BL209" s="82">
        <f t="shared" si="1458"/>
        <v>0</v>
      </c>
      <c r="BM209" s="82"/>
      <c r="BN209" s="82"/>
      <c r="BO209" s="82"/>
      <c r="BP209" s="82"/>
      <c r="BQ209" s="82"/>
      <c r="BR209" s="82"/>
      <c r="BS209" s="82"/>
      <c r="BT209" s="83">
        <v>20.0</v>
      </c>
      <c r="BU209" s="83"/>
      <c r="BV209" s="82"/>
      <c r="BW209" s="82">
        <f t="shared" si="1459"/>
        <v>20</v>
      </c>
      <c r="BX209" s="82">
        <f t="shared" si="1460"/>
        <v>400000</v>
      </c>
      <c r="BY209" s="82">
        <f t="shared" si="1461"/>
        <v>0</v>
      </c>
      <c r="BZ209" s="82">
        <f t="shared" si="1462"/>
        <v>0</v>
      </c>
      <c r="CA209" s="82"/>
      <c r="CB209" s="82"/>
      <c r="CC209" s="82">
        <f t="shared" si="1463"/>
        <v>0</v>
      </c>
      <c r="CD209" s="82">
        <f t="shared" si="1464"/>
        <v>0</v>
      </c>
      <c r="CE209" s="82"/>
      <c r="CF209" s="82"/>
      <c r="CG209" s="82"/>
      <c r="CH209" s="82"/>
      <c r="CI209" s="82">
        <f t="shared" si="1465"/>
        <v>0</v>
      </c>
      <c r="CJ209" s="82">
        <f t="shared" si="1466"/>
        <v>0</v>
      </c>
      <c r="CK209" s="82">
        <f t="shared" si="1467"/>
        <v>0</v>
      </c>
      <c r="CL209" s="82">
        <f t="shared" si="1468"/>
        <v>0</v>
      </c>
      <c r="CM209" s="82"/>
      <c r="CN209" s="82"/>
      <c r="CO209" s="82">
        <f t="shared" si="1469"/>
        <v>0</v>
      </c>
      <c r="CP209" s="82">
        <f t="shared" si="1470"/>
        <v>0</v>
      </c>
      <c r="CQ209" s="82"/>
      <c r="CR209" s="82"/>
      <c r="CS209" s="82"/>
      <c r="CT209" s="82"/>
      <c r="CU209" s="82">
        <f t="shared" si="1471"/>
        <v>0</v>
      </c>
      <c r="CV209" s="82">
        <f t="shared" si="1472"/>
        <v>0</v>
      </c>
      <c r="CW209" s="82">
        <f t="shared" si="1473"/>
        <v>0</v>
      </c>
      <c r="CX209" s="82">
        <f t="shared" si="1474"/>
        <v>0</v>
      </c>
      <c r="CY209" s="82">
        <f t="shared" si="1475"/>
        <v>0</v>
      </c>
      <c r="CZ209" s="82">
        <f t="shared" si="1476"/>
        <v>20</v>
      </c>
      <c r="DA209" s="82">
        <f t="shared" si="1477"/>
        <v>0</v>
      </c>
      <c r="DB209" s="82">
        <f t="shared" si="1478"/>
        <v>0</v>
      </c>
      <c r="DC209" s="91"/>
      <c r="DD209" s="82"/>
      <c r="DE209" s="82"/>
      <c r="DF209" s="82">
        <f t="shared" si="1479"/>
        <v>0</v>
      </c>
      <c r="DG209" s="82">
        <f t="shared" si="1480"/>
        <v>0</v>
      </c>
      <c r="DH209" s="82"/>
      <c r="DI209" s="82">
        <f t="shared" si="1481"/>
        <v>0</v>
      </c>
      <c r="DJ209" s="82">
        <f t="shared" si="1392"/>
        <v>0</v>
      </c>
      <c r="DK209" s="82"/>
      <c r="DL209" s="82">
        <f t="shared" si="1482"/>
        <v>0</v>
      </c>
      <c r="DM209" s="82">
        <f t="shared" si="1483"/>
        <v>0</v>
      </c>
      <c r="DN209" s="82">
        <f t="shared" si="1484"/>
        <v>0</v>
      </c>
      <c r="DO209" s="82">
        <f t="shared" si="1485"/>
        <v>0</v>
      </c>
      <c r="DP209" s="82"/>
      <c r="DQ209" s="82"/>
      <c r="DR209" s="82">
        <f t="shared" si="1486"/>
        <v>0</v>
      </c>
      <c r="DS209" s="82">
        <f t="shared" si="1487"/>
        <v>0</v>
      </c>
      <c r="DT209" s="82"/>
      <c r="DU209" s="82"/>
      <c r="DV209" s="82"/>
      <c r="DW209" s="82"/>
      <c r="DX209" s="82">
        <f t="shared" si="1488"/>
        <v>0</v>
      </c>
      <c r="DY209" s="82">
        <f t="shared" si="1489"/>
        <v>0</v>
      </c>
      <c r="DZ209" s="82">
        <f t="shared" si="1490"/>
        <v>0</v>
      </c>
      <c r="EA209" s="82">
        <f t="shared" si="1491"/>
        <v>0</v>
      </c>
      <c r="EB209" s="82"/>
      <c r="EC209" s="82"/>
      <c r="ED209" s="82">
        <f t="shared" si="1492"/>
        <v>0</v>
      </c>
      <c r="EE209" s="82">
        <f t="shared" si="1493"/>
        <v>0</v>
      </c>
      <c r="EF209" s="82"/>
      <c r="EG209" s="82"/>
      <c r="EH209" s="82"/>
      <c r="EI209" s="82"/>
      <c r="EJ209" s="82">
        <f t="shared" si="1494"/>
        <v>0</v>
      </c>
      <c r="EK209" s="82">
        <f t="shared" si="1495"/>
        <v>0</v>
      </c>
      <c r="EL209" s="82">
        <f t="shared" si="1496"/>
        <v>0</v>
      </c>
      <c r="EM209" s="82">
        <f t="shared" si="1497"/>
        <v>0</v>
      </c>
      <c r="EN209" s="82">
        <f t="shared" si="1498"/>
        <v>0</v>
      </c>
      <c r="EO209" s="82">
        <f t="shared" si="1499"/>
        <v>0</v>
      </c>
      <c r="EP209" s="82">
        <f t="shared" si="1500"/>
        <v>0</v>
      </c>
      <c r="EQ209" s="82">
        <f t="shared" si="1501"/>
        <v>0</v>
      </c>
      <c r="ER209" s="82"/>
      <c r="ES209" s="82"/>
      <c r="ET209" s="82">
        <f t="shared" si="1502"/>
        <v>0</v>
      </c>
      <c r="EU209" s="82">
        <f t="shared" si="1503"/>
        <v>0</v>
      </c>
      <c r="EV209" s="82"/>
      <c r="EW209" s="82"/>
      <c r="EX209" s="82"/>
      <c r="EY209" s="82"/>
      <c r="EZ209" s="82">
        <f t="shared" si="1504"/>
        <v>0</v>
      </c>
      <c r="FA209" s="82">
        <f t="shared" si="1505"/>
        <v>0</v>
      </c>
      <c r="FB209" s="82">
        <f t="shared" si="1506"/>
        <v>0</v>
      </c>
      <c r="FC209" s="82">
        <f t="shared" si="1507"/>
        <v>0</v>
      </c>
      <c r="FD209" s="82"/>
      <c r="FE209" s="82"/>
      <c r="FF209" s="82">
        <f t="shared" si="1508"/>
        <v>0</v>
      </c>
      <c r="FG209" s="82">
        <f t="shared" si="1509"/>
        <v>0</v>
      </c>
      <c r="FH209" s="82"/>
      <c r="FI209" s="82"/>
      <c r="FJ209" s="82"/>
      <c r="FK209" s="82"/>
      <c r="FL209" s="82">
        <f t="shared" si="1510"/>
        <v>0</v>
      </c>
      <c r="FM209" s="82">
        <f t="shared" si="1511"/>
        <v>0</v>
      </c>
      <c r="FN209" s="82">
        <f t="shared" si="1512"/>
        <v>0</v>
      </c>
      <c r="FO209" s="82">
        <f t="shared" si="1513"/>
        <v>0</v>
      </c>
      <c r="FP209" s="82"/>
      <c r="FQ209" s="82"/>
      <c r="FR209" s="82">
        <f t="shared" si="1514"/>
        <v>0</v>
      </c>
      <c r="FS209" s="82">
        <f t="shared" si="1515"/>
        <v>0</v>
      </c>
      <c r="FT209" s="82"/>
      <c r="FU209" s="82"/>
      <c r="FV209" s="82"/>
      <c r="FW209" s="82"/>
      <c r="FX209" s="82">
        <f t="shared" si="1516"/>
        <v>0</v>
      </c>
      <c r="FY209" s="82">
        <f t="shared" si="1517"/>
        <v>0</v>
      </c>
      <c r="FZ209" s="82">
        <f t="shared" si="1518"/>
        <v>0</v>
      </c>
      <c r="GA209" s="82">
        <f t="shared" si="1519"/>
        <v>0</v>
      </c>
      <c r="GB209" s="82">
        <f t="shared" si="1520"/>
        <v>0</v>
      </c>
      <c r="GC209" s="82">
        <f t="shared" si="1521"/>
        <v>0</v>
      </c>
      <c r="GD209" s="82">
        <f t="shared" si="1522"/>
        <v>0</v>
      </c>
      <c r="GE209" s="82">
        <f t="shared" si="1523"/>
        <v>0</v>
      </c>
      <c r="GF209" s="85"/>
    </row>
    <row r="210" ht="29.25" customHeight="1">
      <c r="A210" s="50"/>
      <c r="B210" s="50"/>
      <c r="C210" s="50"/>
      <c r="D210" s="78" t="s">
        <v>99</v>
      </c>
      <c r="E210" s="86">
        <v>19999.98</v>
      </c>
      <c r="F210" s="80" t="s">
        <v>168</v>
      </c>
      <c r="G210" s="81">
        <v>50.0</v>
      </c>
      <c r="H210" s="82">
        <v>999999.0</v>
      </c>
      <c r="I210" s="82"/>
      <c r="J210" s="82"/>
      <c r="K210" s="82">
        <f t="shared" si="1435"/>
        <v>0</v>
      </c>
      <c r="L210" s="82">
        <f t="shared" si="1436"/>
        <v>0</v>
      </c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>
        <f t="shared" si="1437"/>
        <v>0</v>
      </c>
      <c r="AC210" s="82">
        <f t="shared" si="1438"/>
        <v>0</v>
      </c>
      <c r="AD210" s="82">
        <f t="shared" si="1439"/>
        <v>50</v>
      </c>
      <c r="AE210" s="82">
        <f t="shared" si="1440"/>
        <v>999999</v>
      </c>
      <c r="AF210" s="82"/>
      <c r="AG210" s="82"/>
      <c r="AH210" s="82">
        <f t="shared" si="1441"/>
        <v>0</v>
      </c>
      <c r="AI210" s="82">
        <f t="shared" si="1442"/>
        <v>0</v>
      </c>
      <c r="AJ210" s="82"/>
      <c r="AK210" s="82"/>
      <c r="AL210" s="82"/>
      <c r="AM210" s="82"/>
      <c r="AN210" s="82">
        <f t="shared" si="1443"/>
        <v>0</v>
      </c>
      <c r="AO210" s="82">
        <f t="shared" si="1444"/>
        <v>0</v>
      </c>
      <c r="AP210" s="82">
        <f t="shared" si="1445"/>
        <v>50</v>
      </c>
      <c r="AQ210" s="82">
        <f t="shared" si="1446"/>
        <v>999999</v>
      </c>
      <c r="AR210" s="82"/>
      <c r="AS210" s="82"/>
      <c r="AT210" s="82"/>
      <c r="AU210" s="82">
        <f t="shared" si="1447"/>
        <v>0</v>
      </c>
      <c r="AV210" s="82">
        <f t="shared" si="1448"/>
        <v>0</v>
      </c>
      <c r="AW210" s="82"/>
      <c r="AX210" s="82"/>
      <c r="AY210" s="82"/>
      <c r="AZ210" s="82"/>
      <c r="BA210" s="82">
        <f t="shared" si="1449"/>
        <v>0</v>
      </c>
      <c r="BB210" s="82">
        <f t="shared" si="1450"/>
        <v>0</v>
      </c>
      <c r="BC210" s="82">
        <f t="shared" si="1451"/>
        <v>50</v>
      </c>
      <c r="BD210" s="82">
        <f t="shared" si="1452"/>
        <v>999999</v>
      </c>
      <c r="BE210" s="82">
        <f t="shared" si="1453"/>
        <v>0</v>
      </c>
      <c r="BF210" s="82">
        <f t="shared" si="1454"/>
        <v>0</v>
      </c>
      <c r="BG210" s="82">
        <f t="shared" si="1455"/>
        <v>50</v>
      </c>
      <c r="BH210" s="82">
        <f t="shared" si="1456"/>
        <v>999999</v>
      </c>
      <c r="BI210" s="82"/>
      <c r="BJ210" s="83"/>
      <c r="BK210" s="82">
        <f t="shared" si="1457"/>
        <v>0</v>
      </c>
      <c r="BL210" s="82">
        <f t="shared" si="1458"/>
        <v>0</v>
      </c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>
        <f t="shared" si="1459"/>
        <v>0</v>
      </c>
      <c r="BX210" s="82">
        <f t="shared" si="1460"/>
        <v>0</v>
      </c>
      <c r="BY210" s="82">
        <f t="shared" si="1461"/>
        <v>50</v>
      </c>
      <c r="BZ210" s="82">
        <f t="shared" si="1462"/>
        <v>999999</v>
      </c>
      <c r="CA210" s="82"/>
      <c r="CB210" s="82"/>
      <c r="CC210" s="82">
        <f t="shared" si="1463"/>
        <v>0</v>
      </c>
      <c r="CD210" s="82">
        <f t="shared" si="1464"/>
        <v>0</v>
      </c>
      <c r="CE210" s="82"/>
      <c r="CF210" s="82"/>
      <c r="CG210" s="82"/>
      <c r="CH210" s="82"/>
      <c r="CI210" s="82">
        <f t="shared" si="1465"/>
        <v>0</v>
      </c>
      <c r="CJ210" s="82">
        <f t="shared" si="1466"/>
        <v>0</v>
      </c>
      <c r="CK210" s="82">
        <f t="shared" si="1467"/>
        <v>50</v>
      </c>
      <c r="CL210" s="82">
        <f t="shared" si="1468"/>
        <v>999999</v>
      </c>
      <c r="CM210" s="82"/>
      <c r="CN210" s="82"/>
      <c r="CO210" s="82">
        <f t="shared" si="1469"/>
        <v>0</v>
      </c>
      <c r="CP210" s="82">
        <f t="shared" si="1470"/>
        <v>0</v>
      </c>
      <c r="CQ210" s="82"/>
      <c r="CR210" s="82"/>
      <c r="CS210" s="82"/>
      <c r="CT210" s="82"/>
      <c r="CU210" s="82">
        <f t="shared" si="1471"/>
        <v>0</v>
      </c>
      <c r="CV210" s="82">
        <f t="shared" si="1472"/>
        <v>0</v>
      </c>
      <c r="CW210" s="82">
        <f t="shared" si="1473"/>
        <v>50</v>
      </c>
      <c r="CX210" s="82">
        <f t="shared" si="1474"/>
        <v>999999</v>
      </c>
      <c r="CY210" s="82">
        <f t="shared" si="1475"/>
        <v>0</v>
      </c>
      <c r="CZ210" s="82">
        <f t="shared" si="1476"/>
        <v>0</v>
      </c>
      <c r="DA210" s="82">
        <f t="shared" si="1477"/>
        <v>50</v>
      </c>
      <c r="DB210" s="82">
        <f t="shared" si="1478"/>
        <v>999999</v>
      </c>
      <c r="DC210" s="91"/>
      <c r="DD210" s="82"/>
      <c r="DE210" s="82"/>
      <c r="DF210" s="82">
        <f t="shared" si="1479"/>
        <v>0</v>
      </c>
      <c r="DG210" s="82">
        <f t="shared" si="1480"/>
        <v>0</v>
      </c>
      <c r="DH210" s="82"/>
      <c r="DI210" s="82">
        <f t="shared" si="1481"/>
        <v>0</v>
      </c>
      <c r="DJ210" s="82">
        <f t="shared" si="1392"/>
        <v>0</v>
      </c>
      <c r="DK210" s="82"/>
      <c r="DL210" s="82">
        <f t="shared" si="1482"/>
        <v>0</v>
      </c>
      <c r="DM210" s="82">
        <f t="shared" si="1483"/>
        <v>0</v>
      </c>
      <c r="DN210" s="82">
        <f t="shared" si="1484"/>
        <v>50</v>
      </c>
      <c r="DO210" s="82">
        <f t="shared" si="1485"/>
        <v>999999</v>
      </c>
      <c r="DP210" s="82"/>
      <c r="DQ210" s="82"/>
      <c r="DR210" s="82">
        <f t="shared" si="1486"/>
        <v>0</v>
      </c>
      <c r="DS210" s="82">
        <f t="shared" si="1487"/>
        <v>0</v>
      </c>
      <c r="DT210" s="82"/>
      <c r="DU210" s="82"/>
      <c r="DV210" s="82"/>
      <c r="DW210" s="82"/>
      <c r="DX210" s="82">
        <f t="shared" si="1488"/>
        <v>0</v>
      </c>
      <c r="DY210" s="82">
        <f t="shared" si="1489"/>
        <v>0</v>
      </c>
      <c r="DZ210" s="82">
        <f t="shared" si="1490"/>
        <v>50</v>
      </c>
      <c r="EA210" s="82">
        <f t="shared" si="1491"/>
        <v>999999</v>
      </c>
      <c r="EB210" s="82"/>
      <c r="EC210" s="82"/>
      <c r="ED210" s="82">
        <f t="shared" si="1492"/>
        <v>0</v>
      </c>
      <c r="EE210" s="82">
        <f t="shared" si="1493"/>
        <v>0</v>
      </c>
      <c r="EF210" s="82"/>
      <c r="EG210" s="82"/>
      <c r="EH210" s="82"/>
      <c r="EI210" s="82"/>
      <c r="EJ210" s="82">
        <f t="shared" si="1494"/>
        <v>0</v>
      </c>
      <c r="EK210" s="82">
        <f t="shared" si="1495"/>
        <v>0</v>
      </c>
      <c r="EL210" s="82">
        <f t="shared" si="1496"/>
        <v>50</v>
      </c>
      <c r="EM210" s="82">
        <f t="shared" si="1497"/>
        <v>999999</v>
      </c>
      <c r="EN210" s="82">
        <f t="shared" si="1498"/>
        <v>0</v>
      </c>
      <c r="EO210" s="82">
        <f t="shared" si="1499"/>
        <v>0</v>
      </c>
      <c r="EP210" s="82">
        <f t="shared" si="1500"/>
        <v>50</v>
      </c>
      <c r="EQ210" s="82">
        <f t="shared" si="1501"/>
        <v>999999</v>
      </c>
      <c r="ER210" s="82"/>
      <c r="ES210" s="82"/>
      <c r="ET210" s="82">
        <f t="shared" si="1502"/>
        <v>0</v>
      </c>
      <c r="EU210" s="82">
        <f t="shared" si="1503"/>
        <v>0</v>
      </c>
      <c r="EV210" s="82"/>
      <c r="EW210" s="82"/>
      <c r="EX210" s="82"/>
      <c r="EY210" s="82"/>
      <c r="EZ210" s="82">
        <f t="shared" si="1504"/>
        <v>0</v>
      </c>
      <c r="FA210" s="82">
        <f t="shared" si="1505"/>
        <v>0</v>
      </c>
      <c r="FB210" s="82">
        <f t="shared" si="1506"/>
        <v>50</v>
      </c>
      <c r="FC210" s="82">
        <f t="shared" si="1507"/>
        <v>999999</v>
      </c>
      <c r="FD210" s="82"/>
      <c r="FE210" s="82"/>
      <c r="FF210" s="82">
        <f t="shared" si="1508"/>
        <v>0</v>
      </c>
      <c r="FG210" s="82">
        <f t="shared" si="1509"/>
        <v>0</v>
      </c>
      <c r="FH210" s="82"/>
      <c r="FI210" s="82"/>
      <c r="FJ210" s="82"/>
      <c r="FK210" s="82"/>
      <c r="FL210" s="82">
        <f t="shared" si="1510"/>
        <v>0</v>
      </c>
      <c r="FM210" s="82">
        <f t="shared" si="1511"/>
        <v>0</v>
      </c>
      <c r="FN210" s="82">
        <f t="shared" si="1512"/>
        <v>50</v>
      </c>
      <c r="FO210" s="82">
        <f t="shared" si="1513"/>
        <v>999999</v>
      </c>
      <c r="FP210" s="82"/>
      <c r="FQ210" s="82"/>
      <c r="FR210" s="82">
        <f t="shared" si="1514"/>
        <v>0</v>
      </c>
      <c r="FS210" s="82">
        <f t="shared" si="1515"/>
        <v>0</v>
      </c>
      <c r="FT210" s="82"/>
      <c r="FU210" s="82"/>
      <c r="FV210" s="82"/>
      <c r="FW210" s="82"/>
      <c r="FX210" s="82">
        <f t="shared" si="1516"/>
        <v>0</v>
      </c>
      <c r="FY210" s="82">
        <f t="shared" si="1517"/>
        <v>0</v>
      </c>
      <c r="FZ210" s="82">
        <f t="shared" si="1518"/>
        <v>50</v>
      </c>
      <c r="GA210" s="82">
        <f t="shared" si="1519"/>
        <v>999999</v>
      </c>
      <c r="GB210" s="82">
        <f t="shared" si="1520"/>
        <v>0</v>
      </c>
      <c r="GC210" s="82">
        <f t="shared" si="1521"/>
        <v>0</v>
      </c>
      <c r="GD210" s="82">
        <f t="shared" si="1522"/>
        <v>50</v>
      </c>
      <c r="GE210" s="82">
        <f t="shared" si="1523"/>
        <v>999999</v>
      </c>
      <c r="GF210" s="85"/>
    </row>
    <row r="211" ht="29.25" customHeight="1">
      <c r="A211" s="96"/>
      <c r="B211" s="58"/>
      <c r="C211" s="58"/>
      <c r="D211" s="78" t="s">
        <v>99</v>
      </c>
      <c r="E211" s="86">
        <f>20000+(20000*11%)</f>
        <v>22200</v>
      </c>
      <c r="F211" s="80" t="s">
        <v>220</v>
      </c>
      <c r="G211" s="81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3"/>
      <c r="BK211" s="82"/>
      <c r="BL211" s="82"/>
      <c r="BM211" s="82"/>
      <c r="BN211" s="82"/>
      <c r="BO211" s="82"/>
      <c r="BP211" s="82"/>
      <c r="BQ211" s="82"/>
      <c r="BR211" s="82"/>
      <c r="BS211" s="82"/>
      <c r="BT211" s="83"/>
      <c r="BU211" s="83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3">
        <v>0.0</v>
      </c>
      <c r="CN211" s="83">
        <v>0.0</v>
      </c>
      <c r="CO211" s="82"/>
      <c r="CP211" s="82" t="str">
        <f>CM211&amp;CN211</f>
        <v>00</v>
      </c>
      <c r="CQ211" s="82"/>
      <c r="CR211" s="82"/>
      <c r="CS211" s="82"/>
      <c r="CT211" s="82"/>
      <c r="CU211" s="82"/>
      <c r="CV211" s="82"/>
      <c r="CW211" s="82"/>
      <c r="CX211" s="82"/>
      <c r="CY211" s="82"/>
      <c r="CZ211" s="82"/>
      <c r="DA211" s="82"/>
      <c r="DB211" s="82"/>
      <c r="DC211" s="84"/>
      <c r="DD211" s="83">
        <v>50.0</v>
      </c>
      <c r="DE211" s="83">
        <v>0.0</v>
      </c>
      <c r="DF211" s="82"/>
      <c r="DG211" s="82">
        <f>DD211*E211</f>
        <v>1110000</v>
      </c>
      <c r="DH211" s="83">
        <v>0.0</v>
      </c>
      <c r="DI211" s="82"/>
      <c r="DJ211" s="83">
        <v>0.0</v>
      </c>
      <c r="DK211" s="82"/>
      <c r="DL211" s="82"/>
      <c r="DM211" s="82"/>
      <c r="DN211" s="82"/>
      <c r="DO211" s="82"/>
      <c r="DP211" s="82"/>
      <c r="DQ211" s="82"/>
      <c r="DR211" s="82"/>
      <c r="DS211" s="82"/>
      <c r="DT211" s="82"/>
      <c r="DU211" s="82"/>
      <c r="DV211" s="82"/>
      <c r="DW211" s="82"/>
      <c r="DX211" s="82"/>
      <c r="DY211" s="82"/>
      <c r="DZ211" s="82"/>
      <c r="EA211" s="82"/>
      <c r="EB211" s="82"/>
      <c r="EC211" s="82"/>
      <c r="ED211" s="82"/>
      <c r="EE211" s="82"/>
      <c r="EF211" s="82"/>
      <c r="EG211" s="82"/>
      <c r="EH211" s="82"/>
      <c r="EI211" s="82"/>
      <c r="EJ211" s="82"/>
      <c r="EK211" s="82"/>
      <c r="EL211" s="82"/>
      <c r="EM211" s="82"/>
      <c r="EN211" s="82"/>
      <c r="EO211" s="82"/>
      <c r="EP211" s="82"/>
      <c r="EQ211" s="82"/>
      <c r="ER211" s="82"/>
      <c r="ES211" s="82"/>
      <c r="ET211" s="82"/>
      <c r="EU211" s="82"/>
      <c r="EV211" s="82"/>
      <c r="EW211" s="82"/>
      <c r="EX211" s="82"/>
      <c r="EY211" s="82"/>
      <c r="EZ211" s="82"/>
      <c r="FA211" s="82"/>
      <c r="FB211" s="82"/>
      <c r="FC211" s="82"/>
      <c r="FD211" s="82"/>
      <c r="FE211" s="82"/>
      <c r="FF211" s="82"/>
      <c r="FG211" s="82"/>
      <c r="FH211" s="82"/>
      <c r="FI211" s="82"/>
      <c r="FJ211" s="82"/>
      <c r="FK211" s="82"/>
      <c r="FL211" s="82"/>
      <c r="FM211" s="82"/>
      <c r="FN211" s="82"/>
      <c r="FO211" s="82"/>
      <c r="FP211" s="82"/>
      <c r="FQ211" s="82"/>
      <c r="FR211" s="82"/>
      <c r="FS211" s="82"/>
      <c r="FT211" s="82"/>
      <c r="FU211" s="82"/>
      <c r="FV211" s="82"/>
      <c r="FW211" s="82"/>
      <c r="FX211" s="82"/>
      <c r="FY211" s="82"/>
      <c r="FZ211" s="82"/>
      <c r="GA211" s="82"/>
      <c r="GB211" s="82"/>
      <c r="GC211" s="82"/>
      <c r="GD211" s="82"/>
      <c r="GE211" s="82"/>
      <c r="GF211" s="85"/>
    </row>
    <row r="212" ht="29.25" customHeight="1">
      <c r="A212" s="76">
        <v>33.0</v>
      </c>
      <c r="B212" s="77"/>
      <c r="C212" s="77" t="s">
        <v>252</v>
      </c>
      <c r="D212" s="78" t="s">
        <v>99</v>
      </c>
      <c r="E212" s="79">
        <v>8250.0</v>
      </c>
      <c r="F212" s="61"/>
      <c r="G212" s="81">
        <v>118.0</v>
      </c>
      <c r="H212" s="82">
        <v>973500.0</v>
      </c>
      <c r="I212" s="82"/>
      <c r="J212" s="82"/>
      <c r="K212" s="82">
        <f t="shared" ref="K212:K223" si="1524">SUM(I212:J212)</f>
        <v>0</v>
      </c>
      <c r="L212" s="82">
        <f t="shared" ref="L212:L223" si="1525">K212*E212</f>
        <v>0</v>
      </c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>
        <f t="shared" ref="AB212:AB225" si="1526">SUM(M212:AA212)</f>
        <v>0</v>
      </c>
      <c r="AC212" s="82">
        <f t="shared" ref="AC212:AC223" si="1527">AB212*E212</f>
        <v>0</v>
      </c>
      <c r="AD212" s="82">
        <f t="shared" ref="AD212:AD223" si="1528">G212+K212-AB212</f>
        <v>118</v>
      </c>
      <c r="AE212" s="82">
        <f t="shared" ref="AE212:AE223" si="1529">AD212*E212</f>
        <v>973500</v>
      </c>
      <c r="AF212" s="82"/>
      <c r="AG212" s="82"/>
      <c r="AH212" s="82">
        <f t="shared" ref="AH212:AH223" si="1530">SUM(AF212:AG212)</f>
        <v>0</v>
      </c>
      <c r="AI212" s="82">
        <f t="shared" ref="AI212:AI223" si="1531">AH212*E212</f>
        <v>0</v>
      </c>
      <c r="AJ212" s="82"/>
      <c r="AK212" s="82"/>
      <c r="AL212" s="82"/>
      <c r="AM212" s="82"/>
      <c r="AN212" s="82">
        <f t="shared" ref="AN212:AN223" si="1532">SUM(AJ212:AM212)</f>
        <v>0</v>
      </c>
      <c r="AO212" s="82">
        <f t="shared" ref="AO212:AO223" si="1533">AN212*E212</f>
        <v>0</v>
      </c>
      <c r="AP212" s="82">
        <f t="shared" ref="AP212:AP223" si="1534">AD212+AH212-AN212</f>
        <v>118</v>
      </c>
      <c r="AQ212" s="82">
        <f t="shared" ref="AQ212:AQ223" si="1535">AP212*E212</f>
        <v>973500</v>
      </c>
      <c r="AR212" s="82"/>
      <c r="AS212" s="82"/>
      <c r="AT212" s="82"/>
      <c r="AU212" s="82">
        <f t="shared" ref="AU212:AU223" si="1536">SUM(AS212:AT212)</f>
        <v>0</v>
      </c>
      <c r="AV212" s="82">
        <f t="shared" ref="AV212:AV223" si="1537">AU212*AB212</f>
        <v>0</v>
      </c>
      <c r="AW212" s="82"/>
      <c r="AX212" s="82"/>
      <c r="AY212" s="82"/>
      <c r="AZ212" s="82"/>
      <c r="BA212" s="82">
        <f t="shared" ref="BA212:BA223" si="1538">SUM(AW212:AZ212)</f>
        <v>0</v>
      </c>
      <c r="BB212" s="82">
        <f t="shared" ref="BB212:BB223" si="1539">BA212*AB212</f>
        <v>0</v>
      </c>
      <c r="BC212" s="82">
        <f t="shared" ref="BC212:BC223" si="1540">AP212+AU212-BA212</f>
        <v>118</v>
      </c>
      <c r="BD212" s="82">
        <f t="shared" ref="BD212:BD223" si="1541">BC212*E212</f>
        <v>973500</v>
      </c>
      <c r="BE212" s="82">
        <f t="shared" ref="BE212:BE223" si="1542">K212+AH212+AU212</f>
        <v>0</v>
      </c>
      <c r="BF212" s="82">
        <f t="shared" ref="BF212:BF223" si="1543">AB212+AN212+BA212</f>
        <v>0</v>
      </c>
      <c r="BG212" s="82">
        <f t="shared" ref="BG212:BG223" si="1544">G212+BE212-BF212</f>
        <v>118</v>
      </c>
      <c r="BH212" s="82">
        <f t="shared" ref="BH212:BH223" si="1545">BG212*E212</f>
        <v>973500</v>
      </c>
      <c r="BI212" s="82"/>
      <c r="BJ212" s="83"/>
      <c r="BK212" s="82">
        <f t="shared" ref="BK212:BK223" si="1546">SUM(BI212:BJ212)</f>
        <v>0</v>
      </c>
      <c r="BL212" s="82">
        <f t="shared" ref="BL212:BL223" si="1547">BK212*E212</f>
        <v>0</v>
      </c>
      <c r="BM212" s="82"/>
      <c r="BN212" s="82"/>
      <c r="BO212" s="82"/>
      <c r="BP212" s="82"/>
      <c r="BQ212" s="82"/>
      <c r="BR212" s="82"/>
      <c r="BS212" s="82"/>
      <c r="BT212" s="83">
        <v>50.0</v>
      </c>
      <c r="BU212" s="83"/>
      <c r="BV212" s="82"/>
      <c r="BW212" s="82">
        <f t="shared" ref="BW212:BW224" si="1548">SUM(BM212:BV212)</f>
        <v>50</v>
      </c>
      <c r="BX212" s="82">
        <f t="shared" ref="BX212:BX223" si="1549">BW212*E212</f>
        <v>412500</v>
      </c>
      <c r="BY212" s="82">
        <f t="shared" ref="BY212:BY223" si="1550">BG212+BK212-BW212</f>
        <v>68</v>
      </c>
      <c r="BZ212" s="82">
        <f t="shared" ref="BZ212:BZ223" si="1551">BY212*E212</f>
        <v>561000</v>
      </c>
      <c r="CA212" s="82"/>
      <c r="CB212" s="82"/>
      <c r="CC212" s="82">
        <f t="shared" ref="CC212:CC223" si="1552">sum(CA212:CB212)</f>
        <v>0</v>
      </c>
      <c r="CD212" s="82">
        <f t="shared" ref="CD212:CD223" si="1553">CC212*E212</f>
        <v>0</v>
      </c>
      <c r="CE212" s="82"/>
      <c r="CF212" s="82"/>
      <c r="CG212" s="82"/>
      <c r="CH212" s="82"/>
      <c r="CI212" s="82">
        <f t="shared" ref="CI212:CI223" si="1554">sum(CE212:CH212)</f>
        <v>0</v>
      </c>
      <c r="CJ212" s="82">
        <f t="shared" ref="CJ212:CJ223" si="1555">CI212*E212</f>
        <v>0</v>
      </c>
      <c r="CK212" s="82">
        <f t="shared" ref="CK212:CK223" si="1556">BY212+CC212-CI212</f>
        <v>68</v>
      </c>
      <c r="CL212" s="82">
        <f t="shared" ref="CL212:CL223" si="1557">CK212*E212</f>
        <v>561000</v>
      </c>
      <c r="CM212" s="82"/>
      <c r="CN212" s="82"/>
      <c r="CO212" s="82">
        <f t="shared" ref="CO212:CO223" si="1558">SUM(CM212:CN212)</f>
        <v>0</v>
      </c>
      <c r="CP212" s="82">
        <f t="shared" ref="CP212:CP223" si="1559">CO212*E212</f>
        <v>0</v>
      </c>
      <c r="CQ212" s="82"/>
      <c r="CR212" s="82"/>
      <c r="CS212" s="82"/>
      <c r="CT212" s="82"/>
      <c r="CU212" s="82">
        <f t="shared" ref="CU212:CU223" si="1560">sum(CQ212:CT212)</f>
        <v>0</v>
      </c>
      <c r="CV212" s="82">
        <f t="shared" ref="CV212:CV223" si="1561">CU212*E212</f>
        <v>0</v>
      </c>
      <c r="CW212" s="82">
        <f t="shared" ref="CW212:CW223" si="1562">CK212+CO212-CU212</f>
        <v>68</v>
      </c>
      <c r="CX212" s="82">
        <f t="shared" ref="CX212:CX223" si="1563">CW212*E212</f>
        <v>561000</v>
      </c>
      <c r="CY212" s="82">
        <f t="shared" ref="CY212:CY223" si="1564">BK212+CC212+CO212</f>
        <v>0</v>
      </c>
      <c r="CZ212" s="82">
        <f t="shared" ref="CZ212:CZ223" si="1565">BW212+CI212+CU212</f>
        <v>50</v>
      </c>
      <c r="DA212" s="82">
        <f t="shared" ref="DA212:DA223" si="1566">BG212+CY212-CZ212</f>
        <v>68</v>
      </c>
      <c r="DB212" s="82">
        <f t="shared" ref="DB212:DB223" si="1567">DA212*E212</f>
        <v>561000</v>
      </c>
      <c r="DC212" s="91"/>
      <c r="DD212" s="82"/>
      <c r="DE212" s="82"/>
      <c r="DF212" s="82">
        <f t="shared" ref="DF212:DF223" si="1568">sum(DD212:DE212)</f>
        <v>0</v>
      </c>
      <c r="DG212" s="82">
        <f t="shared" ref="DG212:DG223" si="1569">DF212*E212</f>
        <v>0</v>
      </c>
      <c r="DH212" s="82"/>
      <c r="DI212" s="82">
        <f t="shared" ref="DI212:DI223" si="1570">SUM(DG212:DH212)</f>
        <v>0</v>
      </c>
      <c r="DJ212" s="82">
        <f t="shared" ref="DJ212:DJ223" si="1571">DI212*X212</f>
        <v>0</v>
      </c>
      <c r="DK212" s="82"/>
      <c r="DL212" s="82">
        <f t="shared" ref="DL212:DL223" si="1572">sum(DH212:DK212)</f>
        <v>0</v>
      </c>
      <c r="DM212" s="82">
        <f t="shared" ref="DM212:DM223" si="1573">DL212*E212</f>
        <v>0</v>
      </c>
      <c r="DN212" s="82">
        <f t="shared" ref="DN212:DN223" si="1574">DA212+DF212-DL212</f>
        <v>68</v>
      </c>
      <c r="DO212" s="82">
        <f t="shared" ref="DO212:DO223" si="1575">DN212*E212</f>
        <v>561000</v>
      </c>
      <c r="DP212" s="82"/>
      <c r="DQ212" s="82"/>
      <c r="DR212" s="82">
        <f t="shared" ref="DR212:DR223" si="1576">sum(DP212:DQ212)</f>
        <v>0</v>
      </c>
      <c r="DS212" s="82">
        <f t="shared" ref="DS212:DS223" si="1577">DR212*AB212</f>
        <v>0</v>
      </c>
      <c r="DT212" s="82"/>
      <c r="DU212" s="82"/>
      <c r="DV212" s="82"/>
      <c r="DW212" s="82"/>
      <c r="DX212" s="82">
        <f t="shared" ref="DX212:DX223" si="1578">sum(DT212:DW212)</f>
        <v>0</v>
      </c>
      <c r="DY212" s="82">
        <f t="shared" ref="DY212:DY223" si="1579">DX212*AB212</f>
        <v>0</v>
      </c>
      <c r="DZ212" s="82">
        <f t="shared" ref="DZ212:DZ223" si="1580">DN212+DR212-DX212</f>
        <v>68</v>
      </c>
      <c r="EA212" s="82">
        <f t="shared" ref="EA212:EA223" si="1581">DZ212*E212</f>
        <v>561000</v>
      </c>
      <c r="EB212" s="82"/>
      <c r="EC212" s="82"/>
      <c r="ED212" s="82">
        <f t="shared" ref="ED212:ED223" si="1582">sum(EB212:EC212)</f>
        <v>0</v>
      </c>
      <c r="EE212" s="82">
        <f t="shared" ref="EE212:EE223" si="1583">ED212*AN212</f>
        <v>0</v>
      </c>
      <c r="EF212" s="82"/>
      <c r="EG212" s="82"/>
      <c r="EH212" s="82"/>
      <c r="EI212" s="82"/>
      <c r="EJ212" s="82">
        <f t="shared" ref="EJ212:EJ223" si="1584">sum(EF212:EI212)</f>
        <v>0</v>
      </c>
      <c r="EK212" s="82">
        <f t="shared" ref="EK212:EK223" si="1585">EJ212*AN212</f>
        <v>0</v>
      </c>
      <c r="EL212" s="82">
        <f t="shared" ref="EL212:EL223" si="1586">DZ212+ED212-EJ212</f>
        <v>68</v>
      </c>
      <c r="EM212" s="82">
        <f t="shared" ref="EM212:EM223" si="1587">EL212*E212</f>
        <v>561000</v>
      </c>
      <c r="EN212" s="82">
        <f t="shared" ref="EN212:EN223" si="1588">DF212+DR212+ED212</f>
        <v>0</v>
      </c>
      <c r="EO212" s="82">
        <f t="shared" ref="EO212:EO223" si="1589">DL212+DX212+EJ212</f>
        <v>0</v>
      </c>
      <c r="EP212" s="82">
        <f t="shared" ref="EP212:EP223" si="1590">DA212+EN212-EO212</f>
        <v>68</v>
      </c>
      <c r="EQ212" s="82">
        <f t="shared" ref="EQ212:EQ223" si="1591">EP212*E212</f>
        <v>561000</v>
      </c>
      <c r="ER212" s="82"/>
      <c r="ES212" s="82"/>
      <c r="ET212" s="82">
        <f t="shared" ref="ET212:ET223" si="1592">sum(ER212:ES212)</f>
        <v>0</v>
      </c>
      <c r="EU212" s="82">
        <f t="shared" ref="EU212:EU223" si="1593">ET212*BE212</f>
        <v>0</v>
      </c>
      <c r="EV212" s="82"/>
      <c r="EW212" s="82"/>
      <c r="EX212" s="82"/>
      <c r="EY212" s="82"/>
      <c r="EZ212" s="82">
        <f t="shared" ref="EZ212:EZ223" si="1594">sum(EV212:EY212)</f>
        <v>0</v>
      </c>
      <c r="FA212" s="82">
        <f t="shared" ref="FA212:FA223" si="1595">EZ212*BE212</f>
        <v>0</v>
      </c>
      <c r="FB212" s="82">
        <f t="shared" ref="FB212:FB223" si="1596">EP212+ET212-EZ212</f>
        <v>68</v>
      </c>
      <c r="FC212" s="82">
        <f t="shared" ref="FC212:FC223" si="1597">FB212*E212</f>
        <v>561000</v>
      </c>
      <c r="FD212" s="82"/>
      <c r="FE212" s="82"/>
      <c r="FF212" s="82">
        <f t="shared" ref="FF212:FF223" si="1598">sum(FD212:FE212)</f>
        <v>0</v>
      </c>
      <c r="FG212" s="82">
        <f t="shared" ref="FG212:FG223" si="1599">FF212*BW212</f>
        <v>0</v>
      </c>
      <c r="FH212" s="82"/>
      <c r="FI212" s="82"/>
      <c r="FJ212" s="82"/>
      <c r="FK212" s="82"/>
      <c r="FL212" s="82">
        <f t="shared" ref="FL212:FL223" si="1600">sum(FH212:FK212)</f>
        <v>0</v>
      </c>
      <c r="FM212" s="82">
        <f t="shared" ref="FM212:FM223" si="1601">FL212*BW212</f>
        <v>0</v>
      </c>
      <c r="FN212" s="82">
        <f t="shared" ref="FN212:FN223" si="1602">FB212+FF212-FL212</f>
        <v>68</v>
      </c>
      <c r="FO212" s="82">
        <f t="shared" ref="FO212:FO223" si="1603">FN212*E212</f>
        <v>561000</v>
      </c>
      <c r="FP212" s="82"/>
      <c r="FQ212" s="82"/>
      <c r="FR212" s="82">
        <f t="shared" ref="FR212:FR223" si="1604">sum(FP212:FQ212)</f>
        <v>0</v>
      </c>
      <c r="FS212" s="82">
        <f t="shared" ref="FS212:FS223" si="1605">FR212*CI212</f>
        <v>0</v>
      </c>
      <c r="FT212" s="82"/>
      <c r="FU212" s="82"/>
      <c r="FV212" s="82"/>
      <c r="FW212" s="82"/>
      <c r="FX212" s="82">
        <f t="shared" ref="FX212:FX223" si="1606">sum(FT212:FW212)</f>
        <v>0</v>
      </c>
      <c r="FY212" s="82">
        <f t="shared" ref="FY212:FY223" si="1607">FX212*CI212</f>
        <v>0</v>
      </c>
      <c r="FZ212" s="82">
        <f t="shared" ref="FZ212:FZ223" si="1608">FN212+FR212-FX212</f>
        <v>68</v>
      </c>
      <c r="GA212" s="82">
        <f t="shared" ref="GA212:GA223" si="1609">FZ212*E212</f>
        <v>561000</v>
      </c>
      <c r="GB212" s="82">
        <f t="shared" ref="GB212:GB223" si="1610">ET212+FF212+FR212</f>
        <v>0</v>
      </c>
      <c r="GC212" s="82">
        <f t="shared" ref="GC212:GC223" si="1611">EZ212+FL212+FX212</f>
        <v>0</v>
      </c>
      <c r="GD212" s="82">
        <f t="shared" ref="GD212:GD223" si="1612">EP212+GB212-GC212</f>
        <v>68</v>
      </c>
      <c r="GE212" s="82">
        <f t="shared" ref="GE212:GE223" si="1613">GD212*E212</f>
        <v>561000</v>
      </c>
      <c r="GF212" s="85"/>
    </row>
    <row r="213" ht="29.25" customHeight="1">
      <c r="A213" s="50"/>
      <c r="B213" s="50"/>
      <c r="C213" s="50"/>
      <c r="D213" s="78" t="s">
        <v>99</v>
      </c>
      <c r="E213" s="79">
        <v>18315.0</v>
      </c>
      <c r="F213" s="61" t="s">
        <v>92</v>
      </c>
      <c r="G213" s="81">
        <v>30.0</v>
      </c>
      <c r="H213" s="82">
        <v>549450.0</v>
      </c>
      <c r="I213" s="82"/>
      <c r="J213" s="82"/>
      <c r="K213" s="82">
        <f t="shared" si="1524"/>
        <v>0</v>
      </c>
      <c r="L213" s="82">
        <f t="shared" si="1525"/>
        <v>0</v>
      </c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>
        <f t="shared" si="1526"/>
        <v>0</v>
      </c>
      <c r="AC213" s="82">
        <f t="shared" si="1527"/>
        <v>0</v>
      </c>
      <c r="AD213" s="82">
        <f t="shared" si="1528"/>
        <v>30</v>
      </c>
      <c r="AE213" s="82">
        <f t="shared" si="1529"/>
        <v>549450</v>
      </c>
      <c r="AF213" s="82"/>
      <c r="AG213" s="82"/>
      <c r="AH213" s="82">
        <f t="shared" si="1530"/>
        <v>0</v>
      </c>
      <c r="AI213" s="82">
        <f t="shared" si="1531"/>
        <v>0</v>
      </c>
      <c r="AJ213" s="82"/>
      <c r="AK213" s="82"/>
      <c r="AL213" s="82"/>
      <c r="AM213" s="82"/>
      <c r="AN213" s="82">
        <f t="shared" si="1532"/>
        <v>0</v>
      </c>
      <c r="AO213" s="82">
        <f t="shared" si="1533"/>
        <v>0</v>
      </c>
      <c r="AP213" s="82">
        <f t="shared" si="1534"/>
        <v>30</v>
      </c>
      <c r="AQ213" s="82">
        <f t="shared" si="1535"/>
        <v>549450</v>
      </c>
      <c r="AR213" s="82"/>
      <c r="AS213" s="82"/>
      <c r="AT213" s="82"/>
      <c r="AU213" s="82">
        <f t="shared" si="1536"/>
        <v>0</v>
      </c>
      <c r="AV213" s="82">
        <f t="shared" si="1537"/>
        <v>0</v>
      </c>
      <c r="AW213" s="82"/>
      <c r="AX213" s="82"/>
      <c r="AY213" s="82"/>
      <c r="AZ213" s="82"/>
      <c r="BA213" s="82">
        <f t="shared" si="1538"/>
        <v>0</v>
      </c>
      <c r="BB213" s="82">
        <f t="shared" si="1539"/>
        <v>0</v>
      </c>
      <c r="BC213" s="82">
        <f t="shared" si="1540"/>
        <v>30</v>
      </c>
      <c r="BD213" s="82">
        <f t="shared" si="1541"/>
        <v>549450</v>
      </c>
      <c r="BE213" s="82">
        <f t="shared" si="1542"/>
        <v>0</v>
      </c>
      <c r="BF213" s="82">
        <f t="shared" si="1543"/>
        <v>0</v>
      </c>
      <c r="BG213" s="82">
        <f t="shared" si="1544"/>
        <v>30</v>
      </c>
      <c r="BH213" s="82">
        <f t="shared" si="1545"/>
        <v>549450</v>
      </c>
      <c r="BI213" s="82"/>
      <c r="BJ213" s="83"/>
      <c r="BK213" s="82">
        <f t="shared" si="1546"/>
        <v>0</v>
      </c>
      <c r="BL213" s="82">
        <f t="shared" si="1547"/>
        <v>0</v>
      </c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>
        <f t="shared" si="1548"/>
        <v>0</v>
      </c>
      <c r="BX213" s="82">
        <f t="shared" si="1549"/>
        <v>0</v>
      </c>
      <c r="BY213" s="82">
        <f t="shared" si="1550"/>
        <v>30</v>
      </c>
      <c r="BZ213" s="82">
        <f t="shared" si="1551"/>
        <v>549450</v>
      </c>
      <c r="CA213" s="82"/>
      <c r="CB213" s="82"/>
      <c r="CC213" s="82">
        <f t="shared" si="1552"/>
        <v>0</v>
      </c>
      <c r="CD213" s="82">
        <f t="shared" si="1553"/>
        <v>0</v>
      </c>
      <c r="CE213" s="82"/>
      <c r="CF213" s="82"/>
      <c r="CG213" s="82"/>
      <c r="CH213" s="82"/>
      <c r="CI213" s="82">
        <f t="shared" si="1554"/>
        <v>0</v>
      </c>
      <c r="CJ213" s="82">
        <f t="shared" si="1555"/>
        <v>0</v>
      </c>
      <c r="CK213" s="82">
        <f t="shared" si="1556"/>
        <v>30</v>
      </c>
      <c r="CL213" s="82">
        <f t="shared" si="1557"/>
        <v>549450</v>
      </c>
      <c r="CM213" s="82"/>
      <c r="CN213" s="82"/>
      <c r="CO213" s="82">
        <f t="shared" si="1558"/>
        <v>0</v>
      </c>
      <c r="CP213" s="82">
        <f t="shared" si="1559"/>
        <v>0</v>
      </c>
      <c r="CQ213" s="82"/>
      <c r="CR213" s="82"/>
      <c r="CS213" s="82"/>
      <c r="CT213" s="82"/>
      <c r="CU213" s="82">
        <f t="shared" si="1560"/>
        <v>0</v>
      </c>
      <c r="CV213" s="82">
        <f t="shared" si="1561"/>
        <v>0</v>
      </c>
      <c r="CW213" s="82">
        <f t="shared" si="1562"/>
        <v>30</v>
      </c>
      <c r="CX213" s="82">
        <f t="shared" si="1563"/>
        <v>549450</v>
      </c>
      <c r="CY213" s="82">
        <f t="shared" si="1564"/>
        <v>0</v>
      </c>
      <c r="CZ213" s="82">
        <f t="shared" si="1565"/>
        <v>0</v>
      </c>
      <c r="DA213" s="82">
        <f t="shared" si="1566"/>
        <v>30</v>
      </c>
      <c r="DB213" s="82">
        <f t="shared" si="1567"/>
        <v>549450</v>
      </c>
      <c r="DC213" s="91"/>
      <c r="DD213" s="82"/>
      <c r="DE213" s="82"/>
      <c r="DF213" s="82">
        <f t="shared" si="1568"/>
        <v>0</v>
      </c>
      <c r="DG213" s="82">
        <f t="shared" si="1569"/>
        <v>0</v>
      </c>
      <c r="DH213" s="82"/>
      <c r="DI213" s="82">
        <f t="shared" si="1570"/>
        <v>0</v>
      </c>
      <c r="DJ213" s="82">
        <f t="shared" si="1571"/>
        <v>0</v>
      </c>
      <c r="DK213" s="82"/>
      <c r="DL213" s="82">
        <f t="shared" si="1572"/>
        <v>0</v>
      </c>
      <c r="DM213" s="82">
        <f t="shared" si="1573"/>
        <v>0</v>
      </c>
      <c r="DN213" s="82">
        <f t="shared" si="1574"/>
        <v>30</v>
      </c>
      <c r="DO213" s="82">
        <f t="shared" si="1575"/>
        <v>549450</v>
      </c>
      <c r="DP213" s="82"/>
      <c r="DQ213" s="82"/>
      <c r="DR213" s="82">
        <f t="shared" si="1576"/>
        <v>0</v>
      </c>
      <c r="DS213" s="82">
        <f t="shared" si="1577"/>
        <v>0</v>
      </c>
      <c r="DT213" s="82"/>
      <c r="DU213" s="82"/>
      <c r="DV213" s="82"/>
      <c r="DW213" s="82"/>
      <c r="DX213" s="82">
        <f t="shared" si="1578"/>
        <v>0</v>
      </c>
      <c r="DY213" s="82">
        <f t="shared" si="1579"/>
        <v>0</v>
      </c>
      <c r="DZ213" s="82">
        <f t="shared" si="1580"/>
        <v>30</v>
      </c>
      <c r="EA213" s="82">
        <f t="shared" si="1581"/>
        <v>549450</v>
      </c>
      <c r="EB213" s="82"/>
      <c r="EC213" s="82"/>
      <c r="ED213" s="82">
        <f t="shared" si="1582"/>
        <v>0</v>
      </c>
      <c r="EE213" s="82">
        <f t="shared" si="1583"/>
        <v>0</v>
      </c>
      <c r="EF213" s="82"/>
      <c r="EG213" s="82"/>
      <c r="EH213" s="82"/>
      <c r="EI213" s="82"/>
      <c r="EJ213" s="82">
        <f t="shared" si="1584"/>
        <v>0</v>
      </c>
      <c r="EK213" s="82">
        <f t="shared" si="1585"/>
        <v>0</v>
      </c>
      <c r="EL213" s="82">
        <f t="shared" si="1586"/>
        <v>30</v>
      </c>
      <c r="EM213" s="82">
        <f t="shared" si="1587"/>
        <v>549450</v>
      </c>
      <c r="EN213" s="82">
        <f t="shared" si="1588"/>
        <v>0</v>
      </c>
      <c r="EO213" s="82">
        <f t="shared" si="1589"/>
        <v>0</v>
      </c>
      <c r="EP213" s="82">
        <f t="shared" si="1590"/>
        <v>30</v>
      </c>
      <c r="EQ213" s="82">
        <f t="shared" si="1591"/>
        <v>549450</v>
      </c>
      <c r="ER213" s="82"/>
      <c r="ES213" s="82"/>
      <c r="ET213" s="82">
        <f t="shared" si="1592"/>
        <v>0</v>
      </c>
      <c r="EU213" s="82">
        <f t="shared" si="1593"/>
        <v>0</v>
      </c>
      <c r="EV213" s="82"/>
      <c r="EW213" s="82"/>
      <c r="EX213" s="82"/>
      <c r="EY213" s="82"/>
      <c r="EZ213" s="82">
        <f t="shared" si="1594"/>
        <v>0</v>
      </c>
      <c r="FA213" s="82">
        <f t="shared" si="1595"/>
        <v>0</v>
      </c>
      <c r="FB213" s="82">
        <f t="shared" si="1596"/>
        <v>30</v>
      </c>
      <c r="FC213" s="82">
        <f t="shared" si="1597"/>
        <v>549450</v>
      </c>
      <c r="FD213" s="82"/>
      <c r="FE213" s="82"/>
      <c r="FF213" s="82">
        <f t="shared" si="1598"/>
        <v>0</v>
      </c>
      <c r="FG213" s="82">
        <f t="shared" si="1599"/>
        <v>0</v>
      </c>
      <c r="FH213" s="82"/>
      <c r="FI213" s="82"/>
      <c r="FJ213" s="82"/>
      <c r="FK213" s="82"/>
      <c r="FL213" s="82">
        <f t="shared" si="1600"/>
        <v>0</v>
      </c>
      <c r="FM213" s="82">
        <f t="shared" si="1601"/>
        <v>0</v>
      </c>
      <c r="FN213" s="82">
        <f t="shared" si="1602"/>
        <v>30</v>
      </c>
      <c r="FO213" s="82">
        <f t="shared" si="1603"/>
        <v>549450</v>
      </c>
      <c r="FP213" s="82"/>
      <c r="FQ213" s="82"/>
      <c r="FR213" s="82">
        <f t="shared" si="1604"/>
        <v>0</v>
      </c>
      <c r="FS213" s="82">
        <f t="shared" si="1605"/>
        <v>0</v>
      </c>
      <c r="FT213" s="82"/>
      <c r="FU213" s="82"/>
      <c r="FV213" s="82"/>
      <c r="FW213" s="82"/>
      <c r="FX213" s="82">
        <f t="shared" si="1606"/>
        <v>0</v>
      </c>
      <c r="FY213" s="82">
        <f t="shared" si="1607"/>
        <v>0</v>
      </c>
      <c r="FZ213" s="82">
        <f t="shared" si="1608"/>
        <v>30</v>
      </c>
      <c r="GA213" s="82">
        <f t="shared" si="1609"/>
        <v>549450</v>
      </c>
      <c r="GB213" s="82">
        <f t="shared" si="1610"/>
        <v>0</v>
      </c>
      <c r="GC213" s="82">
        <f t="shared" si="1611"/>
        <v>0</v>
      </c>
      <c r="GD213" s="82">
        <f t="shared" si="1612"/>
        <v>30</v>
      </c>
      <c r="GE213" s="82">
        <f t="shared" si="1613"/>
        <v>549450</v>
      </c>
      <c r="GF213" s="85"/>
    </row>
    <row r="214" ht="29.25" customHeight="1">
      <c r="A214" s="96">
        <v>34.0</v>
      </c>
      <c r="B214" s="58"/>
      <c r="C214" s="58" t="s">
        <v>253</v>
      </c>
      <c r="D214" s="78" t="s">
        <v>99</v>
      </c>
      <c r="E214" s="79">
        <v>5940.0</v>
      </c>
      <c r="F214" s="61"/>
      <c r="G214" s="81">
        <v>150.0</v>
      </c>
      <c r="H214" s="82">
        <v>891000.0</v>
      </c>
      <c r="I214" s="82"/>
      <c r="J214" s="82"/>
      <c r="K214" s="82">
        <f t="shared" si="1524"/>
        <v>0</v>
      </c>
      <c r="L214" s="82">
        <f t="shared" si="1525"/>
        <v>0</v>
      </c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>
        <f t="shared" si="1526"/>
        <v>0</v>
      </c>
      <c r="AC214" s="82">
        <f t="shared" si="1527"/>
        <v>0</v>
      </c>
      <c r="AD214" s="82">
        <f t="shared" si="1528"/>
        <v>150</v>
      </c>
      <c r="AE214" s="82">
        <f t="shared" si="1529"/>
        <v>891000</v>
      </c>
      <c r="AF214" s="82"/>
      <c r="AG214" s="82"/>
      <c r="AH214" s="82">
        <f t="shared" si="1530"/>
        <v>0</v>
      </c>
      <c r="AI214" s="82">
        <f t="shared" si="1531"/>
        <v>0</v>
      </c>
      <c r="AJ214" s="82"/>
      <c r="AK214" s="82"/>
      <c r="AL214" s="82"/>
      <c r="AM214" s="82"/>
      <c r="AN214" s="82">
        <f t="shared" si="1532"/>
        <v>0</v>
      </c>
      <c r="AO214" s="82">
        <f t="shared" si="1533"/>
        <v>0</v>
      </c>
      <c r="AP214" s="82">
        <f t="shared" si="1534"/>
        <v>150</v>
      </c>
      <c r="AQ214" s="82">
        <f t="shared" si="1535"/>
        <v>891000</v>
      </c>
      <c r="AR214" s="82"/>
      <c r="AS214" s="82"/>
      <c r="AT214" s="82"/>
      <c r="AU214" s="82">
        <f t="shared" si="1536"/>
        <v>0</v>
      </c>
      <c r="AV214" s="82">
        <f t="shared" si="1537"/>
        <v>0</v>
      </c>
      <c r="AW214" s="82"/>
      <c r="AX214" s="82"/>
      <c r="AY214" s="82"/>
      <c r="AZ214" s="82"/>
      <c r="BA214" s="82">
        <f t="shared" si="1538"/>
        <v>0</v>
      </c>
      <c r="BB214" s="82">
        <f t="shared" si="1539"/>
        <v>0</v>
      </c>
      <c r="BC214" s="82">
        <f t="shared" si="1540"/>
        <v>150</v>
      </c>
      <c r="BD214" s="82">
        <f t="shared" si="1541"/>
        <v>891000</v>
      </c>
      <c r="BE214" s="82">
        <f t="shared" si="1542"/>
        <v>0</v>
      </c>
      <c r="BF214" s="82">
        <f t="shared" si="1543"/>
        <v>0</v>
      </c>
      <c r="BG214" s="82">
        <f t="shared" si="1544"/>
        <v>150</v>
      </c>
      <c r="BH214" s="82">
        <f t="shared" si="1545"/>
        <v>891000</v>
      </c>
      <c r="BI214" s="82"/>
      <c r="BJ214" s="83"/>
      <c r="BK214" s="82">
        <f t="shared" si="1546"/>
        <v>0</v>
      </c>
      <c r="BL214" s="82">
        <f t="shared" si="1547"/>
        <v>0</v>
      </c>
      <c r="BM214" s="82"/>
      <c r="BN214" s="82"/>
      <c r="BO214" s="82"/>
      <c r="BP214" s="82"/>
      <c r="BQ214" s="82"/>
      <c r="BR214" s="82"/>
      <c r="BS214" s="82"/>
      <c r="BT214" s="83">
        <v>50.0</v>
      </c>
      <c r="BU214" s="83"/>
      <c r="BV214" s="82"/>
      <c r="BW214" s="82">
        <f t="shared" si="1548"/>
        <v>50</v>
      </c>
      <c r="BX214" s="82">
        <f t="shared" si="1549"/>
        <v>297000</v>
      </c>
      <c r="BY214" s="82">
        <f t="shared" si="1550"/>
        <v>100</v>
      </c>
      <c r="BZ214" s="82">
        <f t="shared" si="1551"/>
        <v>594000</v>
      </c>
      <c r="CA214" s="82"/>
      <c r="CB214" s="82"/>
      <c r="CC214" s="82">
        <f t="shared" si="1552"/>
        <v>0</v>
      </c>
      <c r="CD214" s="82">
        <f t="shared" si="1553"/>
        <v>0</v>
      </c>
      <c r="CE214" s="82"/>
      <c r="CF214" s="82"/>
      <c r="CG214" s="82"/>
      <c r="CH214" s="82"/>
      <c r="CI214" s="82">
        <f t="shared" si="1554"/>
        <v>0</v>
      </c>
      <c r="CJ214" s="82">
        <f t="shared" si="1555"/>
        <v>0</v>
      </c>
      <c r="CK214" s="82">
        <f t="shared" si="1556"/>
        <v>100</v>
      </c>
      <c r="CL214" s="82">
        <f t="shared" si="1557"/>
        <v>594000</v>
      </c>
      <c r="CM214" s="82"/>
      <c r="CN214" s="82"/>
      <c r="CO214" s="82">
        <f t="shared" si="1558"/>
        <v>0</v>
      </c>
      <c r="CP214" s="82">
        <f t="shared" si="1559"/>
        <v>0</v>
      </c>
      <c r="CQ214" s="82"/>
      <c r="CR214" s="82"/>
      <c r="CS214" s="82"/>
      <c r="CT214" s="82"/>
      <c r="CU214" s="82">
        <f t="shared" si="1560"/>
        <v>0</v>
      </c>
      <c r="CV214" s="82">
        <f t="shared" si="1561"/>
        <v>0</v>
      </c>
      <c r="CW214" s="82">
        <f t="shared" si="1562"/>
        <v>100</v>
      </c>
      <c r="CX214" s="82">
        <f t="shared" si="1563"/>
        <v>594000</v>
      </c>
      <c r="CY214" s="82">
        <f t="shared" si="1564"/>
        <v>0</v>
      </c>
      <c r="CZ214" s="82">
        <f t="shared" si="1565"/>
        <v>50</v>
      </c>
      <c r="DA214" s="82">
        <f t="shared" si="1566"/>
        <v>100</v>
      </c>
      <c r="DB214" s="82">
        <f t="shared" si="1567"/>
        <v>594000</v>
      </c>
      <c r="DC214" s="91"/>
      <c r="DD214" s="82"/>
      <c r="DE214" s="82"/>
      <c r="DF214" s="82">
        <f t="shared" si="1568"/>
        <v>0</v>
      </c>
      <c r="DG214" s="82">
        <f t="shared" si="1569"/>
        <v>0</v>
      </c>
      <c r="DH214" s="82"/>
      <c r="DI214" s="82">
        <f t="shared" si="1570"/>
        <v>0</v>
      </c>
      <c r="DJ214" s="82">
        <f t="shared" si="1571"/>
        <v>0</v>
      </c>
      <c r="DK214" s="82"/>
      <c r="DL214" s="82">
        <f t="shared" si="1572"/>
        <v>0</v>
      </c>
      <c r="DM214" s="82">
        <f t="shared" si="1573"/>
        <v>0</v>
      </c>
      <c r="DN214" s="82">
        <f t="shared" si="1574"/>
        <v>100</v>
      </c>
      <c r="DO214" s="82">
        <f t="shared" si="1575"/>
        <v>594000</v>
      </c>
      <c r="DP214" s="82"/>
      <c r="DQ214" s="82"/>
      <c r="DR214" s="82">
        <f t="shared" si="1576"/>
        <v>0</v>
      </c>
      <c r="DS214" s="82">
        <f t="shared" si="1577"/>
        <v>0</v>
      </c>
      <c r="DT214" s="82"/>
      <c r="DU214" s="82"/>
      <c r="DV214" s="82"/>
      <c r="DW214" s="82"/>
      <c r="DX214" s="82">
        <f t="shared" si="1578"/>
        <v>0</v>
      </c>
      <c r="DY214" s="82">
        <f t="shared" si="1579"/>
        <v>0</v>
      </c>
      <c r="DZ214" s="82">
        <f t="shared" si="1580"/>
        <v>100</v>
      </c>
      <c r="EA214" s="82">
        <f t="shared" si="1581"/>
        <v>594000</v>
      </c>
      <c r="EB214" s="82"/>
      <c r="EC214" s="82"/>
      <c r="ED214" s="82">
        <f t="shared" si="1582"/>
        <v>0</v>
      </c>
      <c r="EE214" s="82">
        <f t="shared" si="1583"/>
        <v>0</v>
      </c>
      <c r="EF214" s="82"/>
      <c r="EG214" s="82"/>
      <c r="EH214" s="82"/>
      <c r="EI214" s="82"/>
      <c r="EJ214" s="82">
        <f t="shared" si="1584"/>
        <v>0</v>
      </c>
      <c r="EK214" s="82">
        <f t="shared" si="1585"/>
        <v>0</v>
      </c>
      <c r="EL214" s="82">
        <f t="shared" si="1586"/>
        <v>100</v>
      </c>
      <c r="EM214" s="82">
        <f t="shared" si="1587"/>
        <v>594000</v>
      </c>
      <c r="EN214" s="82">
        <f t="shared" si="1588"/>
        <v>0</v>
      </c>
      <c r="EO214" s="82">
        <f t="shared" si="1589"/>
        <v>0</v>
      </c>
      <c r="EP214" s="82">
        <f t="shared" si="1590"/>
        <v>100</v>
      </c>
      <c r="EQ214" s="82">
        <f t="shared" si="1591"/>
        <v>594000</v>
      </c>
      <c r="ER214" s="82"/>
      <c r="ES214" s="82"/>
      <c r="ET214" s="82">
        <f t="shared" si="1592"/>
        <v>0</v>
      </c>
      <c r="EU214" s="82">
        <f t="shared" si="1593"/>
        <v>0</v>
      </c>
      <c r="EV214" s="82"/>
      <c r="EW214" s="82"/>
      <c r="EX214" s="82"/>
      <c r="EY214" s="82"/>
      <c r="EZ214" s="82">
        <f t="shared" si="1594"/>
        <v>0</v>
      </c>
      <c r="FA214" s="82">
        <f t="shared" si="1595"/>
        <v>0</v>
      </c>
      <c r="FB214" s="82">
        <f t="shared" si="1596"/>
        <v>100</v>
      </c>
      <c r="FC214" s="82">
        <f t="shared" si="1597"/>
        <v>594000</v>
      </c>
      <c r="FD214" s="82"/>
      <c r="FE214" s="82"/>
      <c r="FF214" s="82">
        <f t="shared" si="1598"/>
        <v>0</v>
      </c>
      <c r="FG214" s="82">
        <f t="shared" si="1599"/>
        <v>0</v>
      </c>
      <c r="FH214" s="82"/>
      <c r="FI214" s="82"/>
      <c r="FJ214" s="82"/>
      <c r="FK214" s="82"/>
      <c r="FL214" s="82">
        <f t="shared" si="1600"/>
        <v>0</v>
      </c>
      <c r="FM214" s="82">
        <f t="shared" si="1601"/>
        <v>0</v>
      </c>
      <c r="FN214" s="82">
        <f t="shared" si="1602"/>
        <v>100</v>
      </c>
      <c r="FO214" s="82">
        <f t="shared" si="1603"/>
        <v>594000</v>
      </c>
      <c r="FP214" s="82"/>
      <c r="FQ214" s="82"/>
      <c r="FR214" s="82">
        <f t="shared" si="1604"/>
        <v>0</v>
      </c>
      <c r="FS214" s="82">
        <f t="shared" si="1605"/>
        <v>0</v>
      </c>
      <c r="FT214" s="82"/>
      <c r="FU214" s="82"/>
      <c r="FV214" s="82"/>
      <c r="FW214" s="82"/>
      <c r="FX214" s="82">
        <f t="shared" si="1606"/>
        <v>0</v>
      </c>
      <c r="FY214" s="82">
        <f t="shared" si="1607"/>
        <v>0</v>
      </c>
      <c r="FZ214" s="82">
        <f t="shared" si="1608"/>
        <v>100</v>
      </c>
      <c r="GA214" s="82">
        <f t="shared" si="1609"/>
        <v>594000</v>
      </c>
      <c r="GB214" s="82">
        <f t="shared" si="1610"/>
        <v>0</v>
      </c>
      <c r="GC214" s="82">
        <f t="shared" si="1611"/>
        <v>0</v>
      </c>
      <c r="GD214" s="82">
        <f t="shared" si="1612"/>
        <v>100</v>
      </c>
      <c r="GE214" s="82">
        <f t="shared" si="1613"/>
        <v>594000</v>
      </c>
      <c r="GF214" s="85"/>
    </row>
    <row r="215" ht="29.25" customHeight="1">
      <c r="A215" s="76">
        <v>35.0</v>
      </c>
      <c r="B215" s="77"/>
      <c r="C215" s="77" t="s">
        <v>254</v>
      </c>
      <c r="D215" s="78" t="s">
        <v>96</v>
      </c>
      <c r="E215" s="79">
        <v>6105.0</v>
      </c>
      <c r="F215" s="61" t="s">
        <v>92</v>
      </c>
      <c r="G215" s="81">
        <v>30.0</v>
      </c>
      <c r="H215" s="82">
        <v>183150.0</v>
      </c>
      <c r="I215" s="82"/>
      <c r="J215" s="82"/>
      <c r="K215" s="82">
        <f t="shared" si="1524"/>
        <v>0</v>
      </c>
      <c r="L215" s="82">
        <f t="shared" si="1525"/>
        <v>0</v>
      </c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>
        <f t="shared" si="1526"/>
        <v>0</v>
      </c>
      <c r="AC215" s="82">
        <f t="shared" si="1527"/>
        <v>0</v>
      </c>
      <c r="AD215" s="82">
        <f t="shared" si="1528"/>
        <v>30</v>
      </c>
      <c r="AE215" s="82">
        <f t="shared" si="1529"/>
        <v>183150</v>
      </c>
      <c r="AF215" s="82"/>
      <c r="AG215" s="82"/>
      <c r="AH215" s="82">
        <f t="shared" si="1530"/>
        <v>0</v>
      </c>
      <c r="AI215" s="82">
        <f t="shared" si="1531"/>
        <v>0</v>
      </c>
      <c r="AJ215" s="82"/>
      <c r="AK215" s="82"/>
      <c r="AL215" s="82"/>
      <c r="AM215" s="82"/>
      <c r="AN215" s="82">
        <f t="shared" si="1532"/>
        <v>0</v>
      </c>
      <c r="AO215" s="82">
        <f t="shared" si="1533"/>
        <v>0</v>
      </c>
      <c r="AP215" s="82">
        <f t="shared" si="1534"/>
        <v>30</v>
      </c>
      <c r="AQ215" s="82">
        <f t="shared" si="1535"/>
        <v>183150</v>
      </c>
      <c r="AR215" s="82"/>
      <c r="AS215" s="82"/>
      <c r="AT215" s="82"/>
      <c r="AU215" s="82">
        <f t="shared" si="1536"/>
        <v>0</v>
      </c>
      <c r="AV215" s="82">
        <f t="shared" si="1537"/>
        <v>0</v>
      </c>
      <c r="AW215" s="82"/>
      <c r="AX215" s="82"/>
      <c r="AY215" s="82"/>
      <c r="AZ215" s="82"/>
      <c r="BA215" s="82">
        <f t="shared" si="1538"/>
        <v>0</v>
      </c>
      <c r="BB215" s="82">
        <f t="shared" si="1539"/>
        <v>0</v>
      </c>
      <c r="BC215" s="82">
        <f t="shared" si="1540"/>
        <v>30</v>
      </c>
      <c r="BD215" s="82">
        <f t="shared" si="1541"/>
        <v>183150</v>
      </c>
      <c r="BE215" s="82">
        <f t="shared" si="1542"/>
        <v>0</v>
      </c>
      <c r="BF215" s="82">
        <f t="shared" si="1543"/>
        <v>0</v>
      </c>
      <c r="BG215" s="82">
        <f t="shared" si="1544"/>
        <v>30</v>
      </c>
      <c r="BH215" s="82">
        <f t="shared" si="1545"/>
        <v>183150</v>
      </c>
      <c r="BI215" s="82"/>
      <c r="BJ215" s="83"/>
      <c r="BK215" s="82">
        <f t="shared" si="1546"/>
        <v>0</v>
      </c>
      <c r="BL215" s="82">
        <f t="shared" si="1547"/>
        <v>0</v>
      </c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>
        <f t="shared" si="1548"/>
        <v>0</v>
      </c>
      <c r="BX215" s="82">
        <f t="shared" si="1549"/>
        <v>0</v>
      </c>
      <c r="BY215" s="82">
        <f t="shared" si="1550"/>
        <v>30</v>
      </c>
      <c r="BZ215" s="82">
        <f t="shared" si="1551"/>
        <v>183150</v>
      </c>
      <c r="CA215" s="82"/>
      <c r="CB215" s="82"/>
      <c r="CC215" s="82">
        <f t="shared" si="1552"/>
        <v>0</v>
      </c>
      <c r="CD215" s="82">
        <f t="shared" si="1553"/>
        <v>0</v>
      </c>
      <c r="CE215" s="82"/>
      <c r="CF215" s="82"/>
      <c r="CG215" s="82"/>
      <c r="CH215" s="82"/>
      <c r="CI215" s="82">
        <f t="shared" si="1554"/>
        <v>0</v>
      </c>
      <c r="CJ215" s="82">
        <f t="shared" si="1555"/>
        <v>0</v>
      </c>
      <c r="CK215" s="82">
        <f t="shared" si="1556"/>
        <v>30</v>
      </c>
      <c r="CL215" s="82">
        <f t="shared" si="1557"/>
        <v>183150</v>
      </c>
      <c r="CM215" s="82"/>
      <c r="CN215" s="82"/>
      <c r="CO215" s="82">
        <f t="shared" si="1558"/>
        <v>0</v>
      </c>
      <c r="CP215" s="82">
        <f t="shared" si="1559"/>
        <v>0</v>
      </c>
      <c r="CQ215" s="82"/>
      <c r="CR215" s="82"/>
      <c r="CS215" s="82"/>
      <c r="CT215" s="82"/>
      <c r="CU215" s="82">
        <f t="shared" si="1560"/>
        <v>0</v>
      </c>
      <c r="CV215" s="82">
        <f t="shared" si="1561"/>
        <v>0</v>
      </c>
      <c r="CW215" s="82">
        <f t="shared" si="1562"/>
        <v>30</v>
      </c>
      <c r="CX215" s="82">
        <f t="shared" si="1563"/>
        <v>183150</v>
      </c>
      <c r="CY215" s="82">
        <f t="shared" si="1564"/>
        <v>0</v>
      </c>
      <c r="CZ215" s="82">
        <f t="shared" si="1565"/>
        <v>0</v>
      </c>
      <c r="DA215" s="82">
        <f t="shared" si="1566"/>
        <v>30</v>
      </c>
      <c r="DB215" s="82">
        <f t="shared" si="1567"/>
        <v>183150</v>
      </c>
      <c r="DC215" s="91"/>
      <c r="DD215" s="82"/>
      <c r="DE215" s="82"/>
      <c r="DF215" s="82">
        <f t="shared" si="1568"/>
        <v>0</v>
      </c>
      <c r="DG215" s="82">
        <f t="shared" si="1569"/>
        <v>0</v>
      </c>
      <c r="DH215" s="82"/>
      <c r="DI215" s="82">
        <f t="shared" si="1570"/>
        <v>0</v>
      </c>
      <c r="DJ215" s="82">
        <f t="shared" si="1571"/>
        <v>0</v>
      </c>
      <c r="DK215" s="82"/>
      <c r="DL215" s="82">
        <f t="shared" si="1572"/>
        <v>0</v>
      </c>
      <c r="DM215" s="82">
        <f t="shared" si="1573"/>
        <v>0</v>
      </c>
      <c r="DN215" s="82">
        <f t="shared" si="1574"/>
        <v>30</v>
      </c>
      <c r="DO215" s="82">
        <f t="shared" si="1575"/>
        <v>183150</v>
      </c>
      <c r="DP215" s="82"/>
      <c r="DQ215" s="82"/>
      <c r="DR215" s="82">
        <f t="shared" si="1576"/>
        <v>0</v>
      </c>
      <c r="DS215" s="82">
        <f t="shared" si="1577"/>
        <v>0</v>
      </c>
      <c r="DT215" s="82"/>
      <c r="DU215" s="82"/>
      <c r="DV215" s="82"/>
      <c r="DW215" s="82"/>
      <c r="DX215" s="82">
        <f t="shared" si="1578"/>
        <v>0</v>
      </c>
      <c r="DY215" s="82">
        <f t="shared" si="1579"/>
        <v>0</v>
      </c>
      <c r="DZ215" s="82">
        <f t="shared" si="1580"/>
        <v>30</v>
      </c>
      <c r="EA215" s="82">
        <f t="shared" si="1581"/>
        <v>183150</v>
      </c>
      <c r="EB215" s="82"/>
      <c r="EC215" s="82"/>
      <c r="ED215" s="82">
        <f t="shared" si="1582"/>
        <v>0</v>
      </c>
      <c r="EE215" s="82">
        <f t="shared" si="1583"/>
        <v>0</v>
      </c>
      <c r="EF215" s="82"/>
      <c r="EG215" s="82"/>
      <c r="EH215" s="82"/>
      <c r="EI215" s="82"/>
      <c r="EJ215" s="82">
        <f t="shared" si="1584"/>
        <v>0</v>
      </c>
      <c r="EK215" s="82">
        <f t="shared" si="1585"/>
        <v>0</v>
      </c>
      <c r="EL215" s="82">
        <f t="shared" si="1586"/>
        <v>30</v>
      </c>
      <c r="EM215" s="82">
        <f t="shared" si="1587"/>
        <v>183150</v>
      </c>
      <c r="EN215" s="82">
        <f t="shared" si="1588"/>
        <v>0</v>
      </c>
      <c r="EO215" s="82">
        <f t="shared" si="1589"/>
        <v>0</v>
      </c>
      <c r="EP215" s="82">
        <f t="shared" si="1590"/>
        <v>30</v>
      </c>
      <c r="EQ215" s="82">
        <f t="shared" si="1591"/>
        <v>183150</v>
      </c>
      <c r="ER215" s="82"/>
      <c r="ES215" s="82"/>
      <c r="ET215" s="82">
        <f t="shared" si="1592"/>
        <v>0</v>
      </c>
      <c r="EU215" s="82">
        <f t="shared" si="1593"/>
        <v>0</v>
      </c>
      <c r="EV215" s="82"/>
      <c r="EW215" s="82"/>
      <c r="EX215" s="82"/>
      <c r="EY215" s="82"/>
      <c r="EZ215" s="82">
        <f t="shared" si="1594"/>
        <v>0</v>
      </c>
      <c r="FA215" s="82">
        <f t="shared" si="1595"/>
        <v>0</v>
      </c>
      <c r="FB215" s="82">
        <f t="shared" si="1596"/>
        <v>30</v>
      </c>
      <c r="FC215" s="82">
        <f t="shared" si="1597"/>
        <v>183150</v>
      </c>
      <c r="FD215" s="82"/>
      <c r="FE215" s="82"/>
      <c r="FF215" s="82">
        <f t="shared" si="1598"/>
        <v>0</v>
      </c>
      <c r="FG215" s="82">
        <f t="shared" si="1599"/>
        <v>0</v>
      </c>
      <c r="FH215" s="82"/>
      <c r="FI215" s="82"/>
      <c r="FJ215" s="82"/>
      <c r="FK215" s="82"/>
      <c r="FL215" s="82">
        <f t="shared" si="1600"/>
        <v>0</v>
      </c>
      <c r="FM215" s="82">
        <f t="shared" si="1601"/>
        <v>0</v>
      </c>
      <c r="FN215" s="82">
        <f t="shared" si="1602"/>
        <v>30</v>
      </c>
      <c r="FO215" s="82">
        <f t="shared" si="1603"/>
        <v>183150</v>
      </c>
      <c r="FP215" s="82"/>
      <c r="FQ215" s="82"/>
      <c r="FR215" s="82">
        <f t="shared" si="1604"/>
        <v>0</v>
      </c>
      <c r="FS215" s="82">
        <f t="shared" si="1605"/>
        <v>0</v>
      </c>
      <c r="FT215" s="82"/>
      <c r="FU215" s="82"/>
      <c r="FV215" s="82"/>
      <c r="FW215" s="82"/>
      <c r="FX215" s="82">
        <f t="shared" si="1606"/>
        <v>0</v>
      </c>
      <c r="FY215" s="82">
        <f t="shared" si="1607"/>
        <v>0</v>
      </c>
      <c r="FZ215" s="82">
        <f t="shared" si="1608"/>
        <v>30</v>
      </c>
      <c r="GA215" s="82">
        <f t="shared" si="1609"/>
        <v>183150</v>
      </c>
      <c r="GB215" s="82">
        <f t="shared" si="1610"/>
        <v>0</v>
      </c>
      <c r="GC215" s="82">
        <f t="shared" si="1611"/>
        <v>0</v>
      </c>
      <c r="GD215" s="82">
        <f t="shared" si="1612"/>
        <v>30</v>
      </c>
      <c r="GE215" s="82">
        <f t="shared" si="1613"/>
        <v>183150</v>
      </c>
      <c r="GF215" s="85"/>
    </row>
    <row r="216" ht="29.25" customHeight="1">
      <c r="A216" s="76">
        <v>36.0</v>
      </c>
      <c r="B216" s="77"/>
      <c r="C216" s="77" t="s">
        <v>255</v>
      </c>
      <c r="D216" s="78" t="s">
        <v>99</v>
      </c>
      <c r="E216" s="79">
        <v>16095.0</v>
      </c>
      <c r="F216" s="61" t="s">
        <v>97</v>
      </c>
      <c r="G216" s="81">
        <v>56.0</v>
      </c>
      <c r="H216" s="82">
        <v>901320.0</v>
      </c>
      <c r="I216" s="82"/>
      <c r="J216" s="82"/>
      <c r="K216" s="82">
        <f t="shared" si="1524"/>
        <v>0</v>
      </c>
      <c r="L216" s="82">
        <f t="shared" si="1525"/>
        <v>0</v>
      </c>
      <c r="M216" s="82"/>
      <c r="N216" s="83">
        <v>30.0</v>
      </c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>
        <f t="shared" si="1526"/>
        <v>30</v>
      </c>
      <c r="AC216" s="82">
        <f t="shared" si="1527"/>
        <v>482850</v>
      </c>
      <c r="AD216" s="82">
        <f t="shared" si="1528"/>
        <v>26</v>
      </c>
      <c r="AE216" s="82">
        <f t="shared" si="1529"/>
        <v>418470</v>
      </c>
      <c r="AF216" s="82"/>
      <c r="AG216" s="82"/>
      <c r="AH216" s="82">
        <f t="shared" si="1530"/>
        <v>0</v>
      </c>
      <c r="AI216" s="82">
        <f t="shared" si="1531"/>
        <v>0</v>
      </c>
      <c r="AJ216" s="82"/>
      <c r="AK216" s="82"/>
      <c r="AL216" s="82"/>
      <c r="AM216" s="82"/>
      <c r="AN216" s="82">
        <f t="shared" si="1532"/>
        <v>0</v>
      </c>
      <c r="AO216" s="82">
        <f t="shared" si="1533"/>
        <v>0</v>
      </c>
      <c r="AP216" s="82">
        <f t="shared" si="1534"/>
        <v>26</v>
      </c>
      <c r="AQ216" s="82">
        <f t="shared" si="1535"/>
        <v>418470</v>
      </c>
      <c r="AR216" s="82"/>
      <c r="AS216" s="82"/>
      <c r="AT216" s="82"/>
      <c r="AU216" s="82">
        <f t="shared" si="1536"/>
        <v>0</v>
      </c>
      <c r="AV216" s="82">
        <f t="shared" si="1537"/>
        <v>0</v>
      </c>
      <c r="AW216" s="82"/>
      <c r="AX216" s="82"/>
      <c r="AY216" s="82"/>
      <c r="AZ216" s="82"/>
      <c r="BA216" s="82">
        <f t="shared" si="1538"/>
        <v>0</v>
      </c>
      <c r="BB216" s="82">
        <f t="shared" si="1539"/>
        <v>0</v>
      </c>
      <c r="BC216" s="82">
        <f t="shared" si="1540"/>
        <v>26</v>
      </c>
      <c r="BD216" s="82">
        <f t="shared" si="1541"/>
        <v>418470</v>
      </c>
      <c r="BE216" s="82">
        <f t="shared" si="1542"/>
        <v>0</v>
      </c>
      <c r="BF216" s="82">
        <f t="shared" si="1543"/>
        <v>30</v>
      </c>
      <c r="BG216" s="82">
        <f t="shared" si="1544"/>
        <v>26</v>
      </c>
      <c r="BH216" s="82">
        <f t="shared" si="1545"/>
        <v>418470</v>
      </c>
      <c r="BI216" s="82"/>
      <c r="BJ216" s="83"/>
      <c r="BK216" s="82">
        <f t="shared" si="1546"/>
        <v>0</v>
      </c>
      <c r="BL216" s="82">
        <f t="shared" si="1547"/>
        <v>0</v>
      </c>
      <c r="BM216" s="82"/>
      <c r="BN216" s="82"/>
      <c r="BO216" s="82"/>
      <c r="BP216" s="82"/>
      <c r="BQ216" s="82"/>
      <c r="BR216" s="82"/>
      <c r="BS216" s="83">
        <v>24.0</v>
      </c>
      <c r="BT216" s="82"/>
      <c r="BU216" s="82"/>
      <c r="BV216" s="82"/>
      <c r="BW216" s="82">
        <f t="shared" si="1548"/>
        <v>24</v>
      </c>
      <c r="BX216" s="82">
        <f t="shared" si="1549"/>
        <v>386280</v>
      </c>
      <c r="BY216" s="82">
        <f t="shared" si="1550"/>
        <v>2</v>
      </c>
      <c r="BZ216" s="82">
        <f t="shared" si="1551"/>
        <v>32190</v>
      </c>
      <c r="CA216" s="82"/>
      <c r="CB216" s="82"/>
      <c r="CC216" s="82">
        <f t="shared" si="1552"/>
        <v>0</v>
      </c>
      <c r="CD216" s="82">
        <f t="shared" si="1553"/>
        <v>0</v>
      </c>
      <c r="CE216" s="82"/>
      <c r="CF216" s="82"/>
      <c r="CG216" s="82"/>
      <c r="CH216" s="82"/>
      <c r="CI216" s="82">
        <f t="shared" si="1554"/>
        <v>0</v>
      </c>
      <c r="CJ216" s="82">
        <f t="shared" si="1555"/>
        <v>0</v>
      </c>
      <c r="CK216" s="82">
        <f t="shared" si="1556"/>
        <v>2</v>
      </c>
      <c r="CL216" s="82">
        <f t="shared" si="1557"/>
        <v>32190</v>
      </c>
      <c r="CM216" s="82"/>
      <c r="CN216" s="82"/>
      <c r="CO216" s="82">
        <f t="shared" si="1558"/>
        <v>0</v>
      </c>
      <c r="CP216" s="82">
        <f t="shared" si="1559"/>
        <v>0</v>
      </c>
      <c r="CQ216" s="82"/>
      <c r="CR216" s="82"/>
      <c r="CS216" s="82"/>
      <c r="CT216" s="82"/>
      <c r="CU216" s="82">
        <f t="shared" si="1560"/>
        <v>0</v>
      </c>
      <c r="CV216" s="82">
        <f t="shared" si="1561"/>
        <v>0</v>
      </c>
      <c r="CW216" s="82">
        <f t="shared" si="1562"/>
        <v>2</v>
      </c>
      <c r="CX216" s="82">
        <f t="shared" si="1563"/>
        <v>32190</v>
      </c>
      <c r="CY216" s="82">
        <f t="shared" si="1564"/>
        <v>0</v>
      </c>
      <c r="CZ216" s="82">
        <f t="shared" si="1565"/>
        <v>24</v>
      </c>
      <c r="DA216" s="82">
        <f t="shared" si="1566"/>
        <v>2</v>
      </c>
      <c r="DB216" s="82">
        <f t="shared" si="1567"/>
        <v>32190</v>
      </c>
      <c r="DC216" s="91"/>
      <c r="DD216" s="82"/>
      <c r="DE216" s="82"/>
      <c r="DF216" s="82">
        <f t="shared" si="1568"/>
        <v>0</v>
      </c>
      <c r="DG216" s="82">
        <f t="shared" si="1569"/>
        <v>0</v>
      </c>
      <c r="DH216" s="82"/>
      <c r="DI216" s="82">
        <f t="shared" si="1570"/>
        <v>0</v>
      </c>
      <c r="DJ216" s="82">
        <f t="shared" si="1571"/>
        <v>0</v>
      </c>
      <c r="DK216" s="82"/>
      <c r="DL216" s="82">
        <f t="shared" si="1572"/>
        <v>0</v>
      </c>
      <c r="DM216" s="82">
        <f t="shared" si="1573"/>
        <v>0</v>
      </c>
      <c r="DN216" s="82">
        <f t="shared" si="1574"/>
        <v>2</v>
      </c>
      <c r="DO216" s="82">
        <f t="shared" si="1575"/>
        <v>32190</v>
      </c>
      <c r="DP216" s="82"/>
      <c r="DQ216" s="82"/>
      <c r="DR216" s="82">
        <f t="shared" si="1576"/>
        <v>0</v>
      </c>
      <c r="DS216" s="82">
        <f t="shared" si="1577"/>
        <v>0</v>
      </c>
      <c r="DT216" s="82"/>
      <c r="DU216" s="82"/>
      <c r="DV216" s="82"/>
      <c r="DW216" s="82"/>
      <c r="DX216" s="82">
        <f t="shared" si="1578"/>
        <v>0</v>
      </c>
      <c r="DY216" s="82">
        <f t="shared" si="1579"/>
        <v>0</v>
      </c>
      <c r="DZ216" s="82">
        <f t="shared" si="1580"/>
        <v>2</v>
      </c>
      <c r="EA216" s="82">
        <f t="shared" si="1581"/>
        <v>32190</v>
      </c>
      <c r="EB216" s="82"/>
      <c r="EC216" s="82"/>
      <c r="ED216" s="82">
        <f t="shared" si="1582"/>
        <v>0</v>
      </c>
      <c r="EE216" s="82">
        <f t="shared" si="1583"/>
        <v>0</v>
      </c>
      <c r="EF216" s="82"/>
      <c r="EG216" s="82"/>
      <c r="EH216" s="82"/>
      <c r="EI216" s="82"/>
      <c r="EJ216" s="82">
        <f t="shared" si="1584"/>
        <v>0</v>
      </c>
      <c r="EK216" s="82">
        <f t="shared" si="1585"/>
        <v>0</v>
      </c>
      <c r="EL216" s="82">
        <f t="shared" si="1586"/>
        <v>2</v>
      </c>
      <c r="EM216" s="82">
        <f t="shared" si="1587"/>
        <v>32190</v>
      </c>
      <c r="EN216" s="82">
        <f t="shared" si="1588"/>
        <v>0</v>
      </c>
      <c r="EO216" s="82">
        <f t="shared" si="1589"/>
        <v>0</v>
      </c>
      <c r="EP216" s="82">
        <f t="shared" si="1590"/>
        <v>2</v>
      </c>
      <c r="EQ216" s="82">
        <f t="shared" si="1591"/>
        <v>32190</v>
      </c>
      <c r="ER216" s="82"/>
      <c r="ES216" s="82"/>
      <c r="ET216" s="82">
        <f t="shared" si="1592"/>
        <v>0</v>
      </c>
      <c r="EU216" s="82">
        <f t="shared" si="1593"/>
        <v>0</v>
      </c>
      <c r="EV216" s="82"/>
      <c r="EW216" s="82"/>
      <c r="EX216" s="82"/>
      <c r="EY216" s="82"/>
      <c r="EZ216" s="82">
        <f t="shared" si="1594"/>
        <v>0</v>
      </c>
      <c r="FA216" s="82">
        <f t="shared" si="1595"/>
        <v>0</v>
      </c>
      <c r="FB216" s="82">
        <f t="shared" si="1596"/>
        <v>2</v>
      </c>
      <c r="FC216" s="82">
        <f t="shared" si="1597"/>
        <v>32190</v>
      </c>
      <c r="FD216" s="82"/>
      <c r="FE216" s="82"/>
      <c r="FF216" s="82">
        <f t="shared" si="1598"/>
        <v>0</v>
      </c>
      <c r="FG216" s="82">
        <f t="shared" si="1599"/>
        <v>0</v>
      </c>
      <c r="FH216" s="82"/>
      <c r="FI216" s="82"/>
      <c r="FJ216" s="82"/>
      <c r="FK216" s="82"/>
      <c r="FL216" s="82">
        <f t="shared" si="1600"/>
        <v>0</v>
      </c>
      <c r="FM216" s="82">
        <f t="shared" si="1601"/>
        <v>0</v>
      </c>
      <c r="FN216" s="82">
        <f t="shared" si="1602"/>
        <v>2</v>
      </c>
      <c r="FO216" s="82">
        <f t="shared" si="1603"/>
        <v>32190</v>
      </c>
      <c r="FP216" s="82"/>
      <c r="FQ216" s="82"/>
      <c r="FR216" s="82">
        <f t="shared" si="1604"/>
        <v>0</v>
      </c>
      <c r="FS216" s="82">
        <f t="shared" si="1605"/>
        <v>0</v>
      </c>
      <c r="FT216" s="82"/>
      <c r="FU216" s="82"/>
      <c r="FV216" s="82"/>
      <c r="FW216" s="82"/>
      <c r="FX216" s="82">
        <f t="shared" si="1606"/>
        <v>0</v>
      </c>
      <c r="FY216" s="82">
        <f t="shared" si="1607"/>
        <v>0</v>
      </c>
      <c r="FZ216" s="82">
        <f t="shared" si="1608"/>
        <v>2</v>
      </c>
      <c r="GA216" s="82">
        <f t="shared" si="1609"/>
        <v>32190</v>
      </c>
      <c r="GB216" s="82">
        <f t="shared" si="1610"/>
        <v>0</v>
      </c>
      <c r="GC216" s="82">
        <f t="shared" si="1611"/>
        <v>0</v>
      </c>
      <c r="GD216" s="82">
        <f t="shared" si="1612"/>
        <v>2</v>
      </c>
      <c r="GE216" s="82">
        <f t="shared" si="1613"/>
        <v>32190</v>
      </c>
      <c r="GF216" s="85"/>
    </row>
    <row r="217" ht="29.25" customHeight="1">
      <c r="A217" s="50"/>
      <c r="B217" s="50"/>
      <c r="C217" s="50"/>
      <c r="D217" s="78" t="s">
        <v>99</v>
      </c>
      <c r="E217" s="79">
        <v>18870.0</v>
      </c>
      <c r="F217" s="61" t="s">
        <v>110</v>
      </c>
      <c r="G217" s="81">
        <v>100.0</v>
      </c>
      <c r="H217" s="82">
        <v>1887000.0</v>
      </c>
      <c r="I217" s="82"/>
      <c r="J217" s="82"/>
      <c r="K217" s="82">
        <f t="shared" si="1524"/>
        <v>0</v>
      </c>
      <c r="L217" s="82">
        <f t="shared" si="1525"/>
        <v>0</v>
      </c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>
        <f t="shared" si="1526"/>
        <v>0</v>
      </c>
      <c r="AC217" s="82">
        <f t="shared" si="1527"/>
        <v>0</v>
      </c>
      <c r="AD217" s="82">
        <f t="shared" si="1528"/>
        <v>100</v>
      </c>
      <c r="AE217" s="82">
        <f t="shared" si="1529"/>
        <v>1887000</v>
      </c>
      <c r="AF217" s="82"/>
      <c r="AG217" s="82"/>
      <c r="AH217" s="82">
        <f t="shared" si="1530"/>
        <v>0</v>
      </c>
      <c r="AI217" s="82">
        <f t="shared" si="1531"/>
        <v>0</v>
      </c>
      <c r="AJ217" s="82"/>
      <c r="AK217" s="82"/>
      <c r="AL217" s="82"/>
      <c r="AM217" s="82"/>
      <c r="AN217" s="82">
        <f t="shared" si="1532"/>
        <v>0</v>
      </c>
      <c r="AO217" s="82">
        <f t="shared" si="1533"/>
        <v>0</v>
      </c>
      <c r="AP217" s="82">
        <f t="shared" si="1534"/>
        <v>100</v>
      </c>
      <c r="AQ217" s="82">
        <f t="shared" si="1535"/>
        <v>1887000</v>
      </c>
      <c r="AR217" s="82"/>
      <c r="AS217" s="82"/>
      <c r="AT217" s="82"/>
      <c r="AU217" s="82">
        <f t="shared" si="1536"/>
        <v>0</v>
      </c>
      <c r="AV217" s="82">
        <f t="shared" si="1537"/>
        <v>0</v>
      </c>
      <c r="AW217" s="82"/>
      <c r="AX217" s="82"/>
      <c r="AY217" s="82"/>
      <c r="AZ217" s="82"/>
      <c r="BA217" s="82">
        <f t="shared" si="1538"/>
        <v>0</v>
      </c>
      <c r="BB217" s="82">
        <f t="shared" si="1539"/>
        <v>0</v>
      </c>
      <c r="BC217" s="82">
        <f t="shared" si="1540"/>
        <v>100</v>
      </c>
      <c r="BD217" s="82">
        <f t="shared" si="1541"/>
        <v>1887000</v>
      </c>
      <c r="BE217" s="82">
        <f t="shared" si="1542"/>
        <v>0</v>
      </c>
      <c r="BF217" s="82">
        <f t="shared" si="1543"/>
        <v>0</v>
      </c>
      <c r="BG217" s="82">
        <f t="shared" si="1544"/>
        <v>100</v>
      </c>
      <c r="BH217" s="82">
        <f t="shared" si="1545"/>
        <v>1887000</v>
      </c>
      <c r="BI217" s="82"/>
      <c r="BJ217" s="83"/>
      <c r="BK217" s="82">
        <f t="shared" si="1546"/>
        <v>0</v>
      </c>
      <c r="BL217" s="82">
        <f t="shared" si="1547"/>
        <v>0</v>
      </c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>
        <f t="shared" si="1548"/>
        <v>0</v>
      </c>
      <c r="BX217" s="82">
        <f t="shared" si="1549"/>
        <v>0</v>
      </c>
      <c r="BY217" s="82">
        <f t="shared" si="1550"/>
        <v>100</v>
      </c>
      <c r="BZ217" s="82">
        <f t="shared" si="1551"/>
        <v>1887000</v>
      </c>
      <c r="CA217" s="82"/>
      <c r="CB217" s="82"/>
      <c r="CC217" s="82">
        <f t="shared" si="1552"/>
        <v>0</v>
      </c>
      <c r="CD217" s="82">
        <f t="shared" si="1553"/>
        <v>0</v>
      </c>
      <c r="CE217" s="82"/>
      <c r="CF217" s="82"/>
      <c r="CG217" s="82"/>
      <c r="CH217" s="82"/>
      <c r="CI217" s="82">
        <f t="shared" si="1554"/>
        <v>0</v>
      </c>
      <c r="CJ217" s="82">
        <f t="shared" si="1555"/>
        <v>0</v>
      </c>
      <c r="CK217" s="82">
        <f t="shared" si="1556"/>
        <v>100</v>
      </c>
      <c r="CL217" s="82">
        <f t="shared" si="1557"/>
        <v>1887000</v>
      </c>
      <c r="CM217" s="82"/>
      <c r="CN217" s="82"/>
      <c r="CO217" s="82">
        <f t="shared" si="1558"/>
        <v>0</v>
      </c>
      <c r="CP217" s="82">
        <f t="shared" si="1559"/>
        <v>0</v>
      </c>
      <c r="CQ217" s="82"/>
      <c r="CR217" s="82"/>
      <c r="CS217" s="82"/>
      <c r="CT217" s="82"/>
      <c r="CU217" s="82">
        <f t="shared" si="1560"/>
        <v>0</v>
      </c>
      <c r="CV217" s="82">
        <f t="shared" si="1561"/>
        <v>0</v>
      </c>
      <c r="CW217" s="82">
        <f t="shared" si="1562"/>
        <v>100</v>
      </c>
      <c r="CX217" s="82">
        <f t="shared" si="1563"/>
        <v>1887000</v>
      </c>
      <c r="CY217" s="82">
        <f t="shared" si="1564"/>
        <v>0</v>
      </c>
      <c r="CZ217" s="82">
        <f t="shared" si="1565"/>
        <v>0</v>
      </c>
      <c r="DA217" s="82">
        <f t="shared" si="1566"/>
        <v>100</v>
      </c>
      <c r="DB217" s="82">
        <f t="shared" si="1567"/>
        <v>1887000</v>
      </c>
      <c r="DC217" s="91"/>
      <c r="DD217" s="82"/>
      <c r="DE217" s="82"/>
      <c r="DF217" s="82">
        <f t="shared" si="1568"/>
        <v>0</v>
      </c>
      <c r="DG217" s="82">
        <f t="shared" si="1569"/>
        <v>0</v>
      </c>
      <c r="DH217" s="82"/>
      <c r="DI217" s="82">
        <f t="shared" si="1570"/>
        <v>0</v>
      </c>
      <c r="DJ217" s="82">
        <f t="shared" si="1571"/>
        <v>0</v>
      </c>
      <c r="DK217" s="82"/>
      <c r="DL217" s="82">
        <f t="shared" si="1572"/>
        <v>0</v>
      </c>
      <c r="DM217" s="82">
        <f t="shared" si="1573"/>
        <v>0</v>
      </c>
      <c r="DN217" s="82">
        <f t="shared" si="1574"/>
        <v>100</v>
      </c>
      <c r="DO217" s="82">
        <f t="shared" si="1575"/>
        <v>1887000</v>
      </c>
      <c r="DP217" s="82"/>
      <c r="DQ217" s="82"/>
      <c r="DR217" s="82">
        <f t="shared" si="1576"/>
        <v>0</v>
      </c>
      <c r="DS217" s="82">
        <f t="shared" si="1577"/>
        <v>0</v>
      </c>
      <c r="DT217" s="82"/>
      <c r="DU217" s="82"/>
      <c r="DV217" s="82"/>
      <c r="DW217" s="82"/>
      <c r="DX217" s="82">
        <f t="shared" si="1578"/>
        <v>0</v>
      </c>
      <c r="DY217" s="82">
        <f t="shared" si="1579"/>
        <v>0</v>
      </c>
      <c r="DZ217" s="82">
        <f t="shared" si="1580"/>
        <v>100</v>
      </c>
      <c r="EA217" s="82">
        <f t="shared" si="1581"/>
        <v>1887000</v>
      </c>
      <c r="EB217" s="82"/>
      <c r="EC217" s="82"/>
      <c r="ED217" s="82">
        <f t="shared" si="1582"/>
        <v>0</v>
      </c>
      <c r="EE217" s="82">
        <f t="shared" si="1583"/>
        <v>0</v>
      </c>
      <c r="EF217" s="82"/>
      <c r="EG217" s="82"/>
      <c r="EH217" s="82"/>
      <c r="EI217" s="82"/>
      <c r="EJ217" s="82">
        <f t="shared" si="1584"/>
        <v>0</v>
      </c>
      <c r="EK217" s="82">
        <f t="shared" si="1585"/>
        <v>0</v>
      </c>
      <c r="EL217" s="82">
        <f t="shared" si="1586"/>
        <v>100</v>
      </c>
      <c r="EM217" s="82">
        <f t="shared" si="1587"/>
        <v>1887000</v>
      </c>
      <c r="EN217" s="82">
        <f t="shared" si="1588"/>
        <v>0</v>
      </c>
      <c r="EO217" s="82">
        <f t="shared" si="1589"/>
        <v>0</v>
      </c>
      <c r="EP217" s="82">
        <f t="shared" si="1590"/>
        <v>100</v>
      </c>
      <c r="EQ217" s="82">
        <f t="shared" si="1591"/>
        <v>1887000</v>
      </c>
      <c r="ER217" s="82"/>
      <c r="ES217" s="82"/>
      <c r="ET217" s="82">
        <f t="shared" si="1592"/>
        <v>0</v>
      </c>
      <c r="EU217" s="82">
        <f t="shared" si="1593"/>
        <v>0</v>
      </c>
      <c r="EV217" s="82"/>
      <c r="EW217" s="82"/>
      <c r="EX217" s="82"/>
      <c r="EY217" s="82"/>
      <c r="EZ217" s="82">
        <f t="shared" si="1594"/>
        <v>0</v>
      </c>
      <c r="FA217" s="82">
        <f t="shared" si="1595"/>
        <v>0</v>
      </c>
      <c r="FB217" s="82">
        <f t="shared" si="1596"/>
        <v>100</v>
      </c>
      <c r="FC217" s="82">
        <f t="shared" si="1597"/>
        <v>1887000</v>
      </c>
      <c r="FD217" s="82"/>
      <c r="FE217" s="82"/>
      <c r="FF217" s="82">
        <f t="shared" si="1598"/>
        <v>0</v>
      </c>
      <c r="FG217" s="82">
        <f t="shared" si="1599"/>
        <v>0</v>
      </c>
      <c r="FH217" s="82"/>
      <c r="FI217" s="82"/>
      <c r="FJ217" s="82"/>
      <c r="FK217" s="82"/>
      <c r="FL217" s="82">
        <f t="shared" si="1600"/>
        <v>0</v>
      </c>
      <c r="FM217" s="82">
        <f t="shared" si="1601"/>
        <v>0</v>
      </c>
      <c r="FN217" s="82">
        <f t="shared" si="1602"/>
        <v>100</v>
      </c>
      <c r="FO217" s="82">
        <f t="shared" si="1603"/>
        <v>1887000</v>
      </c>
      <c r="FP217" s="82"/>
      <c r="FQ217" s="82"/>
      <c r="FR217" s="82">
        <f t="shared" si="1604"/>
        <v>0</v>
      </c>
      <c r="FS217" s="82">
        <f t="shared" si="1605"/>
        <v>0</v>
      </c>
      <c r="FT217" s="82"/>
      <c r="FU217" s="82"/>
      <c r="FV217" s="82"/>
      <c r="FW217" s="82"/>
      <c r="FX217" s="82">
        <f t="shared" si="1606"/>
        <v>0</v>
      </c>
      <c r="FY217" s="82">
        <f t="shared" si="1607"/>
        <v>0</v>
      </c>
      <c r="FZ217" s="82">
        <f t="shared" si="1608"/>
        <v>100</v>
      </c>
      <c r="GA217" s="82">
        <f t="shared" si="1609"/>
        <v>1887000</v>
      </c>
      <c r="GB217" s="82">
        <f t="shared" si="1610"/>
        <v>0</v>
      </c>
      <c r="GC217" s="82">
        <f t="shared" si="1611"/>
        <v>0</v>
      </c>
      <c r="GD217" s="82">
        <f t="shared" si="1612"/>
        <v>100</v>
      </c>
      <c r="GE217" s="82">
        <f t="shared" si="1613"/>
        <v>1887000</v>
      </c>
      <c r="GF217" s="85"/>
    </row>
    <row r="218" ht="29.25" customHeight="1">
      <c r="A218" s="76">
        <v>37.0</v>
      </c>
      <c r="B218" s="77"/>
      <c r="C218" s="77" t="s">
        <v>256</v>
      </c>
      <c r="D218" s="99" t="s">
        <v>99</v>
      </c>
      <c r="E218" s="79">
        <v>13420.0</v>
      </c>
      <c r="F218" s="61"/>
      <c r="G218" s="81">
        <v>45.0</v>
      </c>
      <c r="H218" s="82">
        <v>603900.0</v>
      </c>
      <c r="I218" s="82"/>
      <c r="J218" s="82"/>
      <c r="K218" s="82">
        <f t="shared" si="1524"/>
        <v>0</v>
      </c>
      <c r="L218" s="82">
        <f t="shared" si="1525"/>
        <v>0</v>
      </c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>
        <f t="shared" si="1526"/>
        <v>0</v>
      </c>
      <c r="AC218" s="82">
        <f t="shared" si="1527"/>
        <v>0</v>
      </c>
      <c r="AD218" s="82">
        <f t="shared" si="1528"/>
        <v>45</v>
      </c>
      <c r="AE218" s="82">
        <f t="shared" si="1529"/>
        <v>603900</v>
      </c>
      <c r="AF218" s="82"/>
      <c r="AG218" s="82"/>
      <c r="AH218" s="82">
        <f t="shared" si="1530"/>
        <v>0</v>
      </c>
      <c r="AI218" s="82">
        <f t="shared" si="1531"/>
        <v>0</v>
      </c>
      <c r="AJ218" s="82"/>
      <c r="AK218" s="82"/>
      <c r="AL218" s="82"/>
      <c r="AM218" s="82"/>
      <c r="AN218" s="82">
        <f t="shared" si="1532"/>
        <v>0</v>
      </c>
      <c r="AO218" s="82">
        <f t="shared" si="1533"/>
        <v>0</v>
      </c>
      <c r="AP218" s="82">
        <f t="shared" si="1534"/>
        <v>45</v>
      </c>
      <c r="AQ218" s="82">
        <f t="shared" si="1535"/>
        <v>603900</v>
      </c>
      <c r="AR218" s="82"/>
      <c r="AS218" s="82"/>
      <c r="AT218" s="82"/>
      <c r="AU218" s="82">
        <f t="shared" si="1536"/>
        <v>0</v>
      </c>
      <c r="AV218" s="82">
        <f t="shared" si="1537"/>
        <v>0</v>
      </c>
      <c r="AW218" s="82"/>
      <c r="AX218" s="82"/>
      <c r="AY218" s="82"/>
      <c r="AZ218" s="82"/>
      <c r="BA218" s="82">
        <f t="shared" si="1538"/>
        <v>0</v>
      </c>
      <c r="BB218" s="82">
        <f t="shared" si="1539"/>
        <v>0</v>
      </c>
      <c r="BC218" s="82">
        <f t="shared" si="1540"/>
        <v>45</v>
      </c>
      <c r="BD218" s="82">
        <f t="shared" si="1541"/>
        <v>603900</v>
      </c>
      <c r="BE218" s="82">
        <f t="shared" si="1542"/>
        <v>0</v>
      </c>
      <c r="BF218" s="82">
        <f t="shared" si="1543"/>
        <v>0</v>
      </c>
      <c r="BG218" s="82">
        <f t="shared" si="1544"/>
        <v>45</v>
      </c>
      <c r="BH218" s="82">
        <f t="shared" si="1545"/>
        <v>603900</v>
      </c>
      <c r="BI218" s="82"/>
      <c r="BJ218" s="83"/>
      <c r="BK218" s="82">
        <f t="shared" si="1546"/>
        <v>0</v>
      </c>
      <c r="BL218" s="82">
        <f t="shared" si="1547"/>
        <v>0</v>
      </c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>
        <f t="shared" si="1548"/>
        <v>0</v>
      </c>
      <c r="BX218" s="82">
        <f t="shared" si="1549"/>
        <v>0</v>
      </c>
      <c r="BY218" s="82">
        <f t="shared" si="1550"/>
        <v>45</v>
      </c>
      <c r="BZ218" s="82">
        <f t="shared" si="1551"/>
        <v>603900</v>
      </c>
      <c r="CA218" s="82"/>
      <c r="CB218" s="82"/>
      <c r="CC218" s="82">
        <f t="shared" si="1552"/>
        <v>0</v>
      </c>
      <c r="CD218" s="82">
        <f t="shared" si="1553"/>
        <v>0</v>
      </c>
      <c r="CE218" s="82"/>
      <c r="CF218" s="82"/>
      <c r="CG218" s="82"/>
      <c r="CH218" s="82"/>
      <c r="CI218" s="82">
        <f t="shared" si="1554"/>
        <v>0</v>
      </c>
      <c r="CJ218" s="82">
        <f t="shared" si="1555"/>
        <v>0</v>
      </c>
      <c r="CK218" s="82">
        <f t="shared" si="1556"/>
        <v>45</v>
      </c>
      <c r="CL218" s="82">
        <f t="shared" si="1557"/>
        <v>603900</v>
      </c>
      <c r="CM218" s="82"/>
      <c r="CN218" s="82"/>
      <c r="CO218" s="82">
        <f t="shared" si="1558"/>
        <v>0</v>
      </c>
      <c r="CP218" s="82">
        <f t="shared" si="1559"/>
        <v>0</v>
      </c>
      <c r="CQ218" s="82"/>
      <c r="CR218" s="82"/>
      <c r="CS218" s="82"/>
      <c r="CT218" s="82"/>
      <c r="CU218" s="82">
        <f t="shared" si="1560"/>
        <v>0</v>
      </c>
      <c r="CV218" s="82">
        <f t="shared" si="1561"/>
        <v>0</v>
      </c>
      <c r="CW218" s="82">
        <f t="shared" si="1562"/>
        <v>45</v>
      </c>
      <c r="CX218" s="82">
        <f t="shared" si="1563"/>
        <v>603900</v>
      </c>
      <c r="CY218" s="82">
        <f t="shared" si="1564"/>
        <v>0</v>
      </c>
      <c r="CZ218" s="82">
        <f t="shared" si="1565"/>
        <v>0</v>
      </c>
      <c r="DA218" s="82">
        <f t="shared" si="1566"/>
        <v>45</v>
      </c>
      <c r="DB218" s="82">
        <f t="shared" si="1567"/>
        <v>603900</v>
      </c>
      <c r="DC218" s="91"/>
      <c r="DD218" s="82"/>
      <c r="DE218" s="82"/>
      <c r="DF218" s="82">
        <f t="shared" si="1568"/>
        <v>0</v>
      </c>
      <c r="DG218" s="82">
        <f t="shared" si="1569"/>
        <v>0</v>
      </c>
      <c r="DH218" s="82"/>
      <c r="DI218" s="82">
        <f t="shared" si="1570"/>
        <v>0</v>
      </c>
      <c r="DJ218" s="82">
        <f t="shared" si="1571"/>
        <v>0</v>
      </c>
      <c r="DK218" s="82"/>
      <c r="DL218" s="82">
        <f t="shared" si="1572"/>
        <v>0</v>
      </c>
      <c r="DM218" s="82">
        <f t="shared" si="1573"/>
        <v>0</v>
      </c>
      <c r="DN218" s="82">
        <f t="shared" si="1574"/>
        <v>45</v>
      </c>
      <c r="DO218" s="82">
        <f t="shared" si="1575"/>
        <v>603900</v>
      </c>
      <c r="DP218" s="82"/>
      <c r="DQ218" s="82"/>
      <c r="DR218" s="82">
        <f t="shared" si="1576"/>
        <v>0</v>
      </c>
      <c r="DS218" s="82">
        <f t="shared" si="1577"/>
        <v>0</v>
      </c>
      <c r="DT218" s="82"/>
      <c r="DU218" s="82"/>
      <c r="DV218" s="82"/>
      <c r="DW218" s="82"/>
      <c r="DX218" s="82">
        <f t="shared" si="1578"/>
        <v>0</v>
      </c>
      <c r="DY218" s="82">
        <f t="shared" si="1579"/>
        <v>0</v>
      </c>
      <c r="DZ218" s="82">
        <f t="shared" si="1580"/>
        <v>45</v>
      </c>
      <c r="EA218" s="82">
        <f t="shared" si="1581"/>
        <v>603900</v>
      </c>
      <c r="EB218" s="82"/>
      <c r="EC218" s="82"/>
      <c r="ED218" s="82">
        <f t="shared" si="1582"/>
        <v>0</v>
      </c>
      <c r="EE218" s="82">
        <f t="shared" si="1583"/>
        <v>0</v>
      </c>
      <c r="EF218" s="82"/>
      <c r="EG218" s="82"/>
      <c r="EH218" s="82"/>
      <c r="EI218" s="82"/>
      <c r="EJ218" s="82">
        <f t="shared" si="1584"/>
        <v>0</v>
      </c>
      <c r="EK218" s="82">
        <f t="shared" si="1585"/>
        <v>0</v>
      </c>
      <c r="EL218" s="82">
        <f t="shared" si="1586"/>
        <v>45</v>
      </c>
      <c r="EM218" s="82">
        <f t="shared" si="1587"/>
        <v>603900</v>
      </c>
      <c r="EN218" s="82">
        <f t="shared" si="1588"/>
        <v>0</v>
      </c>
      <c r="EO218" s="82">
        <f t="shared" si="1589"/>
        <v>0</v>
      </c>
      <c r="EP218" s="82">
        <f t="shared" si="1590"/>
        <v>45</v>
      </c>
      <c r="EQ218" s="82">
        <f t="shared" si="1591"/>
        <v>603900</v>
      </c>
      <c r="ER218" s="82"/>
      <c r="ES218" s="82"/>
      <c r="ET218" s="82">
        <f t="shared" si="1592"/>
        <v>0</v>
      </c>
      <c r="EU218" s="82">
        <f t="shared" si="1593"/>
        <v>0</v>
      </c>
      <c r="EV218" s="82"/>
      <c r="EW218" s="82"/>
      <c r="EX218" s="82"/>
      <c r="EY218" s="82"/>
      <c r="EZ218" s="82">
        <f t="shared" si="1594"/>
        <v>0</v>
      </c>
      <c r="FA218" s="82">
        <f t="shared" si="1595"/>
        <v>0</v>
      </c>
      <c r="FB218" s="82">
        <f t="shared" si="1596"/>
        <v>45</v>
      </c>
      <c r="FC218" s="82">
        <f t="shared" si="1597"/>
        <v>603900</v>
      </c>
      <c r="FD218" s="82"/>
      <c r="FE218" s="82"/>
      <c r="FF218" s="82">
        <f t="shared" si="1598"/>
        <v>0</v>
      </c>
      <c r="FG218" s="82">
        <f t="shared" si="1599"/>
        <v>0</v>
      </c>
      <c r="FH218" s="82"/>
      <c r="FI218" s="82"/>
      <c r="FJ218" s="82"/>
      <c r="FK218" s="82"/>
      <c r="FL218" s="82">
        <f t="shared" si="1600"/>
        <v>0</v>
      </c>
      <c r="FM218" s="82">
        <f t="shared" si="1601"/>
        <v>0</v>
      </c>
      <c r="FN218" s="82">
        <f t="shared" si="1602"/>
        <v>45</v>
      </c>
      <c r="FO218" s="82">
        <f t="shared" si="1603"/>
        <v>603900</v>
      </c>
      <c r="FP218" s="82"/>
      <c r="FQ218" s="82"/>
      <c r="FR218" s="82">
        <f t="shared" si="1604"/>
        <v>0</v>
      </c>
      <c r="FS218" s="82">
        <f t="shared" si="1605"/>
        <v>0</v>
      </c>
      <c r="FT218" s="82"/>
      <c r="FU218" s="82"/>
      <c r="FV218" s="82"/>
      <c r="FW218" s="82"/>
      <c r="FX218" s="82">
        <f t="shared" si="1606"/>
        <v>0</v>
      </c>
      <c r="FY218" s="82">
        <f t="shared" si="1607"/>
        <v>0</v>
      </c>
      <c r="FZ218" s="82">
        <f t="shared" si="1608"/>
        <v>45</v>
      </c>
      <c r="GA218" s="82">
        <f t="shared" si="1609"/>
        <v>603900</v>
      </c>
      <c r="GB218" s="82">
        <f t="shared" si="1610"/>
        <v>0</v>
      </c>
      <c r="GC218" s="82">
        <f t="shared" si="1611"/>
        <v>0</v>
      </c>
      <c r="GD218" s="82">
        <f t="shared" si="1612"/>
        <v>45</v>
      </c>
      <c r="GE218" s="82">
        <f t="shared" si="1613"/>
        <v>603900</v>
      </c>
      <c r="GF218" s="85"/>
    </row>
    <row r="219" ht="29.25" customHeight="1">
      <c r="A219" s="50"/>
      <c r="B219" s="50"/>
      <c r="C219" s="50"/>
      <c r="D219" s="99" t="s">
        <v>99</v>
      </c>
      <c r="E219" s="79">
        <v>24420.0</v>
      </c>
      <c r="F219" s="61" t="s">
        <v>110</v>
      </c>
      <c r="G219" s="81">
        <v>50.0</v>
      </c>
      <c r="H219" s="82">
        <v>1221000.0</v>
      </c>
      <c r="I219" s="82"/>
      <c r="J219" s="82"/>
      <c r="K219" s="82">
        <f t="shared" si="1524"/>
        <v>0</v>
      </c>
      <c r="L219" s="82">
        <f t="shared" si="1525"/>
        <v>0</v>
      </c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>
        <f t="shared" si="1526"/>
        <v>0</v>
      </c>
      <c r="AC219" s="82">
        <f t="shared" si="1527"/>
        <v>0</v>
      </c>
      <c r="AD219" s="82">
        <f t="shared" si="1528"/>
        <v>50</v>
      </c>
      <c r="AE219" s="82">
        <f t="shared" si="1529"/>
        <v>1221000</v>
      </c>
      <c r="AF219" s="82"/>
      <c r="AG219" s="82"/>
      <c r="AH219" s="82">
        <f t="shared" si="1530"/>
        <v>0</v>
      </c>
      <c r="AI219" s="82">
        <f t="shared" si="1531"/>
        <v>0</v>
      </c>
      <c r="AJ219" s="82"/>
      <c r="AK219" s="82"/>
      <c r="AL219" s="82"/>
      <c r="AM219" s="82"/>
      <c r="AN219" s="82">
        <f t="shared" si="1532"/>
        <v>0</v>
      </c>
      <c r="AO219" s="82">
        <f t="shared" si="1533"/>
        <v>0</v>
      </c>
      <c r="AP219" s="82">
        <f t="shared" si="1534"/>
        <v>50</v>
      </c>
      <c r="AQ219" s="82">
        <f t="shared" si="1535"/>
        <v>1221000</v>
      </c>
      <c r="AR219" s="82"/>
      <c r="AS219" s="82"/>
      <c r="AT219" s="82"/>
      <c r="AU219" s="82">
        <f t="shared" si="1536"/>
        <v>0</v>
      </c>
      <c r="AV219" s="82">
        <f t="shared" si="1537"/>
        <v>0</v>
      </c>
      <c r="AW219" s="82"/>
      <c r="AX219" s="82"/>
      <c r="AY219" s="82"/>
      <c r="AZ219" s="82"/>
      <c r="BA219" s="82">
        <f t="shared" si="1538"/>
        <v>0</v>
      </c>
      <c r="BB219" s="82">
        <f t="shared" si="1539"/>
        <v>0</v>
      </c>
      <c r="BC219" s="82">
        <f t="shared" si="1540"/>
        <v>50</v>
      </c>
      <c r="BD219" s="82">
        <f t="shared" si="1541"/>
        <v>1221000</v>
      </c>
      <c r="BE219" s="82">
        <f t="shared" si="1542"/>
        <v>0</v>
      </c>
      <c r="BF219" s="82">
        <f t="shared" si="1543"/>
        <v>0</v>
      </c>
      <c r="BG219" s="82">
        <f t="shared" si="1544"/>
        <v>50</v>
      </c>
      <c r="BH219" s="82">
        <f t="shared" si="1545"/>
        <v>1221000</v>
      </c>
      <c r="BI219" s="82"/>
      <c r="BJ219" s="83"/>
      <c r="BK219" s="82">
        <f t="shared" si="1546"/>
        <v>0</v>
      </c>
      <c r="BL219" s="82">
        <f t="shared" si="1547"/>
        <v>0</v>
      </c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>
        <f t="shared" si="1548"/>
        <v>0</v>
      </c>
      <c r="BX219" s="82">
        <f t="shared" si="1549"/>
        <v>0</v>
      </c>
      <c r="BY219" s="82">
        <f t="shared" si="1550"/>
        <v>50</v>
      </c>
      <c r="BZ219" s="82">
        <f t="shared" si="1551"/>
        <v>1221000</v>
      </c>
      <c r="CA219" s="82"/>
      <c r="CB219" s="82"/>
      <c r="CC219" s="82">
        <f t="shared" si="1552"/>
        <v>0</v>
      </c>
      <c r="CD219" s="82">
        <f t="shared" si="1553"/>
        <v>0</v>
      </c>
      <c r="CE219" s="82"/>
      <c r="CF219" s="82"/>
      <c r="CG219" s="82"/>
      <c r="CH219" s="82"/>
      <c r="CI219" s="82">
        <f t="shared" si="1554"/>
        <v>0</v>
      </c>
      <c r="CJ219" s="82">
        <f t="shared" si="1555"/>
        <v>0</v>
      </c>
      <c r="CK219" s="82">
        <f t="shared" si="1556"/>
        <v>50</v>
      </c>
      <c r="CL219" s="82">
        <f t="shared" si="1557"/>
        <v>1221000</v>
      </c>
      <c r="CM219" s="82"/>
      <c r="CN219" s="82"/>
      <c r="CO219" s="82">
        <f t="shared" si="1558"/>
        <v>0</v>
      </c>
      <c r="CP219" s="82">
        <f t="shared" si="1559"/>
        <v>0</v>
      </c>
      <c r="CQ219" s="82"/>
      <c r="CR219" s="82"/>
      <c r="CS219" s="82"/>
      <c r="CT219" s="82"/>
      <c r="CU219" s="82">
        <f t="shared" si="1560"/>
        <v>0</v>
      </c>
      <c r="CV219" s="82">
        <f t="shared" si="1561"/>
        <v>0</v>
      </c>
      <c r="CW219" s="82">
        <f t="shared" si="1562"/>
        <v>50</v>
      </c>
      <c r="CX219" s="82">
        <f t="shared" si="1563"/>
        <v>1221000</v>
      </c>
      <c r="CY219" s="82">
        <f t="shared" si="1564"/>
        <v>0</v>
      </c>
      <c r="CZ219" s="82">
        <f t="shared" si="1565"/>
        <v>0</v>
      </c>
      <c r="DA219" s="82">
        <f t="shared" si="1566"/>
        <v>50</v>
      </c>
      <c r="DB219" s="82">
        <f t="shared" si="1567"/>
        <v>1221000</v>
      </c>
      <c r="DC219" s="91"/>
      <c r="DD219" s="82"/>
      <c r="DE219" s="82"/>
      <c r="DF219" s="82">
        <f t="shared" si="1568"/>
        <v>0</v>
      </c>
      <c r="DG219" s="82">
        <f t="shared" si="1569"/>
        <v>0</v>
      </c>
      <c r="DH219" s="82"/>
      <c r="DI219" s="82">
        <f t="shared" si="1570"/>
        <v>0</v>
      </c>
      <c r="DJ219" s="82">
        <f t="shared" si="1571"/>
        <v>0</v>
      </c>
      <c r="DK219" s="82"/>
      <c r="DL219" s="82">
        <f t="shared" si="1572"/>
        <v>0</v>
      </c>
      <c r="DM219" s="82">
        <f t="shared" si="1573"/>
        <v>0</v>
      </c>
      <c r="DN219" s="82">
        <f t="shared" si="1574"/>
        <v>50</v>
      </c>
      <c r="DO219" s="82">
        <f t="shared" si="1575"/>
        <v>1221000</v>
      </c>
      <c r="DP219" s="82"/>
      <c r="DQ219" s="82"/>
      <c r="DR219" s="82">
        <f t="shared" si="1576"/>
        <v>0</v>
      </c>
      <c r="DS219" s="82">
        <f t="shared" si="1577"/>
        <v>0</v>
      </c>
      <c r="DT219" s="82"/>
      <c r="DU219" s="82"/>
      <c r="DV219" s="82"/>
      <c r="DW219" s="82"/>
      <c r="DX219" s="82">
        <f t="shared" si="1578"/>
        <v>0</v>
      </c>
      <c r="DY219" s="82">
        <f t="shared" si="1579"/>
        <v>0</v>
      </c>
      <c r="DZ219" s="82">
        <f t="shared" si="1580"/>
        <v>50</v>
      </c>
      <c r="EA219" s="82">
        <f t="shared" si="1581"/>
        <v>1221000</v>
      </c>
      <c r="EB219" s="82"/>
      <c r="EC219" s="82"/>
      <c r="ED219" s="82">
        <f t="shared" si="1582"/>
        <v>0</v>
      </c>
      <c r="EE219" s="82">
        <f t="shared" si="1583"/>
        <v>0</v>
      </c>
      <c r="EF219" s="82"/>
      <c r="EG219" s="82"/>
      <c r="EH219" s="82"/>
      <c r="EI219" s="82"/>
      <c r="EJ219" s="82">
        <f t="shared" si="1584"/>
        <v>0</v>
      </c>
      <c r="EK219" s="82">
        <f t="shared" si="1585"/>
        <v>0</v>
      </c>
      <c r="EL219" s="82">
        <f t="shared" si="1586"/>
        <v>50</v>
      </c>
      <c r="EM219" s="82">
        <f t="shared" si="1587"/>
        <v>1221000</v>
      </c>
      <c r="EN219" s="82">
        <f t="shared" si="1588"/>
        <v>0</v>
      </c>
      <c r="EO219" s="82">
        <f t="shared" si="1589"/>
        <v>0</v>
      </c>
      <c r="EP219" s="82">
        <f t="shared" si="1590"/>
        <v>50</v>
      </c>
      <c r="EQ219" s="82">
        <f t="shared" si="1591"/>
        <v>1221000</v>
      </c>
      <c r="ER219" s="82"/>
      <c r="ES219" s="82"/>
      <c r="ET219" s="82">
        <f t="shared" si="1592"/>
        <v>0</v>
      </c>
      <c r="EU219" s="82">
        <f t="shared" si="1593"/>
        <v>0</v>
      </c>
      <c r="EV219" s="82"/>
      <c r="EW219" s="82"/>
      <c r="EX219" s="82"/>
      <c r="EY219" s="82"/>
      <c r="EZ219" s="82">
        <f t="shared" si="1594"/>
        <v>0</v>
      </c>
      <c r="FA219" s="82">
        <f t="shared" si="1595"/>
        <v>0</v>
      </c>
      <c r="FB219" s="82">
        <f t="shared" si="1596"/>
        <v>50</v>
      </c>
      <c r="FC219" s="82">
        <f t="shared" si="1597"/>
        <v>1221000</v>
      </c>
      <c r="FD219" s="82"/>
      <c r="FE219" s="82"/>
      <c r="FF219" s="82">
        <f t="shared" si="1598"/>
        <v>0</v>
      </c>
      <c r="FG219" s="82">
        <f t="shared" si="1599"/>
        <v>0</v>
      </c>
      <c r="FH219" s="82"/>
      <c r="FI219" s="82"/>
      <c r="FJ219" s="82"/>
      <c r="FK219" s="82"/>
      <c r="FL219" s="82">
        <f t="shared" si="1600"/>
        <v>0</v>
      </c>
      <c r="FM219" s="82">
        <f t="shared" si="1601"/>
        <v>0</v>
      </c>
      <c r="FN219" s="82">
        <f t="shared" si="1602"/>
        <v>50</v>
      </c>
      <c r="FO219" s="82">
        <f t="shared" si="1603"/>
        <v>1221000</v>
      </c>
      <c r="FP219" s="82"/>
      <c r="FQ219" s="82"/>
      <c r="FR219" s="82">
        <f t="shared" si="1604"/>
        <v>0</v>
      </c>
      <c r="FS219" s="82">
        <f t="shared" si="1605"/>
        <v>0</v>
      </c>
      <c r="FT219" s="82"/>
      <c r="FU219" s="82"/>
      <c r="FV219" s="82"/>
      <c r="FW219" s="82"/>
      <c r="FX219" s="82">
        <f t="shared" si="1606"/>
        <v>0</v>
      </c>
      <c r="FY219" s="82">
        <f t="shared" si="1607"/>
        <v>0</v>
      </c>
      <c r="FZ219" s="82">
        <f t="shared" si="1608"/>
        <v>50</v>
      </c>
      <c r="GA219" s="82">
        <f t="shared" si="1609"/>
        <v>1221000</v>
      </c>
      <c r="GB219" s="82">
        <f t="shared" si="1610"/>
        <v>0</v>
      </c>
      <c r="GC219" s="82">
        <f t="shared" si="1611"/>
        <v>0</v>
      </c>
      <c r="GD219" s="82">
        <f t="shared" si="1612"/>
        <v>50</v>
      </c>
      <c r="GE219" s="82">
        <f t="shared" si="1613"/>
        <v>1221000</v>
      </c>
      <c r="GF219" s="85"/>
    </row>
    <row r="220" ht="29.25" customHeight="1">
      <c r="A220" s="96">
        <v>38.0</v>
      </c>
      <c r="B220" s="58"/>
      <c r="C220" s="58" t="s">
        <v>257</v>
      </c>
      <c r="D220" s="78" t="s">
        <v>99</v>
      </c>
      <c r="E220" s="79">
        <v>13420.0</v>
      </c>
      <c r="F220" s="61"/>
      <c r="G220" s="81">
        <v>99.0</v>
      </c>
      <c r="H220" s="82">
        <v>1328580.0</v>
      </c>
      <c r="I220" s="82"/>
      <c r="J220" s="82"/>
      <c r="K220" s="82">
        <f t="shared" si="1524"/>
        <v>0</v>
      </c>
      <c r="L220" s="82">
        <f t="shared" si="1525"/>
        <v>0</v>
      </c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>
        <f t="shared" si="1526"/>
        <v>0</v>
      </c>
      <c r="AC220" s="82">
        <f t="shared" si="1527"/>
        <v>0</v>
      </c>
      <c r="AD220" s="82">
        <f t="shared" si="1528"/>
        <v>99</v>
      </c>
      <c r="AE220" s="82">
        <f t="shared" si="1529"/>
        <v>1328580</v>
      </c>
      <c r="AF220" s="82"/>
      <c r="AG220" s="82"/>
      <c r="AH220" s="82">
        <f t="shared" si="1530"/>
        <v>0</v>
      </c>
      <c r="AI220" s="82">
        <f t="shared" si="1531"/>
        <v>0</v>
      </c>
      <c r="AJ220" s="82"/>
      <c r="AK220" s="82"/>
      <c r="AL220" s="82"/>
      <c r="AM220" s="82"/>
      <c r="AN220" s="82">
        <f t="shared" si="1532"/>
        <v>0</v>
      </c>
      <c r="AO220" s="82">
        <f t="shared" si="1533"/>
        <v>0</v>
      </c>
      <c r="AP220" s="82">
        <f t="shared" si="1534"/>
        <v>99</v>
      </c>
      <c r="AQ220" s="82">
        <f t="shared" si="1535"/>
        <v>1328580</v>
      </c>
      <c r="AR220" s="82"/>
      <c r="AS220" s="82"/>
      <c r="AT220" s="82"/>
      <c r="AU220" s="82">
        <f t="shared" si="1536"/>
        <v>0</v>
      </c>
      <c r="AV220" s="82">
        <f t="shared" si="1537"/>
        <v>0</v>
      </c>
      <c r="AW220" s="82"/>
      <c r="AX220" s="82"/>
      <c r="AY220" s="82"/>
      <c r="AZ220" s="82"/>
      <c r="BA220" s="82">
        <f t="shared" si="1538"/>
        <v>0</v>
      </c>
      <c r="BB220" s="82">
        <f t="shared" si="1539"/>
        <v>0</v>
      </c>
      <c r="BC220" s="82">
        <f t="shared" si="1540"/>
        <v>99</v>
      </c>
      <c r="BD220" s="82">
        <f t="shared" si="1541"/>
        <v>1328580</v>
      </c>
      <c r="BE220" s="82">
        <f t="shared" si="1542"/>
        <v>0</v>
      </c>
      <c r="BF220" s="82">
        <f t="shared" si="1543"/>
        <v>0</v>
      </c>
      <c r="BG220" s="82">
        <f t="shared" si="1544"/>
        <v>99</v>
      </c>
      <c r="BH220" s="82">
        <f t="shared" si="1545"/>
        <v>1328580</v>
      </c>
      <c r="BI220" s="82"/>
      <c r="BJ220" s="83"/>
      <c r="BK220" s="82">
        <f t="shared" si="1546"/>
        <v>0</v>
      </c>
      <c r="BL220" s="82">
        <f t="shared" si="1547"/>
        <v>0</v>
      </c>
      <c r="BM220" s="82"/>
      <c r="BN220" s="82"/>
      <c r="BO220" s="82"/>
      <c r="BP220" s="82"/>
      <c r="BQ220" s="82"/>
      <c r="BR220" s="82"/>
      <c r="BS220" s="82"/>
      <c r="BT220" s="82"/>
      <c r="BU220" s="82"/>
      <c r="BV220" s="82"/>
      <c r="BW220" s="82">
        <f t="shared" si="1548"/>
        <v>0</v>
      </c>
      <c r="BX220" s="82">
        <f t="shared" si="1549"/>
        <v>0</v>
      </c>
      <c r="BY220" s="82">
        <f t="shared" si="1550"/>
        <v>99</v>
      </c>
      <c r="BZ220" s="82">
        <f t="shared" si="1551"/>
        <v>1328580</v>
      </c>
      <c r="CA220" s="82"/>
      <c r="CB220" s="82"/>
      <c r="CC220" s="82">
        <f t="shared" si="1552"/>
        <v>0</v>
      </c>
      <c r="CD220" s="82">
        <f t="shared" si="1553"/>
        <v>0</v>
      </c>
      <c r="CE220" s="82"/>
      <c r="CF220" s="82"/>
      <c r="CG220" s="82"/>
      <c r="CH220" s="82"/>
      <c r="CI220" s="82">
        <f t="shared" si="1554"/>
        <v>0</v>
      </c>
      <c r="CJ220" s="82">
        <f t="shared" si="1555"/>
        <v>0</v>
      </c>
      <c r="CK220" s="82">
        <f t="shared" si="1556"/>
        <v>99</v>
      </c>
      <c r="CL220" s="82">
        <f t="shared" si="1557"/>
        <v>1328580</v>
      </c>
      <c r="CM220" s="82"/>
      <c r="CN220" s="82"/>
      <c r="CO220" s="82">
        <f t="shared" si="1558"/>
        <v>0</v>
      </c>
      <c r="CP220" s="82">
        <f t="shared" si="1559"/>
        <v>0</v>
      </c>
      <c r="CQ220" s="82"/>
      <c r="CR220" s="82"/>
      <c r="CS220" s="82"/>
      <c r="CT220" s="82"/>
      <c r="CU220" s="82">
        <f t="shared" si="1560"/>
        <v>0</v>
      </c>
      <c r="CV220" s="82">
        <f t="shared" si="1561"/>
        <v>0</v>
      </c>
      <c r="CW220" s="82">
        <f t="shared" si="1562"/>
        <v>99</v>
      </c>
      <c r="CX220" s="82">
        <f t="shared" si="1563"/>
        <v>1328580</v>
      </c>
      <c r="CY220" s="82">
        <f t="shared" si="1564"/>
        <v>0</v>
      </c>
      <c r="CZ220" s="82">
        <f t="shared" si="1565"/>
        <v>0</v>
      </c>
      <c r="DA220" s="82">
        <f t="shared" si="1566"/>
        <v>99</v>
      </c>
      <c r="DB220" s="82">
        <f t="shared" si="1567"/>
        <v>1328580</v>
      </c>
      <c r="DC220" s="91"/>
      <c r="DD220" s="82"/>
      <c r="DE220" s="82"/>
      <c r="DF220" s="82">
        <f t="shared" si="1568"/>
        <v>0</v>
      </c>
      <c r="DG220" s="82">
        <f t="shared" si="1569"/>
        <v>0</v>
      </c>
      <c r="DH220" s="82"/>
      <c r="DI220" s="82">
        <f t="shared" si="1570"/>
        <v>0</v>
      </c>
      <c r="DJ220" s="82">
        <f t="shared" si="1571"/>
        <v>0</v>
      </c>
      <c r="DK220" s="82"/>
      <c r="DL220" s="82">
        <f t="shared" si="1572"/>
        <v>0</v>
      </c>
      <c r="DM220" s="82">
        <f t="shared" si="1573"/>
        <v>0</v>
      </c>
      <c r="DN220" s="82">
        <f t="shared" si="1574"/>
        <v>99</v>
      </c>
      <c r="DO220" s="82">
        <f t="shared" si="1575"/>
        <v>1328580</v>
      </c>
      <c r="DP220" s="82"/>
      <c r="DQ220" s="82"/>
      <c r="DR220" s="82">
        <f t="shared" si="1576"/>
        <v>0</v>
      </c>
      <c r="DS220" s="82">
        <f t="shared" si="1577"/>
        <v>0</v>
      </c>
      <c r="DT220" s="82"/>
      <c r="DU220" s="82"/>
      <c r="DV220" s="82"/>
      <c r="DW220" s="82"/>
      <c r="DX220" s="82">
        <f t="shared" si="1578"/>
        <v>0</v>
      </c>
      <c r="DY220" s="82">
        <f t="shared" si="1579"/>
        <v>0</v>
      </c>
      <c r="DZ220" s="82">
        <f t="shared" si="1580"/>
        <v>99</v>
      </c>
      <c r="EA220" s="82">
        <f t="shared" si="1581"/>
        <v>1328580</v>
      </c>
      <c r="EB220" s="82"/>
      <c r="EC220" s="82"/>
      <c r="ED220" s="82">
        <f t="shared" si="1582"/>
        <v>0</v>
      </c>
      <c r="EE220" s="82">
        <f t="shared" si="1583"/>
        <v>0</v>
      </c>
      <c r="EF220" s="82"/>
      <c r="EG220" s="82"/>
      <c r="EH220" s="82"/>
      <c r="EI220" s="82"/>
      <c r="EJ220" s="82">
        <f t="shared" si="1584"/>
        <v>0</v>
      </c>
      <c r="EK220" s="82">
        <f t="shared" si="1585"/>
        <v>0</v>
      </c>
      <c r="EL220" s="82">
        <f t="shared" si="1586"/>
        <v>99</v>
      </c>
      <c r="EM220" s="82">
        <f t="shared" si="1587"/>
        <v>1328580</v>
      </c>
      <c r="EN220" s="82">
        <f t="shared" si="1588"/>
        <v>0</v>
      </c>
      <c r="EO220" s="82">
        <f t="shared" si="1589"/>
        <v>0</v>
      </c>
      <c r="EP220" s="82">
        <f t="shared" si="1590"/>
        <v>99</v>
      </c>
      <c r="EQ220" s="82">
        <f t="shared" si="1591"/>
        <v>1328580</v>
      </c>
      <c r="ER220" s="82"/>
      <c r="ES220" s="82"/>
      <c r="ET220" s="82">
        <f t="shared" si="1592"/>
        <v>0</v>
      </c>
      <c r="EU220" s="82">
        <f t="shared" si="1593"/>
        <v>0</v>
      </c>
      <c r="EV220" s="82"/>
      <c r="EW220" s="82"/>
      <c r="EX220" s="82"/>
      <c r="EY220" s="82"/>
      <c r="EZ220" s="82">
        <f t="shared" si="1594"/>
        <v>0</v>
      </c>
      <c r="FA220" s="82">
        <f t="shared" si="1595"/>
        <v>0</v>
      </c>
      <c r="FB220" s="82">
        <f t="shared" si="1596"/>
        <v>99</v>
      </c>
      <c r="FC220" s="82">
        <f t="shared" si="1597"/>
        <v>1328580</v>
      </c>
      <c r="FD220" s="82"/>
      <c r="FE220" s="82"/>
      <c r="FF220" s="82">
        <f t="shared" si="1598"/>
        <v>0</v>
      </c>
      <c r="FG220" s="82">
        <f t="shared" si="1599"/>
        <v>0</v>
      </c>
      <c r="FH220" s="82"/>
      <c r="FI220" s="82"/>
      <c r="FJ220" s="82"/>
      <c r="FK220" s="82"/>
      <c r="FL220" s="82">
        <f t="shared" si="1600"/>
        <v>0</v>
      </c>
      <c r="FM220" s="82">
        <f t="shared" si="1601"/>
        <v>0</v>
      </c>
      <c r="FN220" s="82">
        <f t="shared" si="1602"/>
        <v>99</v>
      </c>
      <c r="FO220" s="82">
        <f t="shared" si="1603"/>
        <v>1328580</v>
      </c>
      <c r="FP220" s="82"/>
      <c r="FQ220" s="82"/>
      <c r="FR220" s="82">
        <f t="shared" si="1604"/>
        <v>0</v>
      </c>
      <c r="FS220" s="82">
        <f t="shared" si="1605"/>
        <v>0</v>
      </c>
      <c r="FT220" s="82"/>
      <c r="FU220" s="82"/>
      <c r="FV220" s="82"/>
      <c r="FW220" s="82"/>
      <c r="FX220" s="82">
        <f t="shared" si="1606"/>
        <v>0</v>
      </c>
      <c r="FY220" s="82">
        <f t="shared" si="1607"/>
        <v>0</v>
      </c>
      <c r="FZ220" s="82">
        <f t="shared" si="1608"/>
        <v>99</v>
      </c>
      <c r="GA220" s="82">
        <f t="shared" si="1609"/>
        <v>1328580</v>
      </c>
      <c r="GB220" s="82">
        <f t="shared" si="1610"/>
        <v>0</v>
      </c>
      <c r="GC220" s="82">
        <f t="shared" si="1611"/>
        <v>0</v>
      </c>
      <c r="GD220" s="82">
        <f t="shared" si="1612"/>
        <v>99</v>
      </c>
      <c r="GE220" s="82">
        <f t="shared" si="1613"/>
        <v>1328580</v>
      </c>
      <c r="GF220" s="85"/>
    </row>
    <row r="221" ht="29.25" customHeight="1">
      <c r="A221" s="76">
        <v>39.0</v>
      </c>
      <c r="B221" s="77"/>
      <c r="C221" s="77" t="s">
        <v>258</v>
      </c>
      <c r="D221" s="78" t="s">
        <v>99</v>
      </c>
      <c r="E221" s="79">
        <v>21090.0</v>
      </c>
      <c r="F221" s="61" t="s">
        <v>92</v>
      </c>
      <c r="G221" s="81">
        <v>23.0</v>
      </c>
      <c r="H221" s="82">
        <v>485070.0</v>
      </c>
      <c r="I221" s="82"/>
      <c r="J221" s="82"/>
      <c r="K221" s="82">
        <f t="shared" si="1524"/>
        <v>0</v>
      </c>
      <c r="L221" s="82">
        <f t="shared" si="1525"/>
        <v>0</v>
      </c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>
        <f t="shared" si="1526"/>
        <v>0</v>
      </c>
      <c r="AC221" s="82">
        <f t="shared" si="1527"/>
        <v>0</v>
      </c>
      <c r="AD221" s="82">
        <f t="shared" si="1528"/>
        <v>23</v>
      </c>
      <c r="AE221" s="82">
        <f t="shared" si="1529"/>
        <v>485070</v>
      </c>
      <c r="AF221" s="82"/>
      <c r="AG221" s="82"/>
      <c r="AH221" s="82">
        <f t="shared" si="1530"/>
        <v>0</v>
      </c>
      <c r="AI221" s="82">
        <f t="shared" si="1531"/>
        <v>0</v>
      </c>
      <c r="AJ221" s="82"/>
      <c r="AK221" s="82"/>
      <c r="AL221" s="82"/>
      <c r="AM221" s="82"/>
      <c r="AN221" s="82">
        <f t="shared" si="1532"/>
        <v>0</v>
      </c>
      <c r="AO221" s="82">
        <f t="shared" si="1533"/>
        <v>0</v>
      </c>
      <c r="AP221" s="82">
        <f t="shared" si="1534"/>
        <v>23</v>
      </c>
      <c r="AQ221" s="82">
        <f t="shared" si="1535"/>
        <v>485070</v>
      </c>
      <c r="AR221" s="82"/>
      <c r="AS221" s="82"/>
      <c r="AT221" s="82"/>
      <c r="AU221" s="82">
        <f t="shared" si="1536"/>
        <v>0</v>
      </c>
      <c r="AV221" s="82">
        <f t="shared" si="1537"/>
        <v>0</v>
      </c>
      <c r="AW221" s="82"/>
      <c r="AX221" s="82"/>
      <c r="AY221" s="82"/>
      <c r="AZ221" s="82"/>
      <c r="BA221" s="82">
        <f t="shared" si="1538"/>
        <v>0</v>
      </c>
      <c r="BB221" s="82">
        <f t="shared" si="1539"/>
        <v>0</v>
      </c>
      <c r="BC221" s="82">
        <f t="shared" si="1540"/>
        <v>23</v>
      </c>
      <c r="BD221" s="82">
        <f t="shared" si="1541"/>
        <v>485070</v>
      </c>
      <c r="BE221" s="82">
        <f t="shared" si="1542"/>
        <v>0</v>
      </c>
      <c r="BF221" s="82">
        <f t="shared" si="1543"/>
        <v>0</v>
      </c>
      <c r="BG221" s="82">
        <f t="shared" si="1544"/>
        <v>23</v>
      </c>
      <c r="BH221" s="82">
        <f t="shared" si="1545"/>
        <v>485070</v>
      </c>
      <c r="BI221" s="82"/>
      <c r="BJ221" s="83"/>
      <c r="BK221" s="82">
        <f t="shared" si="1546"/>
        <v>0</v>
      </c>
      <c r="BL221" s="82">
        <f t="shared" si="1547"/>
        <v>0</v>
      </c>
      <c r="BM221" s="82"/>
      <c r="BN221" s="82"/>
      <c r="BO221" s="82"/>
      <c r="BP221" s="82"/>
      <c r="BQ221" s="82"/>
      <c r="BR221" s="82"/>
      <c r="BS221" s="82"/>
      <c r="BT221" s="82"/>
      <c r="BU221" s="82"/>
      <c r="BV221" s="82"/>
      <c r="BW221" s="82">
        <f t="shared" si="1548"/>
        <v>0</v>
      </c>
      <c r="BX221" s="82">
        <f t="shared" si="1549"/>
        <v>0</v>
      </c>
      <c r="BY221" s="82">
        <f t="shared" si="1550"/>
        <v>23</v>
      </c>
      <c r="BZ221" s="82">
        <f t="shared" si="1551"/>
        <v>485070</v>
      </c>
      <c r="CA221" s="82"/>
      <c r="CB221" s="82"/>
      <c r="CC221" s="82">
        <f t="shared" si="1552"/>
        <v>0</v>
      </c>
      <c r="CD221" s="82">
        <f t="shared" si="1553"/>
        <v>0</v>
      </c>
      <c r="CE221" s="82"/>
      <c r="CF221" s="82"/>
      <c r="CG221" s="82"/>
      <c r="CH221" s="82"/>
      <c r="CI221" s="82">
        <f t="shared" si="1554"/>
        <v>0</v>
      </c>
      <c r="CJ221" s="82">
        <f t="shared" si="1555"/>
        <v>0</v>
      </c>
      <c r="CK221" s="82">
        <f t="shared" si="1556"/>
        <v>23</v>
      </c>
      <c r="CL221" s="82">
        <f t="shared" si="1557"/>
        <v>485070</v>
      </c>
      <c r="CM221" s="82"/>
      <c r="CN221" s="82"/>
      <c r="CO221" s="82">
        <f t="shared" si="1558"/>
        <v>0</v>
      </c>
      <c r="CP221" s="82">
        <f t="shared" si="1559"/>
        <v>0</v>
      </c>
      <c r="CQ221" s="82"/>
      <c r="CR221" s="82"/>
      <c r="CS221" s="82"/>
      <c r="CT221" s="82"/>
      <c r="CU221" s="82">
        <f t="shared" si="1560"/>
        <v>0</v>
      </c>
      <c r="CV221" s="82">
        <f t="shared" si="1561"/>
        <v>0</v>
      </c>
      <c r="CW221" s="82">
        <f t="shared" si="1562"/>
        <v>23</v>
      </c>
      <c r="CX221" s="82">
        <f t="shared" si="1563"/>
        <v>485070</v>
      </c>
      <c r="CY221" s="82">
        <f t="shared" si="1564"/>
        <v>0</v>
      </c>
      <c r="CZ221" s="82">
        <f t="shared" si="1565"/>
        <v>0</v>
      </c>
      <c r="DA221" s="82">
        <f t="shared" si="1566"/>
        <v>23</v>
      </c>
      <c r="DB221" s="82">
        <f t="shared" si="1567"/>
        <v>485070</v>
      </c>
      <c r="DC221" s="91"/>
      <c r="DD221" s="82"/>
      <c r="DE221" s="82"/>
      <c r="DF221" s="82">
        <f t="shared" si="1568"/>
        <v>0</v>
      </c>
      <c r="DG221" s="82">
        <f t="shared" si="1569"/>
        <v>0</v>
      </c>
      <c r="DH221" s="82"/>
      <c r="DI221" s="82">
        <f t="shared" si="1570"/>
        <v>0</v>
      </c>
      <c r="DJ221" s="82">
        <f t="shared" si="1571"/>
        <v>0</v>
      </c>
      <c r="DK221" s="82"/>
      <c r="DL221" s="82">
        <f t="shared" si="1572"/>
        <v>0</v>
      </c>
      <c r="DM221" s="82">
        <f t="shared" si="1573"/>
        <v>0</v>
      </c>
      <c r="DN221" s="82">
        <f t="shared" si="1574"/>
        <v>23</v>
      </c>
      <c r="DO221" s="82">
        <f t="shared" si="1575"/>
        <v>485070</v>
      </c>
      <c r="DP221" s="82"/>
      <c r="DQ221" s="82"/>
      <c r="DR221" s="82">
        <f t="shared" si="1576"/>
        <v>0</v>
      </c>
      <c r="DS221" s="82">
        <f t="shared" si="1577"/>
        <v>0</v>
      </c>
      <c r="DT221" s="82"/>
      <c r="DU221" s="82"/>
      <c r="DV221" s="82"/>
      <c r="DW221" s="82"/>
      <c r="DX221" s="82">
        <f t="shared" si="1578"/>
        <v>0</v>
      </c>
      <c r="DY221" s="82">
        <f t="shared" si="1579"/>
        <v>0</v>
      </c>
      <c r="DZ221" s="82">
        <f t="shared" si="1580"/>
        <v>23</v>
      </c>
      <c r="EA221" s="82">
        <f t="shared" si="1581"/>
        <v>485070</v>
      </c>
      <c r="EB221" s="82"/>
      <c r="EC221" s="82"/>
      <c r="ED221" s="82">
        <f t="shared" si="1582"/>
        <v>0</v>
      </c>
      <c r="EE221" s="82">
        <f t="shared" si="1583"/>
        <v>0</v>
      </c>
      <c r="EF221" s="82"/>
      <c r="EG221" s="82"/>
      <c r="EH221" s="82"/>
      <c r="EI221" s="82"/>
      <c r="EJ221" s="82">
        <f t="shared" si="1584"/>
        <v>0</v>
      </c>
      <c r="EK221" s="82">
        <f t="shared" si="1585"/>
        <v>0</v>
      </c>
      <c r="EL221" s="82">
        <f t="shared" si="1586"/>
        <v>23</v>
      </c>
      <c r="EM221" s="82">
        <f t="shared" si="1587"/>
        <v>485070</v>
      </c>
      <c r="EN221" s="82">
        <f t="shared" si="1588"/>
        <v>0</v>
      </c>
      <c r="EO221" s="82">
        <f t="shared" si="1589"/>
        <v>0</v>
      </c>
      <c r="EP221" s="82">
        <f t="shared" si="1590"/>
        <v>23</v>
      </c>
      <c r="EQ221" s="82">
        <f t="shared" si="1591"/>
        <v>485070</v>
      </c>
      <c r="ER221" s="82"/>
      <c r="ES221" s="82"/>
      <c r="ET221" s="82">
        <f t="shared" si="1592"/>
        <v>0</v>
      </c>
      <c r="EU221" s="82">
        <f t="shared" si="1593"/>
        <v>0</v>
      </c>
      <c r="EV221" s="82"/>
      <c r="EW221" s="82"/>
      <c r="EX221" s="82"/>
      <c r="EY221" s="82"/>
      <c r="EZ221" s="82">
        <f t="shared" si="1594"/>
        <v>0</v>
      </c>
      <c r="FA221" s="82">
        <f t="shared" si="1595"/>
        <v>0</v>
      </c>
      <c r="FB221" s="82">
        <f t="shared" si="1596"/>
        <v>23</v>
      </c>
      <c r="FC221" s="82">
        <f t="shared" si="1597"/>
        <v>485070</v>
      </c>
      <c r="FD221" s="82"/>
      <c r="FE221" s="82"/>
      <c r="FF221" s="82">
        <f t="shared" si="1598"/>
        <v>0</v>
      </c>
      <c r="FG221" s="82">
        <f t="shared" si="1599"/>
        <v>0</v>
      </c>
      <c r="FH221" s="82"/>
      <c r="FI221" s="82"/>
      <c r="FJ221" s="82"/>
      <c r="FK221" s="82"/>
      <c r="FL221" s="82">
        <f t="shared" si="1600"/>
        <v>0</v>
      </c>
      <c r="FM221" s="82">
        <f t="shared" si="1601"/>
        <v>0</v>
      </c>
      <c r="FN221" s="82">
        <f t="shared" si="1602"/>
        <v>23</v>
      </c>
      <c r="FO221" s="82">
        <f t="shared" si="1603"/>
        <v>485070</v>
      </c>
      <c r="FP221" s="82"/>
      <c r="FQ221" s="82"/>
      <c r="FR221" s="82">
        <f t="shared" si="1604"/>
        <v>0</v>
      </c>
      <c r="FS221" s="82">
        <f t="shared" si="1605"/>
        <v>0</v>
      </c>
      <c r="FT221" s="82"/>
      <c r="FU221" s="82"/>
      <c r="FV221" s="82"/>
      <c r="FW221" s="82"/>
      <c r="FX221" s="82">
        <f t="shared" si="1606"/>
        <v>0</v>
      </c>
      <c r="FY221" s="82">
        <f t="shared" si="1607"/>
        <v>0</v>
      </c>
      <c r="FZ221" s="82">
        <f t="shared" si="1608"/>
        <v>23</v>
      </c>
      <c r="GA221" s="82">
        <f t="shared" si="1609"/>
        <v>485070</v>
      </c>
      <c r="GB221" s="82">
        <f t="shared" si="1610"/>
        <v>0</v>
      </c>
      <c r="GC221" s="82">
        <f t="shared" si="1611"/>
        <v>0</v>
      </c>
      <c r="GD221" s="82">
        <f t="shared" si="1612"/>
        <v>23</v>
      </c>
      <c r="GE221" s="82">
        <f t="shared" si="1613"/>
        <v>485070</v>
      </c>
      <c r="GF221" s="85"/>
    </row>
    <row r="222" ht="29.25" customHeight="1">
      <c r="A222" s="50"/>
      <c r="B222" s="50"/>
      <c r="C222" s="50"/>
      <c r="D222" s="78" t="s">
        <v>99</v>
      </c>
      <c r="E222" s="79">
        <v>24420.0</v>
      </c>
      <c r="F222" s="61" t="s">
        <v>110</v>
      </c>
      <c r="G222" s="81">
        <v>30.0</v>
      </c>
      <c r="H222" s="82">
        <v>732600.0</v>
      </c>
      <c r="I222" s="82"/>
      <c r="J222" s="82"/>
      <c r="K222" s="82">
        <f t="shared" si="1524"/>
        <v>0</v>
      </c>
      <c r="L222" s="82">
        <f t="shared" si="1525"/>
        <v>0</v>
      </c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>
        <f t="shared" si="1526"/>
        <v>0</v>
      </c>
      <c r="AC222" s="82">
        <f t="shared" si="1527"/>
        <v>0</v>
      </c>
      <c r="AD222" s="82">
        <f t="shared" si="1528"/>
        <v>30</v>
      </c>
      <c r="AE222" s="82">
        <f t="shared" si="1529"/>
        <v>732600</v>
      </c>
      <c r="AF222" s="82"/>
      <c r="AG222" s="82"/>
      <c r="AH222" s="82">
        <f t="shared" si="1530"/>
        <v>0</v>
      </c>
      <c r="AI222" s="82">
        <f t="shared" si="1531"/>
        <v>0</v>
      </c>
      <c r="AJ222" s="82"/>
      <c r="AK222" s="82"/>
      <c r="AL222" s="82"/>
      <c r="AM222" s="82"/>
      <c r="AN222" s="82">
        <f t="shared" si="1532"/>
        <v>0</v>
      </c>
      <c r="AO222" s="82">
        <f t="shared" si="1533"/>
        <v>0</v>
      </c>
      <c r="AP222" s="82">
        <f t="shared" si="1534"/>
        <v>30</v>
      </c>
      <c r="AQ222" s="82">
        <f t="shared" si="1535"/>
        <v>732600</v>
      </c>
      <c r="AR222" s="82"/>
      <c r="AS222" s="82"/>
      <c r="AT222" s="82"/>
      <c r="AU222" s="82">
        <f t="shared" si="1536"/>
        <v>0</v>
      </c>
      <c r="AV222" s="82">
        <f t="shared" si="1537"/>
        <v>0</v>
      </c>
      <c r="AW222" s="82"/>
      <c r="AX222" s="82"/>
      <c r="AY222" s="82"/>
      <c r="AZ222" s="82"/>
      <c r="BA222" s="82">
        <f t="shared" si="1538"/>
        <v>0</v>
      </c>
      <c r="BB222" s="82">
        <f t="shared" si="1539"/>
        <v>0</v>
      </c>
      <c r="BC222" s="82">
        <f t="shared" si="1540"/>
        <v>30</v>
      </c>
      <c r="BD222" s="82">
        <f t="shared" si="1541"/>
        <v>732600</v>
      </c>
      <c r="BE222" s="82">
        <f t="shared" si="1542"/>
        <v>0</v>
      </c>
      <c r="BF222" s="82">
        <f t="shared" si="1543"/>
        <v>0</v>
      </c>
      <c r="BG222" s="82">
        <f t="shared" si="1544"/>
        <v>30</v>
      </c>
      <c r="BH222" s="82">
        <f t="shared" si="1545"/>
        <v>732600</v>
      </c>
      <c r="BI222" s="82"/>
      <c r="BJ222" s="83"/>
      <c r="BK222" s="82">
        <f t="shared" si="1546"/>
        <v>0</v>
      </c>
      <c r="BL222" s="82">
        <f t="shared" si="1547"/>
        <v>0</v>
      </c>
      <c r="BM222" s="82"/>
      <c r="BN222" s="82"/>
      <c r="BO222" s="82"/>
      <c r="BP222" s="82"/>
      <c r="BQ222" s="82"/>
      <c r="BR222" s="82"/>
      <c r="BS222" s="82"/>
      <c r="BT222" s="82"/>
      <c r="BU222" s="82"/>
      <c r="BV222" s="82"/>
      <c r="BW222" s="82">
        <f t="shared" si="1548"/>
        <v>0</v>
      </c>
      <c r="BX222" s="82">
        <f t="shared" si="1549"/>
        <v>0</v>
      </c>
      <c r="BY222" s="82">
        <f t="shared" si="1550"/>
        <v>30</v>
      </c>
      <c r="BZ222" s="82">
        <f t="shared" si="1551"/>
        <v>732600</v>
      </c>
      <c r="CA222" s="82"/>
      <c r="CB222" s="82"/>
      <c r="CC222" s="82">
        <f t="shared" si="1552"/>
        <v>0</v>
      </c>
      <c r="CD222" s="82">
        <f t="shared" si="1553"/>
        <v>0</v>
      </c>
      <c r="CE222" s="82"/>
      <c r="CF222" s="82"/>
      <c r="CG222" s="82"/>
      <c r="CH222" s="82"/>
      <c r="CI222" s="82">
        <f t="shared" si="1554"/>
        <v>0</v>
      </c>
      <c r="CJ222" s="82">
        <f t="shared" si="1555"/>
        <v>0</v>
      </c>
      <c r="CK222" s="82">
        <f t="shared" si="1556"/>
        <v>30</v>
      </c>
      <c r="CL222" s="82">
        <f t="shared" si="1557"/>
        <v>732600</v>
      </c>
      <c r="CM222" s="82"/>
      <c r="CN222" s="82"/>
      <c r="CO222" s="82">
        <f t="shared" si="1558"/>
        <v>0</v>
      </c>
      <c r="CP222" s="82">
        <f t="shared" si="1559"/>
        <v>0</v>
      </c>
      <c r="CQ222" s="82"/>
      <c r="CR222" s="82"/>
      <c r="CS222" s="82"/>
      <c r="CT222" s="82"/>
      <c r="CU222" s="82">
        <f t="shared" si="1560"/>
        <v>0</v>
      </c>
      <c r="CV222" s="82">
        <f t="shared" si="1561"/>
        <v>0</v>
      </c>
      <c r="CW222" s="82">
        <f t="shared" si="1562"/>
        <v>30</v>
      </c>
      <c r="CX222" s="82">
        <f t="shared" si="1563"/>
        <v>732600</v>
      </c>
      <c r="CY222" s="82">
        <f t="shared" si="1564"/>
        <v>0</v>
      </c>
      <c r="CZ222" s="82">
        <f t="shared" si="1565"/>
        <v>0</v>
      </c>
      <c r="DA222" s="82">
        <f t="shared" si="1566"/>
        <v>30</v>
      </c>
      <c r="DB222" s="82">
        <f t="shared" si="1567"/>
        <v>732600</v>
      </c>
      <c r="DC222" s="91"/>
      <c r="DD222" s="82"/>
      <c r="DE222" s="82"/>
      <c r="DF222" s="82">
        <f t="shared" si="1568"/>
        <v>0</v>
      </c>
      <c r="DG222" s="82">
        <f t="shared" si="1569"/>
        <v>0</v>
      </c>
      <c r="DH222" s="82"/>
      <c r="DI222" s="82">
        <f t="shared" si="1570"/>
        <v>0</v>
      </c>
      <c r="DJ222" s="82">
        <f t="shared" si="1571"/>
        <v>0</v>
      </c>
      <c r="DK222" s="82"/>
      <c r="DL222" s="82">
        <f t="shared" si="1572"/>
        <v>0</v>
      </c>
      <c r="DM222" s="82">
        <f t="shared" si="1573"/>
        <v>0</v>
      </c>
      <c r="DN222" s="82">
        <f t="shared" si="1574"/>
        <v>30</v>
      </c>
      <c r="DO222" s="82">
        <f t="shared" si="1575"/>
        <v>732600</v>
      </c>
      <c r="DP222" s="82"/>
      <c r="DQ222" s="82"/>
      <c r="DR222" s="82">
        <f t="shared" si="1576"/>
        <v>0</v>
      </c>
      <c r="DS222" s="82">
        <f t="shared" si="1577"/>
        <v>0</v>
      </c>
      <c r="DT222" s="82"/>
      <c r="DU222" s="82"/>
      <c r="DV222" s="82"/>
      <c r="DW222" s="82"/>
      <c r="DX222" s="82">
        <f t="shared" si="1578"/>
        <v>0</v>
      </c>
      <c r="DY222" s="82">
        <f t="shared" si="1579"/>
        <v>0</v>
      </c>
      <c r="DZ222" s="82">
        <f t="shared" si="1580"/>
        <v>30</v>
      </c>
      <c r="EA222" s="82">
        <f t="shared" si="1581"/>
        <v>732600</v>
      </c>
      <c r="EB222" s="82"/>
      <c r="EC222" s="82"/>
      <c r="ED222" s="82">
        <f t="shared" si="1582"/>
        <v>0</v>
      </c>
      <c r="EE222" s="82">
        <f t="shared" si="1583"/>
        <v>0</v>
      </c>
      <c r="EF222" s="82"/>
      <c r="EG222" s="82"/>
      <c r="EH222" s="82"/>
      <c r="EI222" s="82"/>
      <c r="EJ222" s="82">
        <f t="shared" si="1584"/>
        <v>0</v>
      </c>
      <c r="EK222" s="82">
        <f t="shared" si="1585"/>
        <v>0</v>
      </c>
      <c r="EL222" s="82">
        <f t="shared" si="1586"/>
        <v>30</v>
      </c>
      <c r="EM222" s="82">
        <f t="shared" si="1587"/>
        <v>732600</v>
      </c>
      <c r="EN222" s="82">
        <f t="shared" si="1588"/>
        <v>0</v>
      </c>
      <c r="EO222" s="82">
        <f t="shared" si="1589"/>
        <v>0</v>
      </c>
      <c r="EP222" s="82">
        <f t="shared" si="1590"/>
        <v>30</v>
      </c>
      <c r="EQ222" s="82">
        <f t="shared" si="1591"/>
        <v>732600</v>
      </c>
      <c r="ER222" s="82"/>
      <c r="ES222" s="82"/>
      <c r="ET222" s="82">
        <f t="shared" si="1592"/>
        <v>0</v>
      </c>
      <c r="EU222" s="82">
        <f t="shared" si="1593"/>
        <v>0</v>
      </c>
      <c r="EV222" s="82"/>
      <c r="EW222" s="82"/>
      <c r="EX222" s="82"/>
      <c r="EY222" s="82"/>
      <c r="EZ222" s="82">
        <f t="shared" si="1594"/>
        <v>0</v>
      </c>
      <c r="FA222" s="82">
        <f t="shared" si="1595"/>
        <v>0</v>
      </c>
      <c r="FB222" s="82">
        <f t="shared" si="1596"/>
        <v>30</v>
      </c>
      <c r="FC222" s="82">
        <f t="shared" si="1597"/>
        <v>732600</v>
      </c>
      <c r="FD222" s="82"/>
      <c r="FE222" s="82"/>
      <c r="FF222" s="82">
        <f t="shared" si="1598"/>
        <v>0</v>
      </c>
      <c r="FG222" s="82">
        <f t="shared" si="1599"/>
        <v>0</v>
      </c>
      <c r="FH222" s="82"/>
      <c r="FI222" s="82"/>
      <c r="FJ222" s="82"/>
      <c r="FK222" s="82"/>
      <c r="FL222" s="82">
        <f t="shared" si="1600"/>
        <v>0</v>
      </c>
      <c r="FM222" s="82">
        <f t="shared" si="1601"/>
        <v>0</v>
      </c>
      <c r="FN222" s="82">
        <f t="shared" si="1602"/>
        <v>30</v>
      </c>
      <c r="FO222" s="82">
        <f t="shared" si="1603"/>
        <v>732600</v>
      </c>
      <c r="FP222" s="82"/>
      <c r="FQ222" s="82"/>
      <c r="FR222" s="82">
        <f t="shared" si="1604"/>
        <v>0</v>
      </c>
      <c r="FS222" s="82">
        <f t="shared" si="1605"/>
        <v>0</v>
      </c>
      <c r="FT222" s="82"/>
      <c r="FU222" s="82"/>
      <c r="FV222" s="82"/>
      <c r="FW222" s="82"/>
      <c r="FX222" s="82">
        <f t="shared" si="1606"/>
        <v>0</v>
      </c>
      <c r="FY222" s="82">
        <f t="shared" si="1607"/>
        <v>0</v>
      </c>
      <c r="FZ222" s="82">
        <f t="shared" si="1608"/>
        <v>30</v>
      </c>
      <c r="GA222" s="82">
        <f t="shared" si="1609"/>
        <v>732600</v>
      </c>
      <c r="GB222" s="82">
        <f t="shared" si="1610"/>
        <v>0</v>
      </c>
      <c r="GC222" s="82">
        <f t="shared" si="1611"/>
        <v>0</v>
      </c>
      <c r="GD222" s="82">
        <f t="shared" si="1612"/>
        <v>30</v>
      </c>
      <c r="GE222" s="82">
        <f t="shared" si="1613"/>
        <v>732600</v>
      </c>
      <c r="GF222" s="85"/>
    </row>
    <row r="223" ht="29.25" customHeight="1">
      <c r="A223" s="96">
        <v>40.0</v>
      </c>
      <c r="B223" s="58"/>
      <c r="C223" s="58" t="s">
        <v>259</v>
      </c>
      <c r="D223" s="78" t="s">
        <v>99</v>
      </c>
      <c r="E223" s="79">
        <v>9990.0</v>
      </c>
      <c r="F223" s="61" t="s">
        <v>97</v>
      </c>
      <c r="G223" s="81">
        <v>40.0</v>
      </c>
      <c r="H223" s="82">
        <v>399600.0</v>
      </c>
      <c r="I223" s="82"/>
      <c r="J223" s="82"/>
      <c r="K223" s="82">
        <f t="shared" si="1524"/>
        <v>0</v>
      </c>
      <c r="L223" s="82">
        <f t="shared" si="1525"/>
        <v>0</v>
      </c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>
        <f t="shared" si="1526"/>
        <v>0</v>
      </c>
      <c r="AC223" s="82">
        <f t="shared" si="1527"/>
        <v>0</v>
      </c>
      <c r="AD223" s="82">
        <f t="shared" si="1528"/>
        <v>40</v>
      </c>
      <c r="AE223" s="82">
        <f t="shared" si="1529"/>
        <v>399600</v>
      </c>
      <c r="AF223" s="82"/>
      <c r="AG223" s="82"/>
      <c r="AH223" s="82">
        <f t="shared" si="1530"/>
        <v>0</v>
      </c>
      <c r="AI223" s="82">
        <f t="shared" si="1531"/>
        <v>0</v>
      </c>
      <c r="AJ223" s="82"/>
      <c r="AK223" s="82"/>
      <c r="AL223" s="82"/>
      <c r="AM223" s="82"/>
      <c r="AN223" s="82">
        <f t="shared" si="1532"/>
        <v>0</v>
      </c>
      <c r="AO223" s="82">
        <f t="shared" si="1533"/>
        <v>0</v>
      </c>
      <c r="AP223" s="82">
        <f t="shared" si="1534"/>
        <v>40</v>
      </c>
      <c r="AQ223" s="82">
        <f t="shared" si="1535"/>
        <v>399600</v>
      </c>
      <c r="AR223" s="82"/>
      <c r="AS223" s="82"/>
      <c r="AT223" s="82"/>
      <c r="AU223" s="82">
        <f t="shared" si="1536"/>
        <v>0</v>
      </c>
      <c r="AV223" s="82">
        <f t="shared" si="1537"/>
        <v>0</v>
      </c>
      <c r="AW223" s="82"/>
      <c r="AX223" s="82"/>
      <c r="AY223" s="82"/>
      <c r="AZ223" s="82"/>
      <c r="BA223" s="82">
        <f t="shared" si="1538"/>
        <v>0</v>
      </c>
      <c r="BB223" s="82">
        <f t="shared" si="1539"/>
        <v>0</v>
      </c>
      <c r="BC223" s="82">
        <f t="shared" si="1540"/>
        <v>40</v>
      </c>
      <c r="BD223" s="82">
        <f t="shared" si="1541"/>
        <v>399600</v>
      </c>
      <c r="BE223" s="82">
        <f t="shared" si="1542"/>
        <v>0</v>
      </c>
      <c r="BF223" s="82">
        <f t="shared" si="1543"/>
        <v>0</v>
      </c>
      <c r="BG223" s="82">
        <f t="shared" si="1544"/>
        <v>40</v>
      </c>
      <c r="BH223" s="82">
        <f t="shared" si="1545"/>
        <v>399600</v>
      </c>
      <c r="BI223" s="82"/>
      <c r="BJ223" s="83"/>
      <c r="BK223" s="82">
        <f t="shared" si="1546"/>
        <v>0</v>
      </c>
      <c r="BL223" s="82">
        <f t="shared" si="1547"/>
        <v>0</v>
      </c>
      <c r="BM223" s="82"/>
      <c r="BN223" s="82"/>
      <c r="BO223" s="82"/>
      <c r="BP223" s="82"/>
      <c r="BQ223" s="82"/>
      <c r="BR223" s="82"/>
      <c r="BS223" s="83">
        <v>5.0</v>
      </c>
      <c r="BT223" s="82"/>
      <c r="BU223" s="82"/>
      <c r="BV223" s="82"/>
      <c r="BW223" s="82">
        <f t="shared" si="1548"/>
        <v>5</v>
      </c>
      <c r="BX223" s="82">
        <f t="shared" si="1549"/>
        <v>49950</v>
      </c>
      <c r="BY223" s="82">
        <f t="shared" si="1550"/>
        <v>35</v>
      </c>
      <c r="BZ223" s="82">
        <f t="shared" si="1551"/>
        <v>349650</v>
      </c>
      <c r="CA223" s="82"/>
      <c r="CB223" s="82"/>
      <c r="CC223" s="82">
        <f t="shared" si="1552"/>
        <v>0</v>
      </c>
      <c r="CD223" s="82">
        <f t="shared" si="1553"/>
        <v>0</v>
      </c>
      <c r="CE223" s="82"/>
      <c r="CF223" s="82"/>
      <c r="CG223" s="82"/>
      <c r="CH223" s="82"/>
      <c r="CI223" s="82">
        <f t="shared" si="1554"/>
        <v>0</v>
      </c>
      <c r="CJ223" s="82">
        <f t="shared" si="1555"/>
        <v>0</v>
      </c>
      <c r="CK223" s="82">
        <f t="shared" si="1556"/>
        <v>35</v>
      </c>
      <c r="CL223" s="82">
        <f t="shared" si="1557"/>
        <v>349650</v>
      </c>
      <c r="CM223" s="82"/>
      <c r="CN223" s="82"/>
      <c r="CO223" s="82">
        <f t="shared" si="1558"/>
        <v>0</v>
      </c>
      <c r="CP223" s="82">
        <f t="shared" si="1559"/>
        <v>0</v>
      </c>
      <c r="CQ223" s="83">
        <v>10.0</v>
      </c>
      <c r="CR223" s="82"/>
      <c r="CS223" s="82"/>
      <c r="CT223" s="82"/>
      <c r="CU223" s="82">
        <f t="shared" si="1560"/>
        <v>10</v>
      </c>
      <c r="CV223" s="82">
        <f t="shared" si="1561"/>
        <v>99900</v>
      </c>
      <c r="CW223" s="82">
        <f t="shared" si="1562"/>
        <v>25</v>
      </c>
      <c r="CX223" s="82">
        <f t="shared" si="1563"/>
        <v>249750</v>
      </c>
      <c r="CY223" s="82">
        <f t="shared" si="1564"/>
        <v>0</v>
      </c>
      <c r="CZ223" s="82">
        <f t="shared" si="1565"/>
        <v>15</v>
      </c>
      <c r="DA223" s="82">
        <f t="shared" si="1566"/>
        <v>25</v>
      </c>
      <c r="DB223" s="82">
        <f t="shared" si="1567"/>
        <v>249750</v>
      </c>
      <c r="DC223" s="91"/>
      <c r="DD223" s="82"/>
      <c r="DE223" s="82"/>
      <c r="DF223" s="82">
        <f t="shared" si="1568"/>
        <v>0</v>
      </c>
      <c r="DG223" s="82">
        <f t="shared" si="1569"/>
        <v>0</v>
      </c>
      <c r="DH223" s="82"/>
      <c r="DI223" s="82">
        <f t="shared" si="1570"/>
        <v>0</v>
      </c>
      <c r="DJ223" s="82">
        <f t="shared" si="1571"/>
        <v>0</v>
      </c>
      <c r="DK223" s="82"/>
      <c r="DL223" s="82">
        <f t="shared" si="1572"/>
        <v>0</v>
      </c>
      <c r="DM223" s="82">
        <f t="shared" si="1573"/>
        <v>0</v>
      </c>
      <c r="DN223" s="82">
        <f t="shared" si="1574"/>
        <v>25</v>
      </c>
      <c r="DO223" s="82">
        <f t="shared" si="1575"/>
        <v>249750</v>
      </c>
      <c r="DP223" s="82"/>
      <c r="DQ223" s="82"/>
      <c r="DR223" s="82">
        <f t="shared" si="1576"/>
        <v>0</v>
      </c>
      <c r="DS223" s="82">
        <f t="shared" si="1577"/>
        <v>0</v>
      </c>
      <c r="DT223" s="82"/>
      <c r="DU223" s="82"/>
      <c r="DV223" s="82"/>
      <c r="DW223" s="82"/>
      <c r="DX223" s="82">
        <f t="shared" si="1578"/>
        <v>0</v>
      </c>
      <c r="DY223" s="82">
        <f t="shared" si="1579"/>
        <v>0</v>
      </c>
      <c r="DZ223" s="82">
        <f t="shared" si="1580"/>
        <v>25</v>
      </c>
      <c r="EA223" s="82">
        <f t="shared" si="1581"/>
        <v>249750</v>
      </c>
      <c r="EB223" s="82"/>
      <c r="EC223" s="82"/>
      <c r="ED223" s="82">
        <f t="shared" si="1582"/>
        <v>0</v>
      </c>
      <c r="EE223" s="82">
        <f t="shared" si="1583"/>
        <v>0</v>
      </c>
      <c r="EF223" s="82"/>
      <c r="EG223" s="82"/>
      <c r="EH223" s="82"/>
      <c r="EI223" s="82"/>
      <c r="EJ223" s="82">
        <f t="shared" si="1584"/>
        <v>0</v>
      </c>
      <c r="EK223" s="82">
        <f t="shared" si="1585"/>
        <v>0</v>
      </c>
      <c r="EL223" s="82">
        <f t="shared" si="1586"/>
        <v>25</v>
      </c>
      <c r="EM223" s="82">
        <f t="shared" si="1587"/>
        <v>249750</v>
      </c>
      <c r="EN223" s="82">
        <f t="shared" si="1588"/>
        <v>0</v>
      </c>
      <c r="EO223" s="82">
        <f t="shared" si="1589"/>
        <v>0</v>
      </c>
      <c r="EP223" s="82">
        <f t="shared" si="1590"/>
        <v>25</v>
      </c>
      <c r="EQ223" s="82">
        <f t="shared" si="1591"/>
        <v>249750</v>
      </c>
      <c r="ER223" s="82"/>
      <c r="ES223" s="82"/>
      <c r="ET223" s="82">
        <f t="shared" si="1592"/>
        <v>0</v>
      </c>
      <c r="EU223" s="82">
        <f t="shared" si="1593"/>
        <v>0</v>
      </c>
      <c r="EV223" s="82"/>
      <c r="EW223" s="82"/>
      <c r="EX223" s="82"/>
      <c r="EY223" s="82"/>
      <c r="EZ223" s="82">
        <f t="shared" si="1594"/>
        <v>0</v>
      </c>
      <c r="FA223" s="82">
        <f t="shared" si="1595"/>
        <v>0</v>
      </c>
      <c r="FB223" s="82">
        <f t="shared" si="1596"/>
        <v>25</v>
      </c>
      <c r="FC223" s="82">
        <f t="shared" si="1597"/>
        <v>249750</v>
      </c>
      <c r="FD223" s="82"/>
      <c r="FE223" s="82"/>
      <c r="FF223" s="82">
        <f t="shared" si="1598"/>
        <v>0</v>
      </c>
      <c r="FG223" s="82">
        <f t="shared" si="1599"/>
        <v>0</v>
      </c>
      <c r="FH223" s="82"/>
      <c r="FI223" s="82"/>
      <c r="FJ223" s="82"/>
      <c r="FK223" s="82"/>
      <c r="FL223" s="82">
        <f t="shared" si="1600"/>
        <v>0</v>
      </c>
      <c r="FM223" s="82">
        <f t="shared" si="1601"/>
        <v>0</v>
      </c>
      <c r="FN223" s="82">
        <f t="shared" si="1602"/>
        <v>25</v>
      </c>
      <c r="FO223" s="82">
        <f t="shared" si="1603"/>
        <v>249750</v>
      </c>
      <c r="FP223" s="82"/>
      <c r="FQ223" s="82"/>
      <c r="FR223" s="82">
        <f t="shared" si="1604"/>
        <v>0</v>
      </c>
      <c r="FS223" s="82">
        <f t="shared" si="1605"/>
        <v>0</v>
      </c>
      <c r="FT223" s="82"/>
      <c r="FU223" s="82"/>
      <c r="FV223" s="82"/>
      <c r="FW223" s="82"/>
      <c r="FX223" s="82">
        <f t="shared" si="1606"/>
        <v>0</v>
      </c>
      <c r="FY223" s="82">
        <f t="shared" si="1607"/>
        <v>0</v>
      </c>
      <c r="FZ223" s="82">
        <f t="shared" si="1608"/>
        <v>25</v>
      </c>
      <c r="GA223" s="82">
        <f t="shared" si="1609"/>
        <v>249750</v>
      </c>
      <c r="GB223" s="82">
        <f t="shared" si="1610"/>
        <v>0</v>
      </c>
      <c r="GC223" s="82">
        <f t="shared" si="1611"/>
        <v>0</v>
      </c>
      <c r="GD223" s="82">
        <f t="shared" si="1612"/>
        <v>25</v>
      </c>
      <c r="GE223" s="82">
        <f t="shared" si="1613"/>
        <v>249750</v>
      </c>
      <c r="GF223" s="85"/>
    </row>
    <row r="224" ht="1.5" customHeight="1">
      <c r="A224" s="101"/>
      <c r="B224" s="101"/>
      <c r="C224" s="101"/>
      <c r="D224" s="101"/>
      <c r="E224" s="101"/>
      <c r="F224" s="103"/>
      <c r="G224" s="104"/>
      <c r="H224" s="104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82">
        <f t="shared" si="1526"/>
        <v>0</v>
      </c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82"/>
      <c r="AS224" s="82"/>
      <c r="AT224" s="82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82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82">
        <f t="shared" si="1548"/>
        <v>0</v>
      </c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5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14"/>
      <c r="DD224" s="82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</row>
    <row r="225" ht="38.25" customHeight="1">
      <c r="A225" s="108" t="s">
        <v>260</v>
      </c>
      <c r="B225" s="10"/>
      <c r="C225" s="10"/>
      <c r="D225" s="10"/>
      <c r="E225" s="14"/>
      <c r="F225" s="109"/>
      <c r="G225" s="110">
        <f>SUM(G160:G223)</f>
        <v>7658</v>
      </c>
      <c r="H225" s="110">
        <f t="shared" ref="H225:AA225" si="1614">SUM(H160:H224)</f>
        <v>79687325.6</v>
      </c>
      <c r="I225" s="110">
        <f t="shared" si="1614"/>
        <v>0</v>
      </c>
      <c r="J225" s="110">
        <f t="shared" si="1614"/>
        <v>0</v>
      </c>
      <c r="K225" s="110">
        <f t="shared" si="1614"/>
        <v>0</v>
      </c>
      <c r="L225" s="110">
        <f t="shared" si="1614"/>
        <v>0</v>
      </c>
      <c r="M225" s="110">
        <f t="shared" si="1614"/>
        <v>0</v>
      </c>
      <c r="N225" s="110">
        <f t="shared" si="1614"/>
        <v>108</v>
      </c>
      <c r="O225" s="110">
        <f t="shared" si="1614"/>
        <v>2</v>
      </c>
      <c r="P225" s="110">
        <f t="shared" si="1614"/>
        <v>2</v>
      </c>
      <c r="Q225" s="110">
        <f t="shared" si="1614"/>
        <v>0</v>
      </c>
      <c r="R225" s="110">
        <f t="shared" si="1614"/>
        <v>0</v>
      </c>
      <c r="S225" s="110">
        <f t="shared" si="1614"/>
        <v>0</v>
      </c>
      <c r="T225" s="110">
        <f t="shared" si="1614"/>
        <v>0</v>
      </c>
      <c r="U225" s="110">
        <f t="shared" si="1614"/>
        <v>23</v>
      </c>
      <c r="V225" s="110">
        <f t="shared" si="1614"/>
        <v>106</v>
      </c>
      <c r="W225" s="110">
        <f t="shared" si="1614"/>
        <v>0</v>
      </c>
      <c r="X225" s="110">
        <f t="shared" si="1614"/>
        <v>0</v>
      </c>
      <c r="Y225" s="110">
        <f t="shared" si="1614"/>
        <v>0</v>
      </c>
      <c r="Z225" s="110">
        <f t="shared" si="1614"/>
        <v>0</v>
      </c>
      <c r="AA225" s="110">
        <f t="shared" si="1614"/>
        <v>100</v>
      </c>
      <c r="AB225" s="106">
        <f t="shared" si="1526"/>
        <v>341</v>
      </c>
      <c r="AC225" s="110">
        <f t="shared" ref="AC225:AQ225" si="1615">SUM(AC160:AC224)</f>
        <v>6847651.95</v>
      </c>
      <c r="AD225" s="110">
        <f t="shared" si="1615"/>
        <v>7267</v>
      </c>
      <c r="AE225" s="110">
        <f t="shared" si="1615"/>
        <v>72839673.65</v>
      </c>
      <c r="AF225" s="110">
        <f t="shared" si="1615"/>
        <v>0</v>
      </c>
      <c r="AG225" s="110">
        <f t="shared" si="1615"/>
        <v>0</v>
      </c>
      <c r="AH225" s="110">
        <f t="shared" si="1615"/>
        <v>0</v>
      </c>
      <c r="AI225" s="110">
        <f t="shared" si="1615"/>
        <v>0</v>
      </c>
      <c r="AJ225" s="110">
        <f t="shared" si="1615"/>
        <v>0</v>
      </c>
      <c r="AK225" s="110">
        <f t="shared" si="1615"/>
        <v>0</v>
      </c>
      <c r="AL225" s="110">
        <f t="shared" si="1615"/>
        <v>0</v>
      </c>
      <c r="AM225" s="110">
        <f t="shared" si="1615"/>
        <v>0</v>
      </c>
      <c r="AN225" s="110">
        <f t="shared" si="1615"/>
        <v>0</v>
      </c>
      <c r="AO225" s="110">
        <f t="shared" si="1615"/>
        <v>0</v>
      </c>
      <c r="AP225" s="110">
        <f t="shared" si="1615"/>
        <v>7267</v>
      </c>
      <c r="AQ225" s="110">
        <f t="shared" si="1615"/>
        <v>72839673.65</v>
      </c>
      <c r="AR225" s="82"/>
      <c r="AS225" s="82"/>
      <c r="AT225" s="82"/>
      <c r="AU225" s="110">
        <f t="shared" ref="AU225:BH225" si="1616">SUM(AU160:AU224)</f>
        <v>0</v>
      </c>
      <c r="AV225" s="110">
        <f t="shared" si="1616"/>
        <v>0</v>
      </c>
      <c r="AW225" s="110">
        <f t="shared" si="1616"/>
        <v>0</v>
      </c>
      <c r="AX225" s="110">
        <f t="shared" si="1616"/>
        <v>0</v>
      </c>
      <c r="AY225" s="110">
        <f t="shared" si="1616"/>
        <v>0</v>
      </c>
      <c r="AZ225" s="110">
        <f t="shared" si="1616"/>
        <v>0</v>
      </c>
      <c r="BA225" s="110">
        <f t="shared" si="1616"/>
        <v>0</v>
      </c>
      <c r="BB225" s="110">
        <f t="shared" si="1616"/>
        <v>0</v>
      </c>
      <c r="BC225" s="110">
        <f t="shared" si="1616"/>
        <v>7267</v>
      </c>
      <c r="BD225" s="110">
        <f t="shared" si="1616"/>
        <v>72839673.65</v>
      </c>
      <c r="BE225" s="110">
        <f t="shared" si="1616"/>
        <v>0</v>
      </c>
      <c r="BF225" s="110">
        <f t="shared" si="1616"/>
        <v>341</v>
      </c>
      <c r="BG225" s="110">
        <f t="shared" si="1616"/>
        <v>7267</v>
      </c>
      <c r="BH225" s="110">
        <f t="shared" si="1616"/>
        <v>72839673.65</v>
      </c>
      <c r="BI225" s="110"/>
      <c r="BJ225" s="110">
        <f t="shared" ref="BJ225:BQ225" si="1617">SUM(BJ160:BJ224)</f>
        <v>0</v>
      </c>
      <c r="BK225" s="110">
        <f t="shared" si="1617"/>
        <v>0</v>
      </c>
      <c r="BL225" s="110">
        <f t="shared" si="1617"/>
        <v>0</v>
      </c>
      <c r="BM225" s="110">
        <f t="shared" si="1617"/>
        <v>0</v>
      </c>
      <c r="BN225" s="110">
        <f t="shared" si="1617"/>
        <v>4</v>
      </c>
      <c r="BO225" s="110">
        <f t="shared" si="1617"/>
        <v>0</v>
      </c>
      <c r="BP225" s="110">
        <f t="shared" si="1617"/>
        <v>0</v>
      </c>
      <c r="BQ225" s="110">
        <f t="shared" si="1617"/>
        <v>3</v>
      </c>
      <c r="BR225" s="110"/>
      <c r="BS225" s="110"/>
      <c r="BT225" s="110"/>
      <c r="BU225" s="110"/>
      <c r="BV225" s="110"/>
      <c r="BW225" s="110">
        <f t="shared" ref="BW225:DB225" si="1618">SUM(BW160:BW224)</f>
        <v>1226</v>
      </c>
      <c r="BX225" s="110">
        <f t="shared" si="1618"/>
        <v>9971487.9</v>
      </c>
      <c r="BY225" s="110">
        <f t="shared" si="1618"/>
        <v>6041</v>
      </c>
      <c r="BZ225" s="110">
        <f t="shared" si="1618"/>
        <v>62868185.75</v>
      </c>
      <c r="CA225" s="110">
        <f t="shared" si="1618"/>
        <v>0</v>
      </c>
      <c r="CB225" s="110">
        <f t="shared" si="1618"/>
        <v>0</v>
      </c>
      <c r="CC225" s="110">
        <f t="shared" si="1618"/>
        <v>0</v>
      </c>
      <c r="CD225" s="110">
        <f t="shared" si="1618"/>
        <v>0</v>
      </c>
      <c r="CE225" s="110">
        <f t="shared" si="1618"/>
        <v>20</v>
      </c>
      <c r="CF225" s="110">
        <f t="shared" si="1618"/>
        <v>1000</v>
      </c>
      <c r="CG225" s="110">
        <f t="shared" si="1618"/>
        <v>0</v>
      </c>
      <c r="CH225" s="110">
        <f t="shared" si="1618"/>
        <v>0</v>
      </c>
      <c r="CI225" s="110">
        <f t="shared" si="1618"/>
        <v>1020</v>
      </c>
      <c r="CJ225" s="110">
        <f t="shared" si="1618"/>
        <v>7115400</v>
      </c>
      <c r="CK225" s="110">
        <f t="shared" si="1618"/>
        <v>5021</v>
      </c>
      <c r="CL225" s="110">
        <f t="shared" si="1618"/>
        <v>55752785.75</v>
      </c>
      <c r="CM225" s="110">
        <f t="shared" si="1618"/>
        <v>0</v>
      </c>
      <c r="CN225" s="110">
        <f t="shared" si="1618"/>
        <v>0</v>
      </c>
      <c r="CO225" s="110">
        <f t="shared" si="1618"/>
        <v>0</v>
      </c>
      <c r="CP225" s="110">
        <f t="shared" si="1618"/>
        <v>0</v>
      </c>
      <c r="CQ225" s="110">
        <f t="shared" si="1618"/>
        <v>30</v>
      </c>
      <c r="CR225" s="110">
        <f t="shared" si="1618"/>
        <v>1000</v>
      </c>
      <c r="CS225" s="110">
        <f t="shared" si="1618"/>
        <v>0</v>
      </c>
      <c r="CT225" s="110">
        <f t="shared" si="1618"/>
        <v>0</v>
      </c>
      <c r="CU225" s="110">
        <f t="shared" si="1618"/>
        <v>1030</v>
      </c>
      <c r="CV225" s="110">
        <f t="shared" si="1618"/>
        <v>4129899.6</v>
      </c>
      <c r="CW225" s="110">
        <f t="shared" si="1618"/>
        <v>3991</v>
      </c>
      <c r="CX225" s="110">
        <f t="shared" si="1618"/>
        <v>51622886.15</v>
      </c>
      <c r="CY225" s="110">
        <f t="shared" si="1618"/>
        <v>0</v>
      </c>
      <c r="CZ225" s="110">
        <f t="shared" si="1618"/>
        <v>3276</v>
      </c>
      <c r="DA225" s="110">
        <f t="shared" si="1618"/>
        <v>3991</v>
      </c>
      <c r="DB225" s="110">
        <f t="shared" si="1618"/>
        <v>51622886.15</v>
      </c>
      <c r="DC225" s="91"/>
      <c r="DD225" s="82"/>
      <c r="DE225" s="110">
        <f t="shared" ref="DE225:GE225" si="1619">SUM(DE160:DE224)</f>
        <v>0</v>
      </c>
      <c r="DF225" s="110">
        <f t="shared" si="1619"/>
        <v>100</v>
      </c>
      <c r="DG225" s="110">
        <f t="shared" si="1619"/>
        <v>18870000</v>
      </c>
      <c r="DH225" s="110">
        <f t="shared" si="1619"/>
        <v>0</v>
      </c>
      <c r="DI225" s="110">
        <f t="shared" si="1619"/>
        <v>0</v>
      </c>
      <c r="DJ225" s="110">
        <f t="shared" si="1619"/>
        <v>0</v>
      </c>
      <c r="DK225" s="110">
        <f t="shared" si="1619"/>
        <v>0</v>
      </c>
      <c r="DL225" s="110">
        <f t="shared" si="1619"/>
        <v>0</v>
      </c>
      <c r="DM225" s="110">
        <f t="shared" si="1619"/>
        <v>0</v>
      </c>
      <c r="DN225" s="110">
        <f t="shared" si="1619"/>
        <v>4041</v>
      </c>
      <c r="DO225" s="110">
        <f t="shared" si="1619"/>
        <v>53842886.15</v>
      </c>
      <c r="DP225" s="110">
        <f t="shared" si="1619"/>
        <v>0</v>
      </c>
      <c r="DQ225" s="110">
        <f t="shared" si="1619"/>
        <v>0</v>
      </c>
      <c r="DR225" s="110">
        <f t="shared" si="1619"/>
        <v>0</v>
      </c>
      <c r="DS225" s="110">
        <f t="shared" si="1619"/>
        <v>0</v>
      </c>
      <c r="DT225" s="110">
        <f t="shared" si="1619"/>
        <v>0</v>
      </c>
      <c r="DU225" s="110">
        <f t="shared" si="1619"/>
        <v>0</v>
      </c>
      <c r="DV225" s="110">
        <f t="shared" si="1619"/>
        <v>0</v>
      </c>
      <c r="DW225" s="110">
        <f t="shared" si="1619"/>
        <v>0</v>
      </c>
      <c r="DX225" s="110">
        <f t="shared" si="1619"/>
        <v>0</v>
      </c>
      <c r="DY225" s="110">
        <f t="shared" si="1619"/>
        <v>0</v>
      </c>
      <c r="DZ225" s="110">
        <f t="shared" si="1619"/>
        <v>4041</v>
      </c>
      <c r="EA225" s="110">
        <f t="shared" si="1619"/>
        <v>53842886.15</v>
      </c>
      <c r="EB225" s="110">
        <f t="shared" si="1619"/>
        <v>0</v>
      </c>
      <c r="EC225" s="110">
        <f t="shared" si="1619"/>
        <v>0</v>
      </c>
      <c r="ED225" s="110">
        <f t="shared" si="1619"/>
        <v>0</v>
      </c>
      <c r="EE225" s="110">
        <f t="shared" si="1619"/>
        <v>0</v>
      </c>
      <c r="EF225" s="110">
        <f t="shared" si="1619"/>
        <v>0</v>
      </c>
      <c r="EG225" s="110">
        <f t="shared" si="1619"/>
        <v>0</v>
      </c>
      <c r="EH225" s="110">
        <f t="shared" si="1619"/>
        <v>0</v>
      </c>
      <c r="EI225" s="110">
        <f t="shared" si="1619"/>
        <v>0</v>
      </c>
      <c r="EJ225" s="110">
        <f t="shared" si="1619"/>
        <v>0</v>
      </c>
      <c r="EK225" s="110">
        <f t="shared" si="1619"/>
        <v>0</v>
      </c>
      <c r="EL225" s="110">
        <f t="shared" si="1619"/>
        <v>4041</v>
      </c>
      <c r="EM225" s="110">
        <f t="shared" si="1619"/>
        <v>53842886.15</v>
      </c>
      <c r="EN225" s="110">
        <f t="shared" si="1619"/>
        <v>50</v>
      </c>
      <c r="EO225" s="110">
        <f t="shared" si="1619"/>
        <v>0</v>
      </c>
      <c r="EP225" s="110">
        <f t="shared" si="1619"/>
        <v>4041</v>
      </c>
      <c r="EQ225" s="110">
        <f t="shared" si="1619"/>
        <v>53842886.15</v>
      </c>
      <c r="ER225" s="110">
        <f t="shared" si="1619"/>
        <v>0</v>
      </c>
      <c r="ES225" s="110">
        <f t="shared" si="1619"/>
        <v>0</v>
      </c>
      <c r="ET225" s="110">
        <f t="shared" si="1619"/>
        <v>0</v>
      </c>
      <c r="EU225" s="110">
        <f t="shared" si="1619"/>
        <v>0</v>
      </c>
      <c r="EV225" s="110">
        <f t="shared" si="1619"/>
        <v>0</v>
      </c>
      <c r="EW225" s="110">
        <f t="shared" si="1619"/>
        <v>0</v>
      </c>
      <c r="EX225" s="110">
        <f t="shared" si="1619"/>
        <v>0</v>
      </c>
      <c r="EY225" s="110">
        <f t="shared" si="1619"/>
        <v>0</v>
      </c>
      <c r="EZ225" s="110">
        <f t="shared" si="1619"/>
        <v>0</v>
      </c>
      <c r="FA225" s="110">
        <f t="shared" si="1619"/>
        <v>0</v>
      </c>
      <c r="FB225" s="110">
        <f t="shared" si="1619"/>
        <v>4041</v>
      </c>
      <c r="FC225" s="110">
        <f t="shared" si="1619"/>
        <v>53842886.15</v>
      </c>
      <c r="FD225" s="110">
        <f t="shared" si="1619"/>
        <v>0</v>
      </c>
      <c r="FE225" s="110">
        <f t="shared" si="1619"/>
        <v>0</v>
      </c>
      <c r="FF225" s="110">
        <f t="shared" si="1619"/>
        <v>0</v>
      </c>
      <c r="FG225" s="110">
        <f t="shared" si="1619"/>
        <v>0</v>
      </c>
      <c r="FH225" s="110">
        <f t="shared" si="1619"/>
        <v>0</v>
      </c>
      <c r="FI225" s="110">
        <f t="shared" si="1619"/>
        <v>0</v>
      </c>
      <c r="FJ225" s="110">
        <f t="shared" si="1619"/>
        <v>0</v>
      </c>
      <c r="FK225" s="110">
        <f t="shared" si="1619"/>
        <v>0</v>
      </c>
      <c r="FL225" s="110">
        <f t="shared" si="1619"/>
        <v>0</v>
      </c>
      <c r="FM225" s="110">
        <f t="shared" si="1619"/>
        <v>0</v>
      </c>
      <c r="FN225" s="110">
        <f t="shared" si="1619"/>
        <v>4041</v>
      </c>
      <c r="FO225" s="110">
        <f t="shared" si="1619"/>
        <v>53842886.15</v>
      </c>
      <c r="FP225" s="110">
        <f t="shared" si="1619"/>
        <v>0</v>
      </c>
      <c r="FQ225" s="110">
        <f t="shared" si="1619"/>
        <v>0</v>
      </c>
      <c r="FR225" s="110">
        <f t="shared" si="1619"/>
        <v>0</v>
      </c>
      <c r="FS225" s="110">
        <f t="shared" si="1619"/>
        <v>0</v>
      </c>
      <c r="FT225" s="110">
        <f t="shared" si="1619"/>
        <v>0</v>
      </c>
      <c r="FU225" s="110">
        <f t="shared" si="1619"/>
        <v>0</v>
      </c>
      <c r="FV225" s="110">
        <f t="shared" si="1619"/>
        <v>0</v>
      </c>
      <c r="FW225" s="110">
        <f t="shared" si="1619"/>
        <v>0</v>
      </c>
      <c r="FX225" s="110">
        <f t="shared" si="1619"/>
        <v>0</v>
      </c>
      <c r="FY225" s="110">
        <f t="shared" si="1619"/>
        <v>0</v>
      </c>
      <c r="FZ225" s="110">
        <f t="shared" si="1619"/>
        <v>4041</v>
      </c>
      <c r="GA225" s="110">
        <f t="shared" si="1619"/>
        <v>53842886.15</v>
      </c>
      <c r="GB225" s="110">
        <f t="shared" si="1619"/>
        <v>0</v>
      </c>
      <c r="GC225" s="110">
        <f t="shared" si="1619"/>
        <v>0</v>
      </c>
      <c r="GD225" s="110">
        <f t="shared" si="1619"/>
        <v>4041</v>
      </c>
      <c r="GE225" s="110">
        <f t="shared" si="1619"/>
        <v>53842886.15</v>
      </c>
      <c r="GF225" s="105"/>
    </row>
    <row r="226" ht="6.0" customHeight="1">
      <c r="A226" s="111"/>
      <c r="B226" s="111"/>
      <c r="C226" s="111"/>
      <c r="D226" s="111"/>
      <c r="E226" s="111"/>
      <c r="F226" s="112"/>
      <c r="G226" s="111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82"/>
      <c r="AS226" s="82"/>
      <c r="AT226" s="82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82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V226" s="113"/>
      <c r="BW226" s="113"/>
      <c r="BX226" s="113"/>
      <c r="BY226" s="113"/>
      <c r="BZ226" s="113"/>
      <c r="CA226" s="113"/>
      <c r="CB226" s="113"/>
      <c r="CC226" s="113"/>
      <c r="CD226" s="113"/>
      <c r="CE226" s="113"/>
      <c r="CF226" s="113"/>
      <c r="CG226" s="113"/>
      <c r="CH226" s="113"/>
      <c r="CI226" s="113"/>
      <c r="CJ226" s="113"/>
      <c r="CK226" s="113"/>
      <c r="CL226" s="113"/>
      <c r="CM226" s="113"/>
      <c r="CN226" s="113"/>
      <c r="CO226" s="113"/>
      <c r="CP226" s="113"/>
      <c r="CQ226" s="113"/>
      <c r="CR226" s="113"/>
      <c r="CS226" s="113"/>
      <c r="CT226" s="113"/>
      <c r="CU226" s="113"/>
      <c r="CV226" s="113"/>
      <c r="CW226" s="113"/>
      <c r="CX226" s="113"/>
      <c r="CY226" s="113"/>
      <c r="CZ226" s="113"/>
      <c r="DA226" s="113"/>
      <c r="DB226" s="113"/>
      <c r="DC226" s="114"/>
      <c r="DD226" s="82"/>
      <c r="DE226" s="113"/>
      <c r="DF226" s="113"/>
      <c r="DG226" s="113"/>
      <c r="DH226" s="113"/>
      <c r="DI226" s="113"/>
      <c r="DJ226" s="113"/>
      <c r="DK226" s="113"/>
      <c r="DL226" s="113"/>
      <c r="DM226" s="113"/>
      <c r="DN226" s="113"/>
      <c r="DO226" s="113"/>
      <c r="DP226" s="113"/>
      <c r="DQ226" s="113"/>
      <c r="DR226" s="113"/>
      <c r="DS226" s="113"/>
      <c r="DT226" s="113"/>
      <c r="DU226" s="113"/>
      <c r="DV226" s="113"/>
      <c r="DW226" s="113"/>
      <c r="DX226" s="113"/>
      <c r="DY226" s="113"/>
      <c r="DZ226" s="113"/>
      <c r="EA226" s="113"/>
      <c r="EB226" s="113"/>
      <c r="EC226" s="113"/>
      <c r="ED226" s="113"/>
      <c r="EE226" s="113"/>
      <c r="EF226" s="113"/>
      <c r="EG226" s="113"/>
      <c r="EH226" s="113"/>
      <c r="EI226" s="113"/>
      <c r="EJ226" s="113"/>
      <c r="EK226" s="113"/>
      <c r="EL226" s="113"/>
      <c r="EM226" s="113"/>
      <c r="EN226" s="113"/>
      <c r="EO226" s="113"/>
      <c r="EP226" s="113"/>
      <c r="EQ226" s="113"/>
      <c r="ER226" s="113"/>
      <c r="ES226" s="113"/>
      <c r="ET226" s="113"/>
      <c r="EU226" s="113"/>
      <c r="EV226" s="113"/>
      <c r="EW226" s="113"/>
      <c r="EX226" s="113"/>
      <c r="EY226" s="113"/>
      <c r="EZ226" s="113"/>
      <c r="FA226" s="113"/>
      <c r="FB226" s="113"/>
      <c r="FC226" s="113"/>
      <c r="FD226" s="113"/>
      <c r="FE226" s="113"/>
      <c r="FF226" s="113"/>
      <c r="FG226" s="113"/>
      <c r="FH226" s="113"/>
      <c r="FI226" s="113"/>
      <c r="FJ226" s="113"/>
      <c r="FK226" s="113"/>
      <c r="FL226" s="113"/>
      <c r="FM226" s="113"/>
      <c r="FN226" s="113"/>
      <c r="FO226" s="113"/>
      <c r="FP226" s="113"/>
      <c r="FQ226" s="113"/>
      <c r="FR226" s="113"/>
      <c r="FS226" s="113"/>
      <c r="FT226" s="113"/>
      <c r="FU226" s="113"/>
      <c r="FV226" s="113"/>
      <c r="FW226" s="113"/>
      <c r="FX226" s="113"/>
      <c r="FY226" s="113"/>
      <c r="FZ226" s="113"/>
      <c r="GA226" s="113"/>
      <c r="GB226" s="113"/>
      <c r="GC226" s="113"/>
      <c r="GD226" s="113"/>
      <c r="GE226" s="113"/>
      <c r="GF226" s="64"/>
    </row>
    <row r="227">
      <c r="A227" s="115"/>
      <c r="B227" s="115"/>
      <c r="C227" s="115"/>
      <c r="D227" s="115"/>
      <c r="E227" s="115"/>
      <c r="F227" s="116"/>
      <c r="G227" s="11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82"/>
      <c r="AS227" s="82"/>
      <c r="AT227" s="82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82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114"/>
      <c r="DD227" s="82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</row>
    <row r="228" ht="3.75" customHeight="1">
      <c r="A228" s="58"/>
      <c r="B228" s="58"/>
      <c r="C228" s="58"/>
      <c r="D228" s="59"/>
      <c r="E228" s="60"/>
      <c r="F228" s="61"/>
      <c r="G228" s="62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82"/>
      <c r="AS228" s="82"/>
      <c r="AT228" s="82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82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91"/>
      <c r="DD228" s="82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  <c r="ET228" s="63"/>
      <c r="EU228" s="63"/>
      <c r="EV228" s="63"/>
      <c r="EW228" s="63"/>
      <c r="EX228" s="63"/>
      <c r="EY228" s="63"/>
      <c r="EZ228" s="63"/>
      <c r="FA228" s="63"/>
      <c r="FB228" s="63"/>
      <c r="FC228" s="63"/>
      <c r="FD228" s="63"/>
      <c r="FE228" s="63"/>
      <c r="FF228" s="63"/>
      <c r="FG228" s="63"/>
      <c r="FH228" s="63"/>
      <c r="FI228" s="63"/>
      <c r="FJ228" s="63"/>
      <c r="FK228" s="63"/>
      <c r="FL228" s="63"/>
      <c r="FM228" s="63"/>
      <c r="FN228" s="63"/>
      <c r="FO228" s="63"/>
      <c r="FP228" s="63"/>
      <c r="FQ228" s="63"/>
      <c r="FR228" s="63"/>
      <c r="FS228" s="63"/>
      <c r="FT228" s="63"/>
      <c r="FU228" s="63"/>
      <c r="FV228" s="63"/>
      <c r="FW228" s="63"/>
      <c r="FX228" s="63"/>
      <c r="FY228" s="63"/>
      <c r="FZ228" s="63"/>
      <c r="GA228" s="63"/>
      <c r="GB228" s="63"/>
      <c r="GC228" s="63"/>
      <c r="GD228" s="63"/>
      <c r="GE228" s="63"/>
      <c r="GF228" s="64"/>
    </row>
    <row r="229" ht="35.25" customHeight="1">
      <c r="A229" s="67" t="s">
        <v>261</v>
      </c>
      <c r="B229" s="68"/>
      <c r="C229" s="69" t="s">
        <v>262</v>
      </c>
      <c r="D229" s="70"/>
      <c r="E229" s="71"/>
      <c r="F229" s="72"/>
      <c r="G229" s="73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82"/>
      <c r="AS229" s="82"/>
      <c r="AT229" s="82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82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4"/>
      <c r="CH229" s="74"/>
      <c r="CI229" s="74"/>
      <c r="CJ229" s="74"/>
      <c r="CK229" s="74"/>
      <c r="CL229" s="74"/>
      <c r="CM229" s="74"/>
      <c r="CN229" s="74"/>
      <c r="CO229" s="74"/>
      <c r="CP229" s="74"/>
      <c r="CQ229" s="74"/>
      <c r="CR229" s="74"/>
      <c r="CS229" s="74"/>
      <c r="CT229" s="74"/>
      <c r="CU229" s="74"/>
      <c r="CV229" s="74"/>
      <c r="CW229" s="74"/>
      <c r="CX229" s="74"/>
      <c r="CY229" s="74"/>
      <c r="CZ229" s="74"/>
      <c r="DA229" s="74"/>
      <c r="DB229" s="74"/>
      <c r="DC229" s="91"/>
      <c r="DD229" s="82"/>
      <c r="DE229" s="74"/>
      <c r="DF229" s="74"/>
      <c r="DG229" s="74"/>
      <c r="DH229" s="74"/>
      <c r="DI229" s="74"/>
      <c r="DJ229" s="74"/>
      <c r="DK229" s="74"/>
      <c r="DL229" s="74"/>
      <c r="DM229" s="74"/>
      <c r="DN229" s="74"/>
      <c r="DO229" s="74"/>
      <c r="DP229" s="74"/>
      <c r="DQ229" s="74"/>
      <c r="DR229" s="74"/>
      <c r="DS229" s="74"/>
      <c r="DT229" s="74"/>
      <c r="DU229" s="74"/>
      <c r="DV229" s="74"/>
      <c r="DW229" s="74"/>
      <c r="DX229" s="74"/>
      <c r="DY229" s="74"/>
      <c r="DZ229" s="74"/>
      <c r="EA229" s="74"/>
      <c r="EB229" s="74"/>
      <c r="EC229" s="74"/>
      <c r="ED229" s="74"/>
      <c r="EE229" s="74"/>
      <c r="EF229" s="74"/>
      <c r="EG229" s="74"/>
      <c r="EH229" s="74"/>
      <c r="EI229" s="74"/>
      <c r="EJ229" s="74"/>
      <c r="EK229" s="74"/>
      <c r="EL229" s="74"/>
      <c r="EM229" s="74"/>
      <c r="EN229" s="74"/>
      <c r="EO229" s="74"/>
      <c r="EP229" s="74"/>
      <c r="EQ229" s="74"/>
      <c r="ER229" s="74"/>
      <c r="ES229" s="74"/>
      <c r="ET229" s="74"/>
      <c r="EU229" s="74"/>
      <c r="EV229" s="74"/>
      <c r="EW229" s="74"/>
      <c r="EX229" s="74"/>
      <c r="EY229" s="74"/>
      <c r="EZ229" s="74"/>
      <c r="FA229" s="74"/>
      <c r="FB229" s="74"/>
      <c r="FC229" s="74"/>
      <c r="FD229" s="74"/>
      <c r="FE229" s="74"/>
      <c r="FF229" s="74"/>
      <c r="FG229" s="74"/>
      <c r="FH229" s="74"/>
      <c r="FI229" s="74"/>
      <c r="FJ229" s="74"/>
      <c r="FK229" s="74"/>
      <c r="FL229" s="74"/>
      <c r="FM229" s="74"/>
      <c r="FN229" s="74"/>
      <c r="FO229" s="74"/>
      <c r="FP229" s="74"/>
      <c r="FQ229" s="74"/>
      <c r="FR229" s="74"/>
      <c r="FS229" s="74"/>
      <c r="FT229" s="74"/>
      <c r="FU229" s="74"/>
      <c r="FV229" s="74"/>
      <c r="FW229" s="74"/>
      <c r="FX229" s="74"/>
      <c r="FY229" s="74"/>
      <c r="FZ229" s="74"/>
      <c r="GA229" s="74"/>
      <c r="GB229" s="74"/>
      <c r="GC229" s="74"/>
      <c r="GD229" s="74"/>
      <c r="GE229" s="74"/>
      <c r="GF229" s="64"/>
    </row>
    <row r="230">
      <c r="A230" s="96">
        <v>1.0</v>
      </c>
      <c r="B230" s="58"/>
      <c r="C230" s="58" t="s">
        <v>263</v>
      </c>
      <c r="D230" s="78" t="s">
        <v>121</v>
      </c>
      <c r="E230" s="86">
        <f>120000+(120000*11%)</f>
        <v>133200</v>
      </c>
      <c r="F230" s="80" t="s">
        <v>220</v>
      </c>
      <c r="G230" s="81">
        <v>0.0</v>
      </c>
      <c r="H230" s="82">
        <v>0.0</v>
      </c>
      <c r="I230" s="82"/>
      <c r="J230" s="82"/>
      <c r="K230" s="82">
        <f t="shared" ref="K230:K232" si="1620">SUM(I230:J230)</f>
        <v>0</v>
      </c>
      <c r="L230" s="82">
        <f t="shared" ref="L230:L232" si="1621">K230*E230</f>
        <v>0</v>
      </c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>
        <f t="shared" ref="AB230:AB232" si="1622">SUM(M230:AA230)</f>
        <v>0</v>
      </c>
      <c r="AC230" s="82">
        <f t="shared" ref="AC230:AC232" si="1623">AB230*E230</f>
        <v>0</v>
      </c>
      <c r="AD230" s="82">
        <f t="shared" ref="AD230:AD232" si="1624">G230+K230-AB230</f>
        <v>0</v>
      </c>
      <c r="AE230" s="82">
        <f t="shared" ref="AE230:AE232" si="1625">AD230*E230</f>
        <v>0</v>
      </c>
      <c r="AF230" s="82"/>
      <c r="AG230" s="82"/>
      <c r="AH230" s="82">
        <f t="shared" ref="AH230:AH232" si="1626">SUM(AF230:AG230)</f>
        <v>0</v>
      </c>
      <c r="AI230" s="82">
        <f t="shared" ref="AI230:AI232" si="1627">AH230*E230</f>
        <v>0</v>
      </c>
      <c r="AJ230" s="82"/>
      <c r="AK230" s="82"/>
      <c r="AL230" s="82"/>
      <c r="AM230" s="82"/>
      <c r="AN230" s="82">
        <f t="shared" ref="AN230:AN232" si="1628">SUM(AJ230:AM230)</f>
        <v>0</v>
      </c>
      <c r="AO230" s="82">
        <f t="shared" ref="AO230:AO232" si="1629">AN230*E230</f>
        <v>0</v>
      </c>
      <c r="AP230" s="82">
        <f t="shared" ref="AP230:AP232" si="1630">AD230+AH230-AN230</f>
        <v>0</v>
      </c>
      <c r="AQ230" s="82">
        <f t="shared" ref="AQ230:AQ232" si="1631">AP230*E230</f>
        <v>0</v>
      </c>
      <c r="AR230" s="82"/>
      <c r="AS230" s="82"/>
      <c r="AT230" s="82"/>
      <c r="AU230" s="82">
        <f t="shared" ref="AU230:AU232" si="1632">SUM(AS230:AT230)</f>
        <v>0</v>
      </c>
      <c r="AV230" s="82">
        <f t="shared" ref="AV230:AV232" si="1633">AU230*AB230</f>
        <v>0</v>
      </c>
      <c r="AW230" s="82"/>
      <c r="AX230" s="82"/>
      <c r="AY230" s="82"/>
      <c r="AZ230" s="82"/>
      <c r="BA230" s="82">
        <f t="shared" ref="BA230:BA232" si="1634">SUM(AW230:AZ230)</f>
        <v>0</v>
      </c>
      <c r="BB230" s="82">
        <f t="shared" ref="BB230:BB232" si="1635">BA230*AB230</f>
        <v>0</v>
      </c>
      <c r="BC230" s="82">
        <f t="shared" ref="BC230:BC232" si="1636">AP230+AU230-BA230</f>
        <v>0</v>
      </c>
      <c r="BD230" s="82">
        <f t="shared" ref="BD230:BD232" si="1637">BC230*E230</f>
        <v>0</v>
      </c>
      <c r="BE230" s="82">
        <f t="shared" ref="BE230:BE232" si="1638">K230+AH230+AU230</f>
        <v>0</v>
      </c>
      <c r="BF230" s="82">
        <f t="shared" ref="BF230:BF232" si="1639">AB230+AN230+BA230</f>
        <v>0</v>
      </c>
      <c r="BG230" s="82">
        <f t="shared" ref="BG230:BG232" si="1640">G230+BE230-BF230</f>
        <v>0</v>
      </c>
      <c r="BH230" s="82">
        <f t="shared" ref="BH230:BH232" si="1641">BG230*E230</f>
        <v>0</v>
      </c>
      <c r="BI230" s="82"/>
      <c r="BJ230" s="83"/>
      <c r="BK230" s="82">
        <f t="shared" ref="BK230:BK232" si="1642">SUM(BI230:BJ230)</f>
        <v>0</v>
      </c>
      <c r="BL230" s="82">
        <f t="shared" ref="BL230:BL232" si="1643">BK230*E230</f>
        <v>0</v>
      </c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>
        <f t="shared" ref="BW230:BW232" si="1644">SUM(BM230:BT230)</f>
        <v>0</v>
      </c>
      <c r="BX230" s="82">
        <f t="shared" ref="BX230:BX232" si="1645">BW230*E230</f>
        <v>0</v>
      </c>
      <c r="BY230" s="82">
        <f t="shared" ref="BY230:BY232" si="1646">BG230+BK230-BW230</f>
        <v>0</v>
      </c>
      <c r="BZ230" s="82">
        <f t="shared" ref="BZ230:BZ232" si="1647">BY230*E230</f>
        <v>0</v>
      </c>
      <c r="CA230" s="82"/>
      <c r="CB230" s="82"/>
      <c r="CC230" s="82">
        <f t="shared" ref="CC230:CC232" si="1648">sum(CA230:CB230)</f>
        <v>0</v>
      </c>
      <c r="CD230" s="82">
        <f t="shared" ref="CD230:CD232" si="1649">CC230*E230</f>
        <v>0</v>
      </c>
      <c r="CE230" s="82"/>
      <c r="CF230" s="82"/>
      <c r="CG230" s="82"/>
      <c r="CH230" s="82"/>
      <c r="CI230" s="82">
        <f t="shared" ref="CI230:CI232" si="1650">sum(CE230:CH230)</f>
        <v>0</v>
      </c>
      <c r="CJ230" s="82">
        <f t="shared" ref="CJ230:CJ232" si="1651">CI230*E230</f>
        <v>0</v>
      </c>
      <c r="CK230" s="82">
        <f t="shared" ref="CK230:CK232" si="1652">BY230+CC230-CI230</f>
        <v>0</v>
      </c>
      <c r="CL230" s="82">
        <f t="shared" ref="CL230:CL232" si="1653">CK230*E230</f>
        <v>0</v>
      </c>
      <c r="CM230" s="82"/>
      <c r="CN230" s="82"/>
      <c r="CO230" s="82">
        <f t="shared" ref="CO230:CO232" si="1654">SUM(CM230:CN230)</f>
        <v>0</v>
      </c>
      <c r="CP230" s="82">
        <f t="shared" ref="CP230:CP232" si="1655">CO230*E230</f>
        <v>0</v>
      </c>
      <c r="CQ230" s="82"/>
      <c r="CR230" s="82"/>
      <c r="CS230" s="82"/>
      <c r="CT230" s="82"/>
      <c r="CU230" s="82">
        <f t="shared" ref="CU230:CU232" si="1656">sum(CQ230:CT230)</f>
        <v>0</v>
      </c>
      <c r="CV230" s="82">
        <f t="shared" ref="CV230:CV232" si="1657">CU230*E230</f>
        <v>0</v>
      </c>
      <c r="CW230" s="82">
        <f t="shared" ref="CW230:CW232" si="1658">CK230+CO230-CU230</f>
        <v>0</v>
      </c>
      <c r="CX230" s="82">
        <f t="shared" ref="CX230:CX232" si="1659">CW230*E230</f>
        <v>0</v>
      </c>
      <c r="CY230" s="82">
        <f t="shared" ref="CY230:CY232" si="1660">BK230+CC230+CO230</f>
        <v>0</v>
      </c>
      <c r="CZ230" s="82">
        <f t="shared" ref="CZ230:CZ232" si="1661">BW230+CI230+CU230</f>
        <v>0</v>
      </c>
      <c r="DA230" s="82">
        <f t="shared" ref="DA230:DA232" si="1662">BG230+CY230-CZ230</f>
        <v>0</v>
      </c>
      <c r="DB230" s="82">
        <f t="shared" ref="DB230:DB232" si="1663">DA230*E230</f>
        <v>0</v>
      </c>
      <c r="DC230" s="84"/>
      <c r="DD230" s="83">
        <v>20.0</v>
      </c>
      <c r="DE230" s="82"/>
      <c r="DF230" s="82">
        <f t="shared" ref="DF230:DF242" si="1664">sum(DD230:DE230)</f>
        <v>20</v>
      </c>
      <c r="DG230" s="82">
        <f t="shared" ref="DG230:DG232" si="1665">DF230*E230</f>
        <v>2664000</v>
      </c>
      <c r="DH230" s="82"/>
      <c r="DI230" s="82"/>
      <c r="DJ230" s="82"/>
      <c r="DK230" s="82"/>
      <c r="DL230" s="82">
        <f t="shared" ref="DL230:DL232" si="1666">sum(DH230:DK230)</f>
        <v>0</v>
      </c>
      <c r="DM230" s="82">
        <f t="shared" ref="DM230:DM232" si="1667">DL230*E230</f>
        <v>0</v>
      </c>
      <c r="DN230" s="82">
        <f t="shared" ref="DN230:DN232" si="1668">DA230+DF230-DL230</f>
        <v>20</v>
      </c>
      <c r="DO230" s="82">
        <f t="shared" ref="DO230:DO232" si="1669">DN230*E230</f>
        <v>2664000</v>
      </c>
      <c r="DP230" s="82"/>
      <c r="DQ230" s="82"/>
      <c r="DR230" s="82">
        <f t="shared" ref="DR230:DR232" si="1670">sum(DP230:DQ230)</f>
        <v>0</v>
      </c>
      <c r="DS230" s="82">
        <f t="shared" ref="DS230:DS232" si="1671">DR230*AB230</f>
        <v>0</v>
      </c>
      <c r="DT230" s="82"/>
      <c r="DU230" s="82"/>
      <c r="DV230" s="82"/>
      <c r="DW230" s="82"/>
      <c r="DX230" s="82">
        <f t="shared" ref="DX230:DX232" si="1672">sum(DT230:DW230)</f>
        <v>0</v>
      </c>
      <c r="DY230" s="82">
        <f t="shared" ref="DY230:DY232" si="1673">DX230*AB230</f>
        <v>0</v>
      </c>
      <c r="DZ230" s="82">
        <f t="shared" ref="DZ230:DZ232" si="1674">DN230+DR230-DX230</f>
        <v>20</v>
      </c>
      <c r="EA230" s="82">
        <f t="shared" ref="EA230:EA232" si="1675">DZ230*E230</f>
        <v>2664000</v>
      </c>
      <c r="EB230" s="82"/>
      <c r="EC230" s="82"/>
      <c r="ED230" s="82">
        <f t="shared" ref="ED230:ED232" si="1676">sum(EB230:EC230)</f>
        <v>0</v>
      </c>
      <c r="EE230" s="82">
        <f t="shared" ref="EE230:EE232" si="1677">ED230*AN230</f>
        <v>0</v>
      </c>
      <c r="EF230" s="82"/>
      <c r="EG230" s="82"/>
      <c r="EH230" s="82"/>
      <c r="EI230" s="82"/>
      <c r="EJ230" s="82">
        <f t="shared" ref="EJ230:EJ232" si="1678">sum(EF230:EI230)</f>
        <v>0</v>
      </c>
      <c r="EK230" s="82">
        <f t="shared" ref="EK230:EK232" si="1679">EJ230*AN230</f>
        <v>0</v>
      </c>
      <c r="EL230" s="82">
        <f t="shared" ref="EL230:EL232" si="1680">DZ230+ED230-EJ230</f>
        <v>20</v>
      </c>
      <c r="EM230" s="82">
        <f t="shared" ref="EM230:EM232" si="1681">EL230*E230</f>
        <v>2664000</v>
      </c>
      <c r="EN230" s="82">
        <f t="shared" ref="EN230:EN232" si="1682">DF230+DR230+ED230</f>
        <v>20</v>
      </c>
      <c r="EO230" s="82">
        <f t="shared" ref="EO230:EO232" si="1683">DL230+DX230+EJ230</f>
        <v>0</v>
      </c>
      <c r="EP230" s="82">
        <f t="shared" ref="EP230:EP232" si="1684">DA230+EN230-EO230</f>
        <v>20</v>
      </c>
      <c r="EQ230" s="82">
        <f t="shared" ref="EQ230:EQ232" si="1685">EP230*E230</f>
        <v>2664000</v>
      </c>
      <c r="ER230" s="82"/>
      <c r="ES230" s="82"/>
      <c r="ET230" s="82">
        <f t="shared" ref="ET230:ET232" si="1686">sum(ER230:ES230)</f>
        <v>0</v>
      </c>
      <c r="EU230" s="82">
        <f t="shared" ref="EU230:EU232" si="1687">ET230*BE230</f>
        <v>0</v>
      </c>
      <c r="EV230" s="82"/>
      <c r="EW230" s="82"/>
      <c r="EX230" s="82"/>
      <c r="EY230" s="82"/>
      <c r="EZ230" s="82">
        <f t="shared" ref="EZ230:EZ232" si="1688">sum(EV230:EY230)</f>
        <v>0</v>
      </c>
      <c r="FA230" s="82">
        <f t="shared" ref="FA230:FA232" si="1689">EZ230*BE230</f>
        <v>0</v>
      </c>
      <c r="FB230" s="82">
        <f t="shared" ref="FB230:FB232" si="1690">EP230+ET230-EZ230</f>
        <v>20</v>
      </c>
      <c r="FC230" s="82">
        <f t="shared" ref="FC230:FC232" si="1691">FB230*E230</f>
        <v>2664000</v>
      </c>
      <c r="FD230" s="82"/>
      <c r="FE230" s="82"/>
      <c r="FF230" s="82">
        <f t="shared" ref="FF230:FF232" si="1692">sum(FD230:FE230)</f>
        <v>0</v>
      </c>
      <c r="FG230" s="82">
        <f t="shared" ref="FG230:FG232" si="1693">FF230*BW230</f>
        <v>0</v>
      </c>
      <c r="FH230" s="82"/>
      <c r="FI230" s="82"/>
      <c r="FJ230" s="82"/>
      <c r="FK230" s="82"/>
      <c r="FL230" s="82">
        <f t="shared" ref="FL230:FL232" si="1694">sum(FH230:FK230)</f>
        <v>0</v>
      </c>
      <c r="FM230" s="82">
        <f t="shared" ref="FM230:FM232" si="1695">FL230*BW230</f>
        <v>0</v>
      </c>
      <c r="FN230" s="82">
        <f t="shared" ref="FN230:FN232" si="1696">FB230+FF230-FL230</f>
        <v>20</v>
      </c>
      <c r="FO230" s="82">
        <f t="shared" ref="FO230:FO232" si="1697">FN230*E230</f>
        <v>2664000</v>
      </c>
      <c r="FP230" s="82"/>
      <c r="FQ230" s="82"/>
      <c r="FR230" s="82">
        <f t="shared" ref="FR230:FR232" si="1698">sum(FP230:FQ230)</f>
        <v>0</v>
      </c>
      <c r="FS230" s="82">
        <f t="shared" ref="FS230:FS232" si="1699">FR230*CI230</f>
        <v>0</v>
      </c>
      <c r="FT230" s="82"/>
      <c r="FU230" s="82"/>
      <c r="FV230" s="82"/>
      <c r="FW230" s="82"/>
      <c r="FX230" s="82">
        <f t="shared" ref="FX230:FX232" si="1700">sum(FT230:FW230)</f>
        <v>0</v>
      </c>
      <c r="FY230" s="82">
        <f t="shared" ref="FY230:FY232" si="1701">FX230*CI230</f>
        <v>0</v>
      </c>
      <c r="FZ230" s="82">
        <f t="shared" ref="FZ230:FZ232" si="1702">FN230+FR230-FX230</f>
        <v>20</v>
      </c>
      <c r="GA230" s="82">
        <f t="shared" ref="GA230:GA232" si="1703">FZ230*E230</f>
        <v>2664000</v>
      </c>
      <c r="GB230" s="82">
        <f t="shared" ref="GB230:GB232" si="1704">ET230+FF230+FR230</f>
        <v>0</v>
      </c>
      <c r="GC230" s="82">
        <f t="shared" ref="GC230:GC232" si="1705">EZ230+FL230+FX230</f>
        <v>0</v>
      </c>
      <c r="GD230" s="82">
        <f t="shared" ref="GD230:GD232" si="1706">EP230+GB230-GC230</f>
        <v>20</v>
      </c>
      <c r="GE230" s="82">
        <f t="shared" ref="GE230:GE232" si="1707">GD230*E230</f>
        <v>2664000</v>
      </c>
      <c r="GF230" s="85"/>
    </row>
    <row r="231" ht="18.0" customHeight="1">
      <c r="A231" s="76">
        <v>2.0</v>
      </c>
      <c r="B231" s="77"/>
      <c r="C231" s="77" t="s">
        <v>264</v>
      </c>
      <c r="D231" s="78" t="s">
        <v>249</v>
      </c>
      <c r="E231" s="79">
        <v>2640.0</v>
      </c>
      <c r="F231" s="61"/>
      <c r="G231" s="81">
        <v>600.0</v>
      </c>
      <c r="H231" s="82">
        <v>1584000.0</v>
      </c>
      <c r="I231" s="82"/>
      <c r="J231" s="82"/>
      <c r="K231" s="82">
        <f t="shared" si="1620"/>
        <v>0</v>
      </c>
      <c r="L231" s="82">
        <f t="shared" si="1621"/>
        <v>0</v>
      </c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>
        <f t="shared" si="1622"/>
        <v>0</v>
      </c>
      <c r="AC231" s="82">
        <f t="shared" si="1623"/>
        <v>0</v>
      </c>
      <c r="AD231" s="82">
        <f t="shared" si="1624"/>
        <v>600</v>
      </c>
      <c r="AE231" s="82">
        <f t="shared" si="1625"/>
        <v>1584000</v>
      </c>
      <c r="AF231" s="82"/>
      <c r="AG231" s="82"/>
      <c r="AH231" s="82">
        <f t="shared" si="1626"/>
        <v>0</v>
      </c>
      <c r="AI231" s="82">
        <f t="shared" si="1627"/>
        <v>0</v>
      </c>
      <c r="AJ231" s="82"/>
      <c r="AK231" s="82"/>
      <c r="AL231" s="82"/>
      <c r="AM231" s="82"/>
      <c r="AN231" s="82">
        <f t="shared" si="1628"/>
        <v>0</v>
      </c>
      <c r="AO231" s="82">
        <f t="shared" si="1629"/>
        <v>0</v>
      </c>
      <c r="AP231" s="82">
        <f t="shared" si="1630"/>
        <v>600</v>
      </c>
      <c r="AQ231" s="82">
        <f t="shared" si="1631"/>
        <v>1584000</v>
      </c>
      <c r="AR231" s="82"/>
      <c r="AS231" s="82"/>
      <c r="AT231" s="82"/>
      <c r="AU231" s="82">
        <f t="shared" si="1632"/>
        <v>0</v>
      </c>
      <c r="AV231" s="82">
        <f t="shared" si="1633"/>
        <v>0</v>
      </c>
      <c r="AW231" s="82"/>
      <c r="AX231" s="82"/>
      <c r="AY231" s="82"/>
      <c r="AZ231" s="82"/>
      <c r="BA231" s="82">
        <f t="shared" si="1634"/>
        <v>0</v>
      </c>
      <c r="BB231" s="82">
        <f t="shared" si="1635"/>
        <v>0</v>
      </c>
      <c r="BC231" s="82">
        <f t="shared" si="1636"/>
        <v>600</v>
      </c>
      <c r="BD231" s="82">
        <f t="shared" si="1637"/>
        <v>1584000</v>
      </c>
      <c r="BE231" s="82">
        <f t="shared" si="1638"/>
        <v>0</v>
      </c>
      <c r="BF231" s="82">
        <f t="shared" si="1639"/>
        <v>0</v>
      </c>
      <c r="BG231" s="82">
        <f t="shared" si="1640"/>
        <v>600</v>
      </c>
      <c r="BH231" s="82">
        <f t="shared" si="1641"/>
        <v>1584000</v>
      </c>
      <c r="BI231" s="82"/>
      <c r="BJ231" s="83"/>
      <c r="BK231" s="82">
        <f t="shared" si="1642"/>
        <v>0</v>
      </c>
      <c r="BL231" s="82">
        <f t="shared" si="1643"/>
        <v>0</v>
      </c>
      <c r="BM231" s="82"/>
      <c r="BN231" s="82"/>
      <c r="BO231" s="82"/>
      <c r="BP231" s="82"/>
      <c r="BQ231" s="82"/>
      <c r="BR231" s="82"/>
      <c r="BS231" s="82"/>
      <c r="BT231" s="82"/>
      <c r="BU231" s="82"/>
      <c r="BV231" s="82"/>
      <c r="BW231" s="82">
        <f t="shared" si="1644"/>
        <v>0</v>
      </c>
      <c r="BX231" s="82">
        <f t="shared" si="1645"/>
        <v>0</v>
      </c>
      <c r="BY231" s="82">
        <f t="shared" si="1646"/>
        <v>600</v>
      </c>
      <c r="BZ231" s="82">
        <f t="shared" si="1647"/>
        <v>1584000</v>
      </c>
      <c r="CA231" s="82"/>
      <c r="CB231" s="82"/>
      <c r="CC231" s="82">
        <f t="shared" si="1648"/>
        <v>0</v>
      </c>
      <c r="CD231" s="82">
        <f t="shared" si="1649"/>
        <v>0</v>
      </c>
      <c r="CE231" s="82"/>
      <c r="CF231" s="82"/>
      <c r="CG231" s="82"/>
      <c r="CH231" s="82"/>
      <c r="CI231" s="82">
        <f t="shared" si="1650"/>
        <v>0</v>
      </c>
      <c r="CJ231" s="82">
        <f t="shared" si="1651"/>
        <v>0</v>
      </c>
      <c r="CK231" s="82">
        <f t="shared" si="1652"/>
        <v>600</v>
      </c>
      <c r="CL231" s="82">
        <f t="shared" si="1653"/>
        <v>1584000</v>
      </c>
      <c r="CM231" s="82"/>
      <c r="CN231" s="82"/>
      <c r="CO231" s="82">
        <f t="shared" si="1654"/>
        <v>0</v>
      </c>
      <c r="CP231" s="82">
        <f t="shared" si="1655"/>
        <v>0</v>
      </c>
      <c r="CQ231" s="83"/>
      <c r="CR231" s="82"/>
      <c r="CS231" s="82"/>
      <c r="CT231" s="82"/>
      <c r="CU231" s="82">
        <f t="shared" si="1656"/>
        <v>0</v>
      </c>
      <c r="CV231" s="82">
        <f t="shared" si="1657"/>
        <v>0</v>
      </c>
      <c r="CW231" s="82">
        <f t="shared" si="1658"/>
        <v>600</v>
      </c>
      <c r="CX231" s="82">
        <f t="shared" si="1659"/>
        <v>1584000</v>
      </c>
      <c r="CY231" s="82">
        <f t="shared" si="1660"/>
        <v>0</v>
      </c>
      <c r="CZ231" s="82">
        <f t="shared" si="1661"/>
        <v>0</v>
      </c>
      <c r="DA231" s="82">
        <f t="shared" si="1662"/>
        <v>600</v>
      </c>
      <c r="DB231" s="82">
        <f t="shared" si="1663"/>
        <v>1584000</v>
      </c>
      <c r="DC231" s="91"/>
      <c r="DD231" s="82"/>
      <c r="DE231" s="82"/>
      <c r="DF231" s="82">
        <f t="shared" si="1664"/>
        <v>0</v>
      </c>
      <c r="DG231" s="82">
        <f t="shared" si="1665"/>
        <v>0</v>
      </c>
      <c r="DH231" s="82"/>
      <c r="DI231" s="82"/>
      <c r="DJ231" s="82"/>
      <c r="DK231" s="82"/>
      <c r="DL231" s="82">
        <f t="shared" si="1666"/>
        <v>0</v>
      </c>
      <c r="DM231" s="82">
        <f t="shared" si="1667"/>
        <v>0</v>
      </c>
      <c r="DN231" s="82">
        <f t="shared" si="1668"/>
        <v>600</v>
      </c>
      <c r="DO231" s="82">
        <f t="shared" si="1669"/>
        <v>1584000</v>
      </c>
      <c r="DP231" s="82"/>
      <c r="DQ231" s="82"/>
      <c r="DR231" s="82">
        <f t="shared" si="1670"/>
        <v>0</v>
      </c>
      <c r="DS231" s="82">
        <f t="shared" si="1671"/>
        <v>0</v>
      </c>
      <c r="DT231" s="82"/>
      <c r="DU231" s="82"/>
      <c r="DV231" s="82"/>
      <c r="DW231" s="82"/>
      <c r="DX231" s="82">
        <f t="shared" si="1672"/>
        <v>0</v>
      </c>
      <c r="DY231" s="82">
        <f t="shared" si="1673"/>
        <v>0</v>
      </c>
      <c r="DZ231" s="82">
        <f t="shared" si="1674"/>
        <v>600</v>
      </c>
      <c r="EA231" s="82">
        <f t="shared" si="1675"/>
        <v>1584000</v>
      </c>
      <c r="EB231" s="82"/>
      <c r="EC231" s="82"/>
      <c r="ED231" s="82">
        <f t="shared" si="1676"/>
        <v>0</v>
      </c>
      <c r="EE231" s="82">
        <f t="shared" si="1677"/>
        <v>0</v>
      </c>
      <c r="EF231" s="82"/>
      <c r="EG231" s="82"/>
      <c r="EH231" s="82"/>
      <c r="EI231" s="82"/>
      <c r="EJ231" s="82">
        <f t="shared" si="1678"/>
        <v>0</v>
      </c>
      <c r="EK231" s="82">
        <f t="shared" si="1679"/>
        <v>0</v>
      </c>
      <c r="EL231" s="82">
        <f t="shared" si="1680"/>
        <v>600</v>
      </c>
      <c r="EM231" s="82">
        <f t="shared" si="1681"/>
        <v>1584000</v>
      </c>
      <c r="EN231" s="82">
        <f t="shared" si="1682"/>
        <v>0</v>
      </c>
      <c r="EO231" s="82">
        <f t="shared" si="1683"/>
        <v>0</v>
      </c>
      <c r="EP231" s="82">
        <f t="shared" si="1684"/>
        <v>600</v>
      </c>
      <c r="EQ231" s="82">
        <f t="shared" si="1685"/>
        <v>1584000</v>
      </c>
      <c r="ER231" s="82"/>
      <c r="ES231" s="82"/>
      <c r="ET231" s="82">
        <f t="shared" si="1686"/>
        <v>0</v>
      </c>
      <c r="EU231" s="82">
        <f t="shared" si="1687"/>
        <v>0</v>
      </c>
      <c r="EV231" s="82"/>
      <c r="EW231" s="82"/>
      <c r="EX231" s="82"/>
      <c r="EY231" s="82"/>
      <c r="EZ231" s="82">
        <f t="shared" si="1688"/>
        <v>0</v>
      </c>
      <c r="FA231" s="82">
        <f t="shared" si="1689"/>
        <v>0</v>
      </c>
      <c r="FB231" s="82">
        <f t="shared" si="1690"/>
        <v>600</v>
      </c>
      <c r="FC231" s="82">
        <f t="shared" si="1691"/>
        <v>1584000</v>
      </c>
      <c r="FD231" s="82"/>
      <c r="FE231" s="82"/>
      <c r="FF231" s="82">
        <f t="shared" si="1692"/>
        <v>0</v>
      </c>
      <c r="FG231" s="82">
        <f t="shared" si="1693"/>
        <v>0</v>
      </c>
      <c r="FH231" s="82"/>
      <c r="FI231" s="82"/>
      <c r="FJ231" s="82"/>
      <c r="FK231" s="82"/>
      <c r="FL231" s="82">
        <f t="shared" si="1694"/>
        <v>0</v>
      </c>
      <c r="FM231" s="82">
        <f t="shared" si="1695"/>
        <v>0</v>
      </c>
      <c r="FN231" s="82">
        <f t="shared" si="1696"/>
        <v>600</v>
      </c>
      <c r="FO231" s="82">
        <f t="shared" si="1697"/>
        <v>1584000</v>
      </c>
      <c r="FP231" s="82"/>
      <c r="FQ231" s="82"/>
      <c r="FR231" s="82">
        <f t="shared" si="1698"/>
        <v>0</v>
      </c>
      <c r="FS231" s="82">
        <f t="shared" si="1699"/>
        <v>0</v>
      </c>
      <c r="FT231" s="82"/>
      <c r="FU231" s="82"/>
      <c r="FV231" s="82"/>
      <c r="FW231" s="82"/>
      <c r="FX231" s="82">
        <f t="shared" si="1700"/>
        <v>0</v>
      </c>
      <c r="FY231" s="82">
        <f t="shared" si="1701"/>
        <v>0</v>
      </c>
      <c r="FZ231" s="82">
        <f t="shared" si="1702"/>
        <v>600</v>
      </c>
      <c r="GA231" s="82">
        <f t="shared" si="1703"/>
        <v>1584000</v>
      </c>
      <c r="GB231" s="82">
        <f t="shared" si="1704"/>
        <v>0</v>
      </c>
      <c r="GC231" s="82">
        <f t="shared" si="1705"/>
        <v>0</v>
      </c>
      <c r="GD231" s="82">
        <f t="shared" si="1706"/>
        <v>600</v>
      </c>
      <c r="GE231" s="82">
        <f t="shared" si="1707"/>
        <v>1584000</v>
      </c>
      <c r="GF231" s="85"/>
    </row>
    <row r="232" ht="18.0" customHeight="1">
      <c r="A232" s="50"/>
      <c r="B232" s="50"/>
      <c r="C232" s="50"/>
      <c r="D232" s="78" t="s">
        <v>249</v>
      </c>
      <c r="E232" s="79">
        <v>3219.0</v>
      </c>
      <c r="F232" s="61" t="s">
        <v>92</v>
      </c>
      <c r="G232" s="81">
        <v>1980.0</v>
      </c>
      <c r="H232" s="82">
        <v>6373620.0</v>
      </c>
      <c r="I232" s="82"/>
      <c r="J232" s="82"/>
      <c r="K232" s="82">
        <f t="shared" si="1620"/>
        <v>0</v>
      </c>
      <c r="L232" s="82">
        <f t="shared" si="1621"/>
        <v>0</v>
      </c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>
        <f t="shared" si="1622"/>
        <v>0</v>
      </c>
      <c r="AC232" s="82">
        <f t="shared" si="1623"/>
        <v>0</v>
      </c>
      <c r="AD232" s="82">
        <f t="shared" si="1624"/>
        <v>1980</v>
      </c>
      <c r="AE232" s="82">
        <f t="shared" si="1625"/>
        <v>6373620</v>
      </c>
      <c r="AF232" s="82"/>
      <c r="AG232" s="82"/>
      <c r="AH232" s="82">
        <f t="shared" si="1626"/>
        <v>0</v>
      </c>
      <c r="AI232" s="82">
        <f t="shared" si="1627"/>
        <v>0</v>
      </c>
      <c r="AJ232" s="82"/>
      <c r="AK232" s="82"/>
      <c r="AL232" s="82"/>
      <c r="AM232" s="82"/>
      <c r="AN232" s="82">
        <f t="shared" si="1628"/>
        <v>0</v>
      </c>
      <c r="AO232" s="82">
        <f t="shared" si="1629"/>
        <v>0</v>
      </c>
      <c r="AP232" s="82">
        <f t="shared" si="1630"/>
        <v>1980</v>
      </c>
      <c r="AQ232" s="82">
        <f t="shared" si="1631"/>
        <v>6373620</v>
      </c>
      <c r="AR232" s="82"/>
      <c r="AS232" s="82"/>
      <c r="AT232" s="82"/>
      <c r="AU232" s="82">
        <f t="shared" si="1632"/>
        <v>0</v>
      </c>
      <c r="AV232" s="82">
        <f t="shared" si="1633"/>
        <v>0</v>
      </c>
      <c r="AW232" s="82"/>
      <c r="AX232" s="82"/>
      <c r="AY232" s="82"/>
      <c r="AZ232" s="82"/>
      <c r="BA232" s="82">
        <f t="shared" si="1634"/>
        <v>0</v>
      </c>
      <c r="BB232" s="82">
        <f t="shared" si="1635"/>
        <v>0</v>
      </c>
      <c r="BC232" s="82">
        <f t="shared" si="1636"/>
        <v>1980</v>
      </c>
      <c r="BD232" s="82">
        <f t="shared" si="1637"/>
        <v>6373620</v>
      </c>
      <c r="BE232" s="82">
        <f t="shared" si="1638"/>
        <v>0</v>
      </c>
      <c r="BF232" s="82">
        <f t="shared" si="1639"/>
        <v>0</v>
      </c>
      <c r="BG232" s="82">
        <f t="shared" si="1640"/>
        <v>1980</v>
      </c>
      <c r="BH232" s="82">
        <f t="shared" si="1641"/>
        <v>6373620</v>
      </c>
      <c r="BI232" s="82"/>
      <c r="BJ232" s="83"/>
      <c r="BK232" s="82">
        <f t="shared" si="1642"/>
        <v>0</v>
      </c>
      <c r="BL232" s="82">
        <f t="shared" si="1643"/>
        <v>0</v>
      </c>
      <c r="BM232" s="82"/>
      <c r="BN232" s="82"/>
      <c r="BO232" s="82"/>
      <c r="BP232" s="82"/>
      <c r="BQ232" s="82"/>
      <c r="BR232" s="82"/>
      <c r="BS232" s="82"/>
      <c r="BT232" s="82"/>
      <c r="BU232" s="82"/>
      <c r="BV232" s="82"/>
      <c r="BW232" s="82">
        <f t="shared" si="1644"/>
        <v>0</v>
      </c>
      <c r="BX232" s="82">
        <f t="shared" si="1645"/>
        <v>0</v>
      </c>
      <c r="BY232" s="82">
        <f t="shared" si="1646"/>
        <v>1980</v>
      </c>
      <c r="BZ232" s="82">
        <f t="shared" si="1647"/>
        <v>6373620</v>
      </c>
      <c r="CA232" s="82"/>
      <c r="CB232" s="82"/>
      <c r="CC232" s="82">
        <f t="shared" si="1648"/>
        <v>0</v>
      </c>
      <c r="CD232" s="82">
        <f t="shared" si="1649"/>
        <v>0</v>
      </c>
      <c r="CE232" s="82"/>
      <c r="CF232" s="82"/>
      <c r="CG232" s="82"/>
      <c r="CH232" s="82"/>
      <c r="CI232" s="82">
        <f t="shared" si="1650"/>
        <v>0</v>
      </c>
      <c r="CJ232" s="82">
        <f t="shared" si="1651"/>
        <v>0</v>
      </c>
      <c r="CK232" s="82">
        <f t="shared" si="1652"/>
        <v>1980</v>
      </c>
      <c r="CL232" s="82">
        <f t="shared" si="1653"/>
        <v>6373620</v>
      </c>
      <c r="CM232" s="82"/>
      <c r="CN232" s="82"/>
      <c r="CO232" s="82">
        <f t="shared" si="1654"/>
        <v>0</v>
      </c>
      <c r="CP232" s="82">
        <f t="shared" si="1655"/>
        <v>0</v>
      </c>
      <c r="CQ232" s="83">
        <v>100.0</v>
      </c>
      <c r="CR232" s="82"/>
      <c r="CS232" s="82"/>
      <c r="CT232" s="82"/>
      <c r="CU232" s="82">
        <f t="shared" si="1656"/>
        <v>100</v>
      </c>
      <c r="CV232" s="82">
        <f t="shared" si="1657"/>
        <v>321900</v>
      </c>
      <c r="CW232" s="82">
        <f t="shared" si="1658"/>
        <v>1880</v>
      </c>
      <c r="CX232" s="82">
        <f t="shared" si="1659"/>
        <v>6051720</v>
      </c>
      <c r="CY232" s="82">
        <f t="shared" si="1660"/>
        <v>0</v>
      </c>
      <c r="CZ232" s="82">
        <f t="shared" si="1661"/>
        <v>100</v>
      </c>
      <c r="DA232" s="82">
        <f t="shared" si="1662"/>
        <v>1880</v>
      </c>
      <c r="DB232" s="82">
        <f t="shared" si="1663"/>
        <v>6051720</v>
      </c>
      <c r="DC232" s="91"/>
      <c r="DD232" s="82"/>
      <c r="DE232" s="82"/>
      <c r="DF232" s="82">
        <f t="shared" si="1664"/>
        <v>0</v>
      </c>
      <c r="DG232" s="82">
        <f t="shared" si="1665"/>
        <v>0</v>
      </c>
      <c r="DH232" s="83">
        <v>30.0</v>
      </c>
      <c r="DI232" s="82"/>
      <c r="DJ232" s="82"/>
      <c r="DK232" s="82"/>
      <c r="DL232" s="82">
        <f t="shared" si="1666"/>
        <v>30</v>
      </c>
      <c r="DM232" s="82">
        <f t="shared" si="1667"/>
        <v>96570</v>
      </c>
      <c r="DN232" s="82">
        <f t="shared" si="1668"/>
        <v>1850</v>
      </c>
      <c r="DO232" s="82">
        <f t="shared" si="1669"/>
        <v>5955150</v>
      </c>
      <c r="DP232" s="82"/>
      <c r="DQ232" s="82"/>
      <c r="DR232" s="82">
        <f t="shared" si="1670"/>
        <v>0</v>
      </c>
      <c r="DS232" s="82">
        <f t="shared" si="1671"/>
        <v>0</v>
      </c>
      <c r="DT232" s="82"/>
      <c r="DU232" s="82"/>
      <c r="DV232" s="82"/>
      <c r="DW232" s="82"/>
      <c r="DX232" s="82">
        <f t="shared" si="1672"/>
        <v>0</v>
      </c>
      <c r="DY232" s="82">
        <f t="shared" si="1673"/>
        <v>0</v>
      </c>
      <c r="DZ232" s="82">
        <f t="shared" si="1674"/>
        <v>1850</v>
      </c>
      <c r="EA232" s="82">
        <f t="shared" si="1675"/>
        <v>5955150</v>
      </c>
      <c r="EB232" s="82"/>
      <c r="EC232" s="82"/>
      <c r="ED232" s="82">
        <f t="shared" si="1676"/>
        <v>0</v>
      </c>
      <c r="EE232" s="82">
        <f t="shared" si="1677"/>
        <v>0</v>
      </c>
      <c r="EF232" s="82"/>
      <c r="EG232" s="82"/>
      <c r="EH232" s="82"/>
      <c r="EI232" s="82"/>
      <c r="EJ232" s="82">
        <f t="shared" si="1678"/>
        <v>0</v>
      </c>
      <c r="EK232" s="82">
        <f t="shared" si="1679"/>
        <v>0</v>
      </c>
      <c r="EL232" s="82">
        <f t="shared" si="1680"/>
        <v>1850</v>
      </c>
      <c r="EM232" s="82">
        <f t="shared" si="1681"/>
        <v>5955150</v>
      </c>
      <c r="EN232" s="82">
        <f t="shared" si="1682"/>
        <v>0</v>
      </c>
      <c r="EO232" s="82">
        <f t="shared" si="1683"/>
        <v>30</v>
      </c>
      <c r="EP232" s="82">
        <f t="shared" si="1684"/>
        <v>1850</v>
      </c>
      <c r="EQ232" s="82">
        <f t="shared" si="1685"/>
        <v>5955150</v>
      </c>
      <c r="ER232" s="82"/>
      <c r="ES232" s="82"/>
      <c r="ET232" s="82">
        <f t="shared" si="1686"/>
        <v>0</v>
      </c>
      <c r="EU232" s="82">
        <f t="shared" si="1687"/>
        <v>0</v>
      </c>
      <c r="EV232" s="82"/>
      <c r="EW232" s="82"/>
      <c r="EX232" s="82"/>
      <c r="EY232" s="82"/>
      <c r="EZ232" s="82">
        <f t="shared" si="1688"/>
        <v>0</v>
      </c>
      <c r="FA232" s="82">
        <f t="shared" si="1689"/>
        <v>0</v>
      </c>
      <c r="FB232" s="82">
        <f t="shared" si="1690"/>
        <v>1850</v>
      </c>
      <c r="FC232" s="82">
        <f t="shared" si="1691"/>
        <v>5955150</v>
      </c>
      <c r="FD232" s="82"/>
      <c r="FE232" s="82"/>
      <c r="FF232" s="82">
        <f t="shared" si="1692"/>
        <v>0</v>
      </c>
      <c r="FG232" s="82">
        <f t="shared" si="1693"/>
        <v>0</v>
      </c>
      <c r="FH232" s="82"/>
      <c r="FI232" s="82"/>
      <c r="FJ232" s="82"/>
      <c r="FK232" s="82"/>
      <c r="FL232" s="82">
        <f t="shared" si="1694"/>
        <v>0</v>
      </c>
      <c r="FM232" s="82">
        <f t="shared" si="1695"/>
        <v>0</v>
      </c>
      <c r="FN232" s="82">
        <f t="shared" si="1696"/>
        <v>1850</v>
      </c>
      <c r="FO232" s="82">
        <f t="shared" si="1697"/>
        <v>5955150</v>
      </c>
      <c r="FP232" s="82"/>
      <c r="FQ232" s="82"/>
      <c r="FR232" s="82">
        <f t="shared" si="1698"/>
        <v>0</v>
      </c>
      <c r="FS232" s="82">
        <f t="shared" si="1699"/>
        <v>0</v>
      </c>
      <c r="FT232" s="82"/>
      <c r="FU232" s="82"/>
      <c r="FV232" s="82"/>
      <c r="FW232" s="82"/>
      <c r="FX232" s="82">
        <f t="shared" si="1700"/>
        <v>0</v>
      </c>
      <c r="FY232" s="82">
        <f t="shared" si="1701"/>
        <v>0</v>
      </c>
      <c r="FZ232" s="82">
        <f t="shared" si="1702"/>
        <v>1850</v>
      </c>
      <c r="GA232" s="82">
        <f t="shared" si="1703"/>
        <v>5955150</v>
      </c>
      <c r="GB232" s="82">
        <f t="shared" si="1704"/>
        <v>0</v>
      </c>
      <c r="GC232" s="82">
        <f t="shared" si="1705"/>
        <v>0</v>
      </c>
      <c r="GD232" s="82">
        <f t="shared" si="1706"/>
        <v>1850</v>
      </c>
      <c r="GE232" s="82">
        <f t="shared" si="1707"/>
        <v>5955150</v>
      </c>
      <c r="GF232" s="85"/>
    </row>
    <row r="233" ht="30.0" customHeight="1">
      <c r="A233" s="96"/>
      <c r="B233" s="58"/>
      <c r="C233" s="58"/>
      <c r="D233" s="89" t="s">
        <v>249</v>
      </c>
      <c r="E233" s="86">
        <f>3500+(3500*11%)</f>
        <v>3885</v>
      </c>
      <c r="F233" s="80" t="s">
        <v>220</v>
      </c>
      <c r="G233" s="81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3"/>
      <c r="BK233" s="82"/>
      <c r="BL233" s="82"/>
      <c r="BM233" s="82"/>
      <c r="BN233" s="82"/>
      <c r="BO233" s="82"/>
      <c r="BP233" s="82"/>
      <c r="BQ233" s="82"/>
      <c r="BR233" s="82"/>
      <c r="BS233" s="82"/>
      <c r="BT233" s="82"/>
      <c r="BU233" s="82"/>
      <c r="BV233" s="82"/>
      <c r="BW233" s="82"/>
      <c r="BX233" s="82"/>
      <c r="BY233" s="82"/>
      <c r="BZ233" s="82"/>
      <c r="CA233" s="82"/>
      <c r="CB233" s="82"/>
      <c r="CC233" s="82"/>
      <c r="CD233" s="82"/>
      <c r="CE233" s="82"/>
      <c r="CF233" s="82"/>
      <c r="CG233" s="82"/>
      <c r="CH233" s="82"/>
      <c r="CI233" s="82"/>
      <c r="CJ233" s="82"/>
      <c r="CK233" s="82"/>
      <c r="CL233" s="82"/>
      <c r="CM233" s="82"/>
      <c r="CN233" s="82"/>
      <c r="CO233" s="82"/>
      <c r="CP233" s="82"/>
      <c r="CQ233" s="82"/>
      <c r="CR233" s="82"/>
      <c r="CS233" s="82"/>
      <c r="CT233" s="82"/>
      <c r="CU233" s="82"/>
      <c r="CV233" s="82"/>
      <c r="CW233" s="82"/>
      <c r="CX233" s="82"/>
      <c r="CY233" s="82"/>
      <c r="CZ233" s="82"/>
      <c r="DA233" s="82"/>
      <c r="DB233" s="82"/>
      <c r="DC233" s="84"/>
      <c r="DD233" s="83">
        <v>2000.0</v>
      </c>
      <c r="DE233" s="82"/>
      <c r="DF233" s="82">
        <f t="shared" si="1664"/>
        <v>2000</v>
      </c>
      <c r="DG233" s="82">
        <f t="shared" ref="DG233:DG234" si="1708">DD233*E233</f>
        <v>7770000</v>
      </c>
      <c r="DH233" s="82"/>
      <c r="DI233" s="82"/>
      <c r="DJ233" s="82"/>
      <c r="DK233" s="82"/>
      <c r="DL233" s="82"/>
      <c r="DM233" s="82"/>
      <c r="DN233" s="82"/>
      <c r="DO233" s="82"/>
      <c r="DP233" s="82"/>
      <c r="DQ233" s="82"/>
      <c r="DR233" s="82"/>
      <c r="DS233" s="82"/>
      <c r="DT233" s="82"/>
      <c r="DU233" s="82"/>
      <c r="DV233" s="82"/>
      <c r="DW233" s="82"/>
      <c r="DX233" s="82"/>
      <c r="DY233" s="82"/>
      <c r="DZ233" s="82"/>
      <c r="EA233" s="82"/>
      <c r="EB233" s="82"/>
      <c r="EC233" s="82"/>
      <c r="ED233" s="82"/>
      <c r="EE233" s="82"/>
      <c r="EF233" s="82"/>
      <c r="EG233" s="82"/>
      <c r="EH233" s="82"/>
      <c r="EI233" s="82"/>
      <c r="EJ233" s="82"/>
      <c r="EK233" s="82"/>
      <c r="EL233" s="82"/>
      <c r="EM233" s="82"/>
      <c r="EN233" s="82"/>
      <c r="EO233" s="82"/>
      <c r="EP233" s="82"/>
      <c r="EQ233" s="82"/>
      <c r="ER233" s="82"/>
      <c r="ES233" s="82"/>
      <c r="ET233" s="82"/>
      <c r="EU233" s="82"/>
      <c r="EV233" s="82"/>
      <c r="EW233" s="82"/>
      <c r="EX233" s="82"/>
      <c r="EY233" s="82"/>
      <c r="EZ233" s="82"/>
      <c r="FA233" s="82"/>
      <c r="FB233" s="82"/>
      <c r="FC233" s="82"/>
      <c r="FD233" s="82"/>
      <c r="FE233" s="82"/>
      <c r="FF233" s="82"/>
      <c r="FG233" s="82"/>
      <c r="FH233" s="82"/>
      <c r="FI233" s="82"/>
      <c r="FJ233" s="82"/>
      <c r="FK233" s="82"/>
      <c r="FL233" s="82"/>
      <c r="FM233" s="82"/>
      <c r="FN233" s="82"/>
      <c r="FO233" s="82"/>
      <c r="FP233" s="82"/>
      <c r="FQ233" s="82"/>
      <c r="FR233" s="82"/>
      <c r="FS233" s="82"/>
      <c r="FT233" s="82"/>
      <c r="FU233" s="82"/>
      <c r="FV233" s="82"/>
      <c r="FW233" s="82"/>
      <c r="FX233" s="82"/>
      <c r="FY233" s="82"/>
      <c r="FZ233" s="82"/>
      <c r="GA233" s="82"/>
      <c r="GB233" s="82"/>
      <c r="GC233" s="82"/>
      <c r="GD233" s="82"/>
      <c r="GE233" s="82"/>
      <c r="GF233" s="85"/>
    </row>
    <row r="234">
      <c r="A234" s="96">
        <v>3.0</v>
      </c>
      <c r="B234" s="58"/>
      <c r="C234" s="58" t="s">
        <v>265</v>
      </c>
      <c r="D234" s="78" t="s">
        <v>121</v>
      </c>
      <c r="E234" s="86">
        <f>40000+(40000*11%)</f>
        <v>44400</v>
      </c>
      <c r="F234" s="80" t="s">
        <v>220</v>
      </c>
      <c r="G234" s="81">
        <v>0.0</v>
      </c>
      <c r="H234" s="82">
        <v>0.0</v>
      </c>
      <c r="I234" s="82"/>
      <c r="J234" s="82"/>
      <c r="K234" s="82">
        <f t="shared" ref="K234:K242" si="1709">SUM(I234:J234)</f>
        <v>0</v>
      </c>
      <c r="L234" s="82">
        <f t="shared" ref="L234:L242" si="1710">K234*E234</f>
        <v>0</v>
      </c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>
        <f t="shared" ref="AB234:AB244" si="1711">SUM(M234:AA234)</f>
        <v>0</v>
      </c>
      <c r="AC234" s="82">
        <f t="shared" ref="AC234:AC242" si="1712">AB234*E234</f>
        <v>0</v>
      </c>
      <c r="AD234" s="82">
        <f t="shared" ref="AD234:AD242" si="1713">G234+K234-AB234</f>
        <v>0</v>
      </c>
      <c r="AE234" s="82">
        <f t="shared" ref="AE234:AE242" si="1714">AD234*E234</f>
        <v>0</v>
      </c>
      <c r="AF234" s="82"/>
      <c r="AG234" s="82"/>
      <c r="AH234" s="82">
        <f t="shared" ref="AH234:AH242" si="1715">SUM(AF234:AG234)</f>
        <v>0</v>
      </c>
      <c r="AI234" s="82">
        <f t="shared" ref="AI234:AI242" si="1716">AH234*E234</f>
        <v>0</v>
      </c>
      <c r="AJ234" s="82"/>
      <c r="AK234" s="82"/>
      <c r="AL234" s="82"/>
      <c r="AM234" s="82"/>
      <c r="AN234" s="82">
        <f t="shared" ref="AN234:AN242" si="1717">SUM(AJ234:AM234)</f>
        <v>0</v>
      </c>
      <c r="AO234" s="82">
        <f t="shared" ref="AO234:AO242" si="1718">AN234*E234</f>
        <v>0</v>
      </c>
      <c r="AP234" s="82">
        <f t="shared" ref="AP234:AP242" si="1719">AD234+AH234-AN234</f>
        <v>0</v>
      </c>
      <c r="AQ234" s="82">
        <f t="shared" ref="AQ234:AQ242" si="1720">AP234*E234</f>
        <v>0</v>
      </c>
      <c r="AR234" s="82"/>
      <c r="AS234" s="82"/>
      <c r="AT234" s="82"/>
      <c r="AU234" s="82">
        <f t="shared" ref="AU234:AU242" si="1721">SUM(AS234:AT234)</f>
        <v>0</v>
      </c>
      <c r="AV234" s="82">
        <f t="shared" ref="AV234:AV242" si="1722">AU234*AB234</f>
        <v>0</v>
      </c>
      <c r="AW234" s="82"/>
      <c r="AX234" s="82"/>
      <c r="AY234" s="82"/>
      <c r="AZ234" s="82"/>
      <c r="BA234" s="82">
        <f t="shared" ref="BA234:BA242" si="1723">SUM(AW234:AZ234)</f>
        <v>0</v>
      </c>
      <c r="BB234" s="82">
        <f t="shared" ref="BB234:BB242" si="1724">BA234*AB234</f>
        <v>0</v>
      </c>
      <c r="BC234" s="82">
        <f t="shared" ref="BC234:BC242" si="1725">AP234+AU234-BA234</f>
        <v>0</v>
      </c>
      <c r="BD234" s="82">
        <f t="shared" ref="BD234:BD242" si="1726">BC234*E234</f>
        <v>0</v>
      </c>
      <c r="BE234" s="82">
        <f t="shared" ref="BE234:BE242" si="1727">K234+AH234+AU234</f>
        <v>0</v>
      </c>
      <c r="BF234" s="82">
        <f t="shared" ref="BF234:BF242" si="1728">AB234+AN234+BA234</f>
        <v>0</v>
      </c>
      <c r="BG234" s="82">
        <f t="shared" ref="BG234:BG242" si="1729">G234+BE234-BF234</f>
        <v>0</v>
      </c>
      <c r="BH234" s="82">
        <f t="shared" ref="BH234:BH242" si="1730">BG234*E234</f>
        <v>0</v>
      </c>
      <c r="BI234" s="82"/>
      <c r="BJ234" s="83"/>
      <c r="BK234" s="82">
        <f t="shared" ref="BK234:BK242" si="1731">SUM(BI234:BJ234)</f>
        <v>0</v>
      </c>
      <c r="BL234" s="82">
        <f t="shared" ref="BL234:BL242" si="1732">BK234*E234</f>
        <v>0</v>
      </c>
      <c r="BM234" s="82"/>
      <c r="BN234" s="82"/>
      <c r="BO234" s="82"/>
      <c r="BP234" s="82"/>
      <c r="BQ234" s="82"/>
      <c r="BR234" s="82"/>
      <c r="BS234" s="82"/>
      <c r="BT234" s="82"/>
      <c r="BU234" s="82"/>
      <c r="BV234" s="82"/>
      <c r="BW234" s="82">
        <f t="shared" ref="BW234:BW242" si="1733">SUM(BM234:BT234)</f>
        <v>0</v>
      </c>
      <c r="BX234" s="82">
        <f t="shared" ref="BX234:BX242" si="1734">BW234*E234</f>
        <v>0</v>
      </c>
      <c r="BY234" s="82">
        <f t="shared" ref="BY234:BY242" si="1735">BG234+BK234-BW234</f>
        <v>0</v>
      </c>
      <c r="BZ234" s="82">
        <f t="shared" ref="BZ234:BZ242" si="1736">BY234*E234</f>
        <v>0</v>
      </c>
      <c r="CA234" s="82"/>
      <c r="CB234" s="82"/>
      <c r="CC234" s="82">
        <f t="shared" ref="CC234:CC242" si="1737">sum(CA234:CB234)</f>
        <v>0</v>
      </c>
      <c r="CD234" s="82">
        <f t="shared" ref="CD234:CD242" si="1738">CC234*E234</f>
        <v>0</v>
      </c>
      <c r="CE234" s="82"/>
      <c r="CF234" s="82"/>
      <c r="CG234" s="82"/>
      <c r="CH234" s="82"/>
      <c r="CI234" s="82">
        <f t="shared" ref="CI234:CI242" si="1739">sum(CE234:CH234)</f>
        <v>0</v>
      </c>
      <c r="CJ234" s="82">
        <f t="shared" ref="CJ234:CJ242" si="1740">CI234*E234</f>
        <v>0</v>
      </c>
      <c r="CK234" s="82">
        <f t="shared" ref="CK234:CK242" si="1741">BY234+CC234-CI234</f>
        <v>0</v>
      </c>
      <c r="CL234" s="82">
        <f t="shared" ref="CL234:CL242" si="1742">CK234*E234</f>
        <v>0</v>
      </c>
      <c r="CM234" s="82"/>
      <c r="CN234" s="82"/>
      <c r="CO234" s="82">
        <f t="shared" ref="CO234:CO242" si="1743">SUM(CM234:CN234)</f>
        <v>0</v>
      </c>
      <c r="CP234" s="82">
        <f t="shared" ref="CP234:CP242" si="1744">CO234*E234</f>
        <v>0</v>
      </c>
      <c r="CQ234" s="82"/>
      <c r="CR234" s="82"/>
      <c r="CS234" s="82"/>
      <c r="CT234" s="82"/>
      <c r="CU234" s="82">
        <f t="shared" ref="CU234:CU242" si="1745">sum(CQ234:CT234)</f>
        <v>0</v>
      </c>
      <c r="CV234" s="82">
        <f t="shared" ref="CV234:CV242" si="1746">CU234*E234</f>
        <v>0</v>
      </c>
      <c r="CW234" s="82">
        <f t="shared" ref="CW234:CW242" si="1747">CK234+CO234-CU234</f>
        <v>0</v>
      </c>
      <c r="CX234" s="82">
        <f t="shared" ref="CX234:CX242" si="1748">CW234*E234</f>
        <v>0</v>
      </c>
      <c r="CY234" s="82">
        <f t="shared" ref="CY234:CY242" si="1749">BK234+CC234+CO234</f>
        <v>0</v>
      </c>
      <c r="CZ234" s="82">
        <f t="shared" ref="CZ234:CZ242" si="1750">BW234+CI234+CU234</f>
        <v>0</v>
      </c>
      <c r="DA234" s="82">
        <f t="shared" ref="DA234:DA242" si="1751">BG234+CY234-CZ234</f>
        <v>0</v>
      </c>
      <c r="DB234" s="82">
        <f t="shared" ref="DB234:DB242" si="1752">DA234*E234</f>
        <v>0</v>
      </c>
      <c r="DC234" s="84"/>
      <c r="DD234" s="83">
        <v>150.0</v>
      </c>
      <c r="DE234" s="82"/>
      <c r="DF234" s="82">
        <f t="shared" si="1664"/>
        <v>150</v>
      </c>
      <c r="DG234" s="82">
        <f t="shared" si="1708"/>
        <v>6660000</v>
      </c>
      <c r="DH234" s="82"/>
      <c r="DI234" s="82"/>
      <c r="DJ234" s="82"/>
      <c r="DK234" s="82"/>
      <c r="DL234" s="82">
        <f t="shared" ref="DL234:DL242" si="1753">sum(DH234:DK234)</f>
        <v>0</v>
      </c>
      <c r="DM234" s="82">
        <f t="shared" ref="DM234:DM242" si="1754">DL234*E234</f>
        <v>0</v>
      </c>
      <c r="DN234" s="82">
        <f t="shared" ref="DN234:DN242" si="1755">DA234+DF234-DL234</f>
        <v>150</v>
      </c>
      <c r="DO234" s="82">
        <f t="shared" ref="DO234:DO242" si="1756">DN234*E234</f>
        <v>6660000</v>
      </c>
      <c r="DP234" s="82"/>
      <c r="DQ234" s="82"/>
      <c r="DR234" s="82">
        <f t="shared" ref="DR234:DR242" si="1757">sum(DP234:DQ234)</f>
        <v>0</v>
      </c>
      <c r="DS234" s="82">
        <f t="shared" ref="DS234:DS242" si="1758">DR234*AB234</f>
        <v>0</v>
      </c>
      <c r="DT234" s="82"/>
      <c r="DU234" s="82"/>
      <c r="DV234" s="82"/>
      <c r="DW234" s="82"/>
      <c r="DX234" s="82">
        <f t="shared" ref="DX234:DX242" si="1759">sum(DT234:DW234)</f>
        <v>0</v>
      </c>
      <c r="DY234" s="82">
        <f t="shared" ref="DY234:DY242" si="1760">DX234*AB234</f>
        <v>0</v>
      </c>
      <c r="DZ234" s="82">
        <f t="shared" ref="DZ234:DZ242" si="1761">DN234+DR234-DX234</f>
        <v>150</v>
      </c>
      <c r="EA234" s="82">
        <f t="shared" ref="EA234:EA242" si="1762">DZ234*E234</f>
        <v>6660000</v>
      </c>
      <c r="EB234" s="82"/>
      <c r="EC234" s="82"/>
      <c r="ED234" s="82">
        <f t="shared" ref="ED234:ED242" si="1763">sum(EB234:EC234)</f>
        <v>0</v>
      </c>
      <c r="EE234" s="82">
        <f t="shared" ref="EE234:EE242" si="1764">ED234*AN234</f>
        <v>0</v>
      </c>
      <c r="EF234" s="82"/>
      <c r="EG234" s="82"/>
      <c r="EH234" s="82"/>
      <c r="EI234" s="82"/>
      <c r="EJ234" s="82">
        <f t="shared" ref="EJ234:EJ242" si="1765">sum(EF234:EI234)</f>
        <v>0</v>
      </c>
      <c r="EK234" s="82">
        <f t="shared" ref="EK234:EK242" si="1766">EJ234*AN234</f>
        <v>0</v>
      </c>
      <c r="EL234" s="82">
        <f t="shared" ref="EL234:EL242" si="1767">DZ234+ED234-EJ234</f>
        <v>150</v>
      </c>
      <c r="EM234" s="82">
        <f t="shared" ref="EM234:EM242" si="1768">EL234*E234</f>
        <v>6660000</v>
      </c>
      <c r="EN234" s="82">
        <f t="shared" ref="EN234:EN242" si="1769">DF234+DR234+ED234</f>
        <v>150</v>
      </c>
      <c r="EO234" s="82">
        <f t="shared" ref="EO234:EO242" si="1770">DL234+DX234+EJ234</f>
        <v>0</v>
      </c>
      <c r="EP234" s="82">
        <f t="shared" ref="EP234:EP242" si="1771">DA234+EN234-EO234</f>
        <v>150</v>
      </c>
      <c r="EQ234" s="82">
        <f t="shared" ref="EQ234:EQ242" si="1772">EP234*E234</f>
        <v>6660000</v>
      </c>
      <c r="ER234" s="82"/>
      <c r="ES234" s="82"/>
      <c r="ET234" s="82">
        <f t="shared" ref="ET234:ET242" si="1773">sum(ER234:ES234)</f>
        <v>0</v>
      </c>
      <c r="EU234" s="82">
        <f t="shared" ref="EU234:EU242" si="1774">ET234*BE234</f>
        <v>0</v>
      </c>
      <c r="EV234" s="82"/>
      <c r="EW234" s="82"/>
      <c r="EX234" s="82"/>
      <c r="EY234" s="82"/>
      <c r="EZ234" s="82">
        <f t="shared" ref="EZ234:EZ242" si="1775">sum(EV234:EY234)</f>
        <v>0</v>
      </c>
      <c r="FA234" s="82">
        <f t="shared" ref="FA234:FA242" si="1776">EZ234*BE234</f>
        <v>0</v>
      </c>
      <c r="FB234" s="82">
        <f t="shared" ref="FB234:FB242" si="1777">EP234+ET234-EZ234</f>
        <v>150</v>
      </c>
      <c r="FC234" s="82">
        <f t="shared" ref="FC234:FC242" si="1778">FB234*E234</f>
        <v>6660000</v>
      </c>
      <c r="FD234" s="82"/>
      <c r="FE234" s="82"/>
      <c r="FF234" s="82">
        <f t="shared" ref="FF234:FF242" si="1779">sum(FD234:FE234)</f>
        <v>0</v>
      </c>
      <c r="FG234" s="82">
        <f t="shared" ref="FG234:FG242" si="1780">FF234*BW234</f>
        <v>0</v>
      </c>
      <c r="FH234" s="82"/>
      <c r="FI234" s="82"/>
      <c r="FJ234" s="82"/>
      <c r="FK234" s="82"/>
      <c r="FL234" s="82">
        <f t="shared" ref="FL234:FL242" si="1781">sum(FH234:FK234)</f>
        <v>0</v>
      </c>
      <c r="FM234" s="82">
        <f t="shared" ref="FM234:FM242" si="1782">FL234*BW234</f>
        <v>0</v>
      </c>
      <c r="FN234" s="82">
        <f t="shared" ref="FN234:FN242" si="1783">FB234+FF234-FL234</f>
        <v>150</v>
      </c>
      <c r="FO234" s="82">
        <f t="shared" ref="FO234:FO242" si="1784">FN234*E234</f>
        <v>6660000</v>
      </c>
      <c r="FP234" s="82"/>
      <c r="FQ234" s="82"/>
      <c r="FR234" s="82">
        <f t="shared" ref="FR234:FR242" si="1785">sum(FP234:FQ234)</f>
        <v>0</v>
      </c>
      <c r="FS234" s="82">
        <f t="shared" ref="FS234:FS242" si="1786">FR234*CI234</f>
        <v>0</v>
      </c>
      <c r="FT234" s="82"/>
      <c r="FU234" s="82"/>
      <c r="FV234" s="82"/>
      <c r="FW234" s="82"/>
      <c r="FX234" s="82">
        <f t="shared" ref="FX234:FX242" si="1787">sum(FT234:FW234)</f>
        <v>0</v>
      </c>
      <c r="FY234" s="82">
        <f t="shared" ref="FY234:FY242" si="1788">FX234*CI234</f>
        <v>0</v>
      </c>
      <c r="FZ234" s="82">
        <f t="shared" ref="FZ234:FZ242" si="1789">FN234+FR234-FX234</f>
        <v>150</v>
      </c>
      <c r="GA234" s="82">
        <f t="shared" ref="GA234:GA242" si="1790">FZ234*E234</f>
        <v>6660000</v>
      </c>
      <c r="GB234" s="82">
        <f t="shared" ref="GB234:GB242" si="1791">ET234+FF234+FR234</f>
        <v>0</v>
      </c>
      <c r="GC234" s="82">
        <f t="shared" ref="GC234:GC242" si="1792">EZ234+FL234+FX234</f>
        <v>0</v>
      </c>
      <c r="GD234" s="82">
        <f t="shared" ref="GD234:GD242" si="1793">EP234+GB234-GC234</f>
        <v>150</v>
      </c>
      <c r="GE234" s="82">
        <f t="shared" ref="GE234:GE242" si="1794">GD234*E234</f>
        <v>6660000</v>
      </c>
      <c r="GF234" s="85"/>
    </row>
    <row r="235" ht="18.0" customHeight="1">
      <c r="A235" s="96">
        <v>4.0</v>
      </c>
      <c r="B235" s="58"/>
      <c r="C235" s="58" t="s">
        <v>266</v>
      </c>
      <c r="D235" s="78" t="s">
        <v>121</v>
      </c>
      <c r="E235" s="79"/>
      <c r="F235" s="61"/>
      <c r="G235" s="81">
        <v>0.0</v>
      </c>
      <c r="H235" s="82">
        <v>0.0</v>
      </c>
      <c r="I235" s="82"/>
      <c r="J235" s="82"/>
      <c r="K235" s="82">
        <f t="shared" si="1709"/>
        <v>0</v>
      </c>
      <c r="L235" s="82">
        <f t="shared" si="1710"/>
        <v>0</v>
      </c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>
        <f t="shared" si="1711"/>
        <v>0</v>
      </c>
      <c r="AC235" s="82">
        <f t="shared" si="1712"/>
        <v>0</v>
      </c>
      <c r="AD235" s="82">
        <f t="shared" si="1713"/>
        <v>0</v>
      </c>
      <c r="AE235" s="82">
        <f t="shared" si="1714"/>
        <v>0</v>
      </c>
      <c r="AF235" s="82"/>
      <c r="AG235" s="82"/>
      <c r="AH235" s="82">
        <f t="shared" si="1715"/>
        <v>0</v>
      </c>
      <c r="AI235" s="82">
        <f t="shared" si="1716"/>
        <v>0</v>
      </c>
      <c r="AJ235" s="82"/>
      <c r="AK235" s="82"/>
      <c r="AL235" s="82"/>
      <c r="AM235" s="82"/>
      <c r="AN235" s="82">
        <f t="shared" si="1717"/>
        <v>0</v>
      </c>
      <c r="AO235" s="82">
        <f t="shared" si="1718"/>
        <v>0</v>
      </c>
      <c r="AP235" s="82">
        <f t="shared" si="1719"/>
        <v>0</v>
      </c>
      <c r="AQ235" s="82">
        <f t="shared" si="1720"/>
        <v>0</v>
      </c>
      <c r="AR235" s="82"/>
      <c r="AS235" s="82"/>
      <c r="AT235" s="82"/>
      <c r="AU235" s="82">
        <f t="shared" si="1721"/>
        <v>0</v>
      </c>
      <c r="AV235" s="82">
        <f t="shared" si="1722"/>
        <v>0</v>
      </c>
      <c r="AW235" s="82"/>
      <c r="AX235" s="82"/>
      <c r="AY235" s="82"/>
      <c r="AZ235" s="82"/>
      <c r="BA235" s="82">
        <f t="shared" si="1723"/>
        <v>0</v>
      </c>
      <c r="BB235" s="82">
        <f t="shared" si="1724"/>
        <v>0</v>
      </c>
      <c r="BC235" s="82">
        <f t="shared" si="1725"/>
        <v>0</v>
      </c>
      <c r="BD235" s="82">
        <f t="shared" si="1726"/>
        <v>0</v>
      </c>
      <c r="BE235" s="82">
        <f t="shared" si="1727"/>
        <v>0</v>
      </c>
      <c r="BF235" s="82">
        <f t="shared" si="1728"/>
        <v>0</v>
      </c>
      <c r="BG235" s="82">
        <f t="shared" si="1729"/>
        <v>0</v>
      </c>
      <c r="BH235" s="82">
        <f t="shared" si="1730"/>
        <v>0</v>
      </c>
      <c r="BI235" s="82"/>
      <c r="BJ235" s="83"/>
      <c r="BK235" s="82">
        <f t="shared" si="1731"/>
        <v>0</v>
      </c>
      <c r="BL235" s="82">
        <f t="shared" si="1732"/>
        <v>0</v>
      </c>
      <c r="BM235" s="82"/>
      <c r="BN235" s="82"/>
      <c r="BO235" s="82"/>
      <c r="BP235" s="82"/>
      <c r="BQ235" s="82"/>
      <c r="BR235" s="82"/>
      <c r="BS235" s="82"/>
      <c r="BT235" s="82"/>
      <c r="BU235" s="82"/>
      <c r="BV235" s="82"/>
      <c r="BW235" s="82">
        <f t="shared" si="1733"/>
        <v>0</v>
      </c>
      <c r="BX235" s="82">
        <f t="shared" si="1734"/>
        <v>0</v>
      </c>
      <c r="BY235" s="82">
        <f t="shared" si="1735"/>
        <v>0</v>
      </c>
      <c r="BZ235" s="82">
        <f t="shared" si="1736"/>
        <v>0</v>
      </c>
      <c r="CA235" s="82"/>
      <c r="CB235" s="82"/>
      <c r="CC235" s="82">
        <f t="shared" si="1737"/>
        <v>0</v>
      </c>
      <c r="CD235" s="82">
        <f t="shared" si="1738"/>
        <v>0</v>
      </c>
      <c r="CE235" s="82"/>
      <c r="CF235" s="82"/>
      <c r="CG235" s="82"/>
      <c r="CH235" s="82"/>
      <c r="CI235" s="82">
        <f t="shared" si="1739"/>
        <v>0</v>
      </c>
      <c r="CJ235" s="82">
        <f t="shared" si="1740"/>
        <v>0</v>
      </c>
      <c r="CK235" s="82">
        <f t="shared" si="1741"/>
        <v>0</v>
      </c>
      <c r="CL235" s="82">
        <f t="shared" si="1742"/>
        <v>0</v>
      </c>
      <c r="CM235" s="82"/>
      <c r="CN235" s="82"/>
      <c r="CO235" s="82">
        <f t="shared" si="1743"/>
        <v>0</v>
      </c>
      <c r="CP235" s="82">
        <f t="shared" si="1744"/>
        <v>0</v>
      </c>
      <c r="CQ235" s="82"/>
      <c r="CR235" s="82"/>
      <c r="CS235" s="82"/>
      <c r="CT235" s="82"/>
      <c r="CU235" s="82">
        <f t="shared" si="1745"/>
        <v>0</v>
      </c>
      <c r="CV235" s="82">
        <f t="shared" si="1746"/>
        <v>0</v>
      </c>
      <c r="CW235" s="82">
        <f t="shared" si="1747"/>
        <v>0</v>
      </c>
      <c r="CX235" s="82">
        <f t="shared" si="1748"/>
        <v>0</v>
      </c>
      <c r="CY235" s="82">
        <f t="shared" si="1749"/>
        <v>0</v>
      </c>
      <c r="CZ235" s="82">
        <f t="shared" si="1750"/>
        <v>0</v>
      </c>
      <c r="DA235" s="82">
        <f t="shared" si="1751"/>
        <v>0</v>
      </c>
      <c r="DB235" s="82">
        <f t="shared" si="1752"/>
        <v>0</v>
      </c>
      <c r="DC235" s="91"/>
      <c r="DD235" s="82"/>
      <c r="DE235" s="82"/>
      <c r="DF235" s="82">
        <f t="shared" si="1664"/>
        <v>0</v>
      </c>
      <c r="DG235" s="82">
        <f t="shared" ref="DG235:DG242" si="1795">DF235*E235</f>
        <v>0</v>
      </c>
      <c r="DH235" s="82"/>
      <c r="DI235" s="82"/>
      <c r="DJ235" s="82"/>
      <c r="DK235" s="82"/>
      <c r="DL235" s="82">
        <f t="shared" si="1753"/>
        <v>0</v>
      </c>
      <c r="DM235" s="82">
        <f t="shared" si="1754"/>
        <v>0</v>
      </c>
      <c r="DN235" s="82">
        <f t="shared" si="1755"/>
        <v>0</v>
      </c>
      <c r="DO235" s="82">
        <f t="shared" si="1756"/>
        <v>0</v>
      </c>
      <c r="DP235" s="82"/>
      <c r="DQ235" s="82"/>
      <c r="DR235" s="82">
        <f t="shared" si="1757"/>
        <v>0</v>
      </c>
      <c r="DS235" s="82">
        <f t="shared" si="1758"/>
        <v>0</v>
      </c>
      <c r="DT235" s="82"/>
      <c r="DU235" s="82"/>
      <c r="DV235" s="82"/>
      <c r="DW235" s="82"/>
      <c r="DX235" s="82">
        <f t="shared" si="1759"/>
        <v>0</v>
      </c>
      <c r="DY235" s="82">
        <f t="shared" si="1760"/>
        <v>0</v>
      </c>
      <c r="DZ235" s="82">
        <f t="shared" si="1761"/>
        <v>0</v>
      </c>
      <c r="EA235" s="82">
        <f t="shared" si="1762"/>
        <v>0</v>
      </c>
      <c r="EB235" s="82"/>
      <c r="EC235" s="82"/>
      <c r="ED235" s="82">
        <f t="shared" si="1763"/>
        <v>0</v>
      </c>
      <c r="EE235" s="82">
        <f t="shared" si="1764"/>
        <v>0</v>
      </c>
      <c r="EF235" s="82"/>
      <c r="EG235" s="82"/>
      <c r="EH235" s="82"/>
      <c r="EI235" s="82"/>
      <c r="EJ235" s="82">
        <f t="shared" si="1765"/>
        <v>0</v>
      </c>
      <c r="EK235" s="82">
        <f t="shared" si="1766"/>
        <v>0</v>
      </c>
      <c r="EL235" s="82">
        <f t="shared" si="1767"/>
        <v>0</v>
      </c>
      <c r="EM235" s="82">
        <f t="shared" si="1768"/>
        <v>0</v>
      </c>
      <c r="EN235" s="82">
        <f t="shared" si="1769"/>
        <v>0</v>
      </c>
      <c r="EO235" s="82">
        <f t="shared" si="1770"/>
        <v>0</v>
      </c>
      <c r="EP235" s="82">
        <f t="shared" si="1771"/>
        <v>0</v>
      </c>
      <c r="EQ235" s="82">
        <f t="shared" si="1772"/>
        <v>0</v>
      </c>
      <c r="ER235" s="82"/>
      <c r="ES235" s="82"/>
      <c r="ET235" s="82">
        <f t="shared" si="1773"/>
        <v>0</v>
      </c>
      <c r="EU235" s="82">
        <f t="shared" si="1774"/>
        <v>0</v>
      </c>
      <c r="EV235" s="82"/>
      <c r="EW235" s="82"/>
      <c r="EX235" s="82"/>
      <c r="EY235" s="82"/>
      <c r="EZ235" s="82">
        <f t="shared" si="1775"/>
        <v>0</v>
      </c>
      <c r="FA235" s="82">
        <f t="shared" si="1776"/>
        <v>0</v>
      </c>
      <c r="FB235" s="82">
        <f t="shared" si="1777"/>
        <v>0</v>
      </c>
      <c r="FC235" s="82">
        <f t="shared" si="1778"/>
        <v>0</v>
      </c>
      <c r="FD235" s="82"/>
      <c r="FE235" s="82"/>
      <c r="FF235" s="82">
        <f t="shared" si="1779"/>
        <v>0</v>
      </c>
      <c r="FG235" s="82">
        <f t="shared" si="1780"/>
        <v>0</v>
      </c>
      <c r="FH235" s="82"/>
      <c r="FI235" s="82"/>
      <c r="FJ235" s="82"/>
      <c r="FK235" s="82"/>
      <c r="FL235" s="82">
        <f t="shared" si="1781"/>
        <v>0</v>
      </c>
      <c r="FM235" s="82">
        <f t="shared" si="1782"/>
        <v>0</v>
      </c>
      <c r="FN235" s="82">
        <f t="shared" si="1783"/>
        <v>0</v>
      </c>
      <c r="FO235" s="82">
        <f t="shared" si="1784"/>
        <v>0</v>
      </c>
      <c r="FP235" s="82"/>
      <c r="FQ235" s="82"/>
      <c r="FR235" s="82">
        <f t="shared" si="1785"/>
        <v>0</v>
      </c>
      <c r="FS235" s="82">
        <f t="shared" si="1786"/>
        <v>0</v>
      </c>
      <c r="FT235" s="82"/>
      <c r="FU235" s="82"/>
      <c r="FV235" s="82"/>
      <c r="FW235" s="82"/>
      <c r="FX235" s="82">
        <f t="shared" si="1787"/>
        <v>0</v>
      </c>
      <c r="FY235" s="82">
        <f t="shared" si="1788"/>
        <v>0</v>
      </c>
      <c r="FZ235" s="82">
        <f t="shared" si="1789"/>
        <v>0</v>
      </c>
      <c r="GA235" s="82">
        <f t="shared" si="1790"/>
        <v>0</v>
      </c>
      <c r="GB235" s="82">
        <f t="shared" si="1791"/>
        <v>0</v>
      </c>
      <c r="GC235" s="82">
        <f t="shared" si="1792"/>
        <v>0</v>
      </c>
      <c r="GD235" s="82">
        <f t="shared" si="1793"/>
        <v>0</v>
      </c>
      <c r="GE235" s="82">
        <f t="shared" si="1794"/>
        <v>0</v>
      </c>
      <c r="GF235" s="85"/>
    </row>
    <row r="236">
      <c r="A236" s="96">
        <v>5.0</v>
      </c>
      <c r="B236" s="58"/>
      <c r="C236" s="58" t="s">
        <v>267</v>
      </c>
      <c r="D236" s="78" t="s">
        <v>121</v>
      </c>
      <c r="E236" s="86">
        <f t="shared" ref="E236:E238" si="1796">40000+(40000*11%)</f>
        <v>44400</v>
      </c>
      <c r="F236" s="80" t="s">
        <v>220</v>
      </c>
      <c r="G236" s="81">
        <v>0.0</v>
      </c>
      <c r="H236" s="82">
        <v>0.0</v>
      </c>
      <c r="I236" s="82"/>
      <c r="J236" s="82"/>
      <c r="K236" s="82">
        <f t="shared" si="1709"/>
        <v>0</v>
      </c>
      <c r="L236" s="82">
        <f t="shared" si="1710"/>
        <v>0</v>
      </c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>
        <f t="shared" si="1711"/>
        <v>0</v>
      </c>
      <c r="AC236" s="82">
        <f t="shared" si="1712"/>
        <v>0</v>
      </c>
      <c r="AD236" s="82">
        <f t="shared" si="1713"/>
        <v>0</v>
      </c>
      <c r="AE236" s="82">
        <f t="shared" si="1714"/>
        <v>0</v>
      </c>
      <c r="AF236" s="82"/>
      <c r="AG236" s="82"/>
      <c r="AH236" s="82">
        <f t="shared" si="1715"/>
        <v>0</v>
      </c>
      <c r="AI236" s="82">
        <f t="shared" si="1716"/>
        <v>0</v>
      </c>
      <c r="AJ236" s="82"/>
      <c r="AK236" s="82"/>
      <c r="AL236" s="82"/>
      <c r="AM236" s="82"/>
      <c r="AN236" s="82">
        <f t="shared" si="1717"/>
        <v>0</v>
      </c>
      <c r="AO236" s="82">
        <f t="shared" si="1718"/>
        <v>0</v>
      </c>
      <c r="AP236" s="82">
        <f t="shared" si="1719"/>
        <v>0</v>
      </c>
      <c r="AQ236" s="82">
        <f t="shared" si="1720"/>
        <v>0</v>
      </c>
      <c r="AR236" s="82"/>
      <c r="AS236" s="82"/>
      <c r="AT236" s="82"/>
      <c r="AU236" s="82">
        <f t="shared" si="1721"/>
        <v>0</v>
      </c>
      <c r="AV236" s="82">
        <f t="shared" si="1722"/>
        <v>0</v>
      </c>
      <c r="AW236" s="82"/>
      <c r="AX236" s="82"/>
      <c r="AY236" s="82"/>
      <c r="AZ236" s="82"/>
      <c r="BA236" s="82">
        <f t="shared" si="1723"/>
        <v>0</v>
      </c>
      <c r="BB236" s="82">
        <f t="shared" si="1724"/>
        <v>0</v>
      </c>
      <c r="BC236" s="82">
        <f t="shared" si="1725"/>
        <v>0</v>
      </c>
      <c r="BD236" s="82">
        <f t="shared" si="1726"/>
        <v>0</v>
      </c>
      <c r="BE236" s="82">
        <f t="shared" si="1727"/>
        <v>0</v>
      </c>
      <c r="BF236" s="82">
        <f t="shared" si="1728"/>
        <v>0</v>
      </c>
      <c r="BG236" s="82">
        <f t="shared" si="1729"/>
        <v>0</v>
      </c>
      <c r="BH236" s="82">
        <f t="shared" si="1730"/>
        <v>0</v>
      </c>
      <c r="BI236" s="82"/>
      <c r="BJ236" s="83"/>
      <c r="BK236" s="82">
        <f t="shared" si="1731"/>
        <v>0</v>
      </c>
      <c r="BL236" s="82">
        <f t="shared" si="1732"/>
        <v>0</v>
      </c>
      <c r="BM236" s="82"/>
      <c r="BN236" s="82"/>
      <c r="BO236" s="82"/>
      <c r="BP236" s="82"/>
      <c r="BQ236" s="82"/>
      <c r="BR236" s="82"/>
      <c r="BS236" s="82"/>
      <c r="BT236" s="82"/>
      <c r="BU236" s="82"/>
      <c r="BV236" s="82"/>
      <c r="BW236" s="82">
        <f t="shared" si="1733"/>
        <v>0</v>
      </c>
      <c r="BX236" s="82">
        <f t="shared" si="1734"/>
        <v>0</v>
      </c>
      <c r="BY236" s="82">
        <f t="shared" si="1735"/>
        <v>0</v>
      </c>
      <c r="BZ236" s="82">
        <f t="shared" si="1736"/>
        <v>0</v>
      </c>
      <c r="CA236" s="82"/>
      <c r="CB236" s="82"/>
      <c r="CC236" s="82">
        <f t="shared" si="1737"/>
        <v>0</v>
      </c>
      <c r="CD236" s="82">
        <f t="shared" si="1738"/>
        <v>0</v>
      </c>
      <c r="CE236" s="82"/>
      <c r="CF236" s="82"/>
      <c r="CG236" s="82"/>
      <c r="CH236" s="82"/>
      <c r="CI236" s="82">
        <f t="shared" si="1739"/>
        <v>0</v>
      </c>
      <c r="CJ236" s="82">
        <f t="shared" si="1740"/>
        <v>0</v>
      </c>
      <c r="CK236" s="82">
        <f t="shared" si="1741"/>
        <v>0</v>
      </c>
      <c r="CL236" s="82">
        <f t="shared" si="1742"/>
        <v>0</v>
      </c>
      <c r="CM236" s="82"/>
      <c r="CN236" s="82"/>
      <c r="CO236" s="82">
        <f t="shared" si="1743"/>
        <v>0</v>
      </c>
      <c r="CP236" s="82">
        <f t="shared" si="1744"/>
        <v>0</v>
      </c>
      <c r="CQ236" s="82"/>
      <c r="CR236" s="82"/>
      <c r="CS236" s="82"/>
      <c r="CT236" s="82"/>
      <c r="CU236" s="82">
        <f t="shared" si="1745"/>
        <v>0</v>
      </c>
      <c r="CV236" s="82">
        <f t="shared" si="1746"/>
        <v>0</v>
      </c>
      <c r="CW236" s="82">
        <f t="shared" si="1747"/>
        <v>0</v>
      </c>
      <c r="CX236" s="82">
        <f t="shared" si="1748"/>
        <v>0</v>
      </c>
      <c r="CY236" s="82">
        <f t="shared" si="1749"/>
        <v>0</v>
      </c>
      <c r="CZ236" s="82">
        <f t="shared" si="1750"/>
        <v>0</v>
      </c>
      <c r="DA236" s="82">
        <f t="shared" si="1751"/>
        <v>0</v>
      </c>
      <c r="DB236" s="82">
        <f t="shared" si="1752"/>
        <v>0</v>
      </c>
      <c r="DC236" s="91"/>
      <c r="DD236" s="83">
        <v>100.0</v>
      </c>
      <c r="DE236" s="82"/>
      <c r="DF236" s="82">
        <f t="shared" si="1664"/>
        <v>100</v>
      </c>
      <c r="DG236" s="82">
        <f t="shared" si="1795"/>
        <v>4440000</v>
      </c>
      <c r="DH236" s="82"/>
      <c r="DI236" s="82"/>
      <c r="DJ236" s="82"/>
      <c r="DK236" s="82"/>
      <c r="DL236" s="82">
        <f t="shared" si="1753"/>
        <v>0</v>
      </c>
      <c r="DM236" s="82">
        <f t="shared" si="1754"/>
        <v>0</v>
      </c>
      <c r="DN236" s="82">
        <f t="shared" si="1755"/>
        <v>100</v>
      </c>
      <c r="DO236" s="82">
        <f t="shared" si="1756"/>
        <v>4440000</v>
      </c>
      <c r="DP236" s="82"/>
      <c r="DQ236" s="82"/>
      <c r="DR236" s="82">
        <f t="shared" si="1757"/>
        <v>0</v>
      </c>
      <c r="DS236" s="82">
        <f t="shared" si="1758"/>
        <v>0</v>
      </c>
      <c r="DT236" s="82"/>
      <c r="DU236" s="82"/>
      <c r="DV236" s="82"/>
      <c r="DW236" s="82"/>
      <c r="DX236" s="82">
        <f t="shared" si="1759"/>
        <v>0</v>
      </c>
      <c r="DY236" s="82">
        <f t="shared" si="1760"/>
        <v>0</v>
      </c>
      <c r="DZ236" s="82">
        <f t="shared" si="1761"/>
        <v>100</v>
      </c>
      <c r="EA236" s="82">
        <f t="shared" si="1762"/>
        <v>4440000</v>
      </c>
      <c r="EB236" s="82"/>
      <c r="EC236" s="82"/>
      <c r="ED236" s="82">
        <f t="shared" si="1763"/>
        <v>0</v>
      </c>
      <c r="EE236" s="82">
        <f t="shared" si="1764"/>
        <v>0</v>
      </c>
      <c r="EF236" s="82"/>
      <c r="EG236" s="82"/>
      <c r="EH236" s="82"/>
      <c r="EI236" s="82"/>
      <c r="EJ236" s="82">
        <f t="shared" si="1765"/>
        <v>0</v>
      </c>
      <c r="EK236" s="82">
        <f t="shared" si="1766"/>
        <v>0</v>
      </c>
      <c r="EL236" s="82">
        <f t="shared" si="1767"/>
        <v>100</v>
      </c>
      <c r="EM236" s="82">
        <f t="shared" si="1768"/>
        <v>4440000</v>
      </c>
      <c r="EN236" s="82">
        <f t="shared" si="1769"/>
        <v>100</v>
      </c>
      <c r="EO236" s="82">
        <f t="shared" si="1770"/>
        <v>0</v>
      </c>
      <c r="EP236" s="82">
        <f t="shared" si="1771"/>
        <v>100</v>
      </c>
      <c r="EQ236" s="82">
        <f t="shared" si="1772"/>
        <v>4440000</v>
      </c>
      <c r="ER236" s="82"/>
      <c r="ES236" s="82"/>
      <c r="ET236" s="82">
        <f t="shared" si="1773"/>
        <v>0</v>
      </c>
      <c r="EU236" s="82">
        <f t="shared" si="1774"/>
        <v>0</v>
      </c>
      <c r="EV236" s="82"/>
      <c r="EW236" s="82"/>
      <c r="EX236" s="82"/>
      <c r="EY236" s="82"/>
      <c r="EZ236" s="82">
        <f t="shared" si="1775"/>
        <v>0</v>
      </c>
      <c r="FA236" s="82">
        <f t="shared" si="1776"/>
        <v>0</v>
      </c>
      <c r="FB236" s="82">
        <f t="shared" si="1777"/>
        <v>100</v>
      </c>
      <c r="FC236" s="82">
        <f t="shared" si="1778"/>
        <v>4440000</v>
      </c>
      <c r="FD236" s="82"/>
      <c r="FE236" s="82"/>
      <c r="FF236" s="82">
        <f t="shared" si="1779"/>
        <v>0</v>
      </c>
      <c r="FG236" s="82">
        <f t="shared" si="1780"/>
        <v>0</v>
      </c>
      <c r="FH236" s="82"/>
      <c r="FI236" s="82"/>
      <c r="FJ236" s="82"/>
      <c r="FK236" s="82"/>
      <c r="FL236" s="82">
        <f t="shared" si="1781"/>
        <v>0</v>
      </c>
      <c r="FM236" s="82">
        <f t="shared" si="1782"/>
        <v>0</v>
      </c>
      <c r="FN236" s="82">
        <f t="shared" si="1783"/>
        <v>100</v>
      </c>
      <c r="FO236" s="82">
        <f t="shared" si="1784"/>
        <v>4440000</v>
      </c>
      <c r="FP236" s="82"/>
      <c r="FQ236" s="82"/>
      <c r="FR236" s="82">
        <f t="shared" si="1785"/>
        <v>0</v>
      </c>
      <c r="FS236" s="82">
        <f t="shared" si="1786"/>
        <v>0</v>
      </c>
      <c r="FT236" s="82"/>
      <c r="FU236" s="82"/>
      <c r="FV236" s="82"/>
      <c r="FW236" s="82"/>
      <c r="FX236" s="82">
        <f t="shared" si="1787"/>
        <v>0</v>
      </c>
      <c r="FY236" s="82">
        <f t="shared" si="1788"/>
        <v>0</v>
      </c>
      <c r="FZ236" s="82">
        <f t="shared" si="1789"/>
        <v>100</v>
      </c>
      <c r="GA236" s="82">
        <f t="shared" si="1790"/>
        <v>4440000</v>
      </c>
      <c r="GB236" s="82">
        <f t="shared" si="1791"/>
        <v>0</v>
      </c>
      <c r="GC236" s="82">
        <f t="shared" si="1792"/>
        <v>0</v>
      </c>
      <c r="GD236" s="82">
        <f t="shared" si="1793"/>
        <v>100</v>
      </c>
      <c r="GE236" s="82">
        <f t="shared" si="1794"/>
        <v>4440000</v>
      </c>
      <c r="GF236" s="85"/>
    </row>
    <row r="237">
      <c r="A237" s="96">
        <v>6.0</v>
      </c>
      <c r="B237" s="58"/>
      <c r="C237" s="58" t="s">
        <v>268</v>
      </c>
      <c r="D237" s="78" t="s">
        <v>121</v>
      </c>
      <c r="E237" s="86">
        <f t="shared" si="1796"/>
        <v>44400</v>
      </c>
      <c r="F237" s="80" t="s">
        <v>220</v>
      </c>
      <c r="G237" s="81">
        <v>0.0</v>
      </c>
      <c r="H237" s="82">
        <v>0.0</v>
      </c>
      <c r="I237" s="82"/>
      <c r="J237" s="82"/>
      <c r="K237" s="82">
        <f t="shared" si="1709"/>
        <v>0</v>
      </c>
      <c r="L237" s="82">
        <f t="shared" si="1710"/>
        <v>0</v>
      </c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>
        <f t="shared" si="1711"/>
        <v>0</v>
      </c>
      <c r="AC237" s="82">
        <f t="shared" si="1712"/>
        <v>0</v>
      </c>
      <c r="AD237" s="82">
        <f t="shared" si="1713"/>
        <v>0</v>
      </c>
      <c r="AE237" s="82">
        <f t="shared" si="1714"/>
        <v>0</v>
      </c>
      <c r="AF237" s="82"/>
      <c r="AG237" s="82"/>
      <c r="AH237" s="82">
        <f t="shared" si="1715"/>
        <v>0</v>
      </c>
      <c r="AI237" s="82">
        <f t="shared" si="1716"/>
        <v>0</v>
      </c>
      <c r="AJ237" s="82"/>
      <c r="AK237" s="82"/>
      <c r="AL237" s="82"/>
      <c r="AM237" s="82"/>
      <c r="AN237" s="82">
        <f t="shared" si="1717"/>
        <v>0</v>
      </c>
      <c r="AO237" s="82">
        <f t="shared" si="1718"/>
        <v>0</v>
      </c>
      <c r="AP237" s="82">
        <f t="shared" si="1719"/>
        <v>0</v>
      </c>
      <c r="AQ237" s="82">
        <f t="shared" si="1720"/>
        <v>0</v>
      </c>
      <c r="AR237" s="82"/>
      <c r="AS237" s="82"/>
      <c r="AT237" s="82"/>
      <c r="AU237" s="82">
        <f t="shared" si="1721"/>
        <v>0</v>
      </c>
      <c r="AV237" s="82">
        <f t="shared" si="1722"/>
        <v>0</v>
      </c>
      <c r="AW237" s="82"/>
      <c r="AX237" s="82"/>
      <c r="AY237" s="82"/>
      <c r="AZ237" s="82"/>
      <c r="BA237" s="82">
        <f t="shared" si="1723"/>
        <v>0</v>
      </c>
      <c r="BB237" s="82">
        <f t="shared" si="1724"/>
        <v>0</v>
      </c>
      <c r="BC237" s="82">
        <f t="shared" si="1725"/>
        <v>0</v>
      </c>
      <c r="BD237" s="82">
        <f t="shared" si="1726"/>
        <v>0</v>
      </c>
      <c r="BE237" s="82">
        <f t="shared" si="1727"/>
        <v>0</v>
      </c>
      <c r="BF237" s="82">
        <f t="shared" si="1728"/>
        <v>0</v>
      </c>
      <c r="BG237" s="82">
        <f t="shared" si="1729"/>
        <v>0</v>
      </c>
      <c r="BH237" s="82">
        <f t="shared" si="1730"/>
        <v>0</v>
      </c>
      <c r="BI237" s="82"/>
      <c r="BJ237" s="83"/>
      <c r="BK237" s="82">
        <f t="shared" si="1731"/>
        <v>0</v>
      </c>
      <c r="BL237" s="82">
        <f t="shared" si="1732"/>
        <v>0</v>
      </c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>
        <f t="shared" si="1733"/>
        <v>0</v>
      </c>
      <c r="BX237" s="82">
        <f t="shared" si="1734"/>
        <v>0</v>
      </c>
      <c r="BY237" s="82">
        <f t="shared" si="1735"/>
        <v>0</v>
      </c>
      <c r="BZ237" s="82">
        <f t="shared" si="1736"/>
        <v>0</v>
      </c>
      <c r="CA237" s="82"/>
      <c r="CB237" s="82"/>
      <c r="CC237" s="82">
        <f t="shared" si="1737"/>
        <v>0</v>
      </c>
      <c r="CD237" s="82">
        <f t="shared" si="1738"/>
        <v>0</v>
      </c>
      <c r="CE237" s="82"/>
      <c r="CF237" s="82"/>
      <c r="CG237" s="82"/>
      <c r="CH237" s="82"/>
      <c r="CI237" s="82">
        <f t="shared" si="1739"/>
        <v>0</v>
      </c>
      <c r="CJ237" s="82">
        <f t="shared" si="1740"/>
        <v>0</v>
      </c>
      <c r="CK237" s="82">
        <f t="shared" si="1741"/>
        <v>0</v>
      </c>
      <c r="CL237" s="82">
        <f t="shared" si="1742"/>
        <v>0</v>
      </c>
      <c r="CM237" s="82"/>
      <c r="CN237" s="82"/>
      <c r="CO237" s="82">
        <f t="shared" si="1743"/>
        <v>0</v>
      </c>
      <c r="CP237" s="82">
        <f t="shared" si="1744"/>
        <v>0</v>
      </c>
      <c r="CQ237" s="82"/>
      <c r="CR237" s="82"/>
      <c r="CS237" s="82"/>
      <c r="CT237" s="82"/>
      <c r="CU237" s="82">
        <f t="shared" si="1745"/>
        <v>0</v>
      </c>
      <c r="CV237" s="82">
        <f t="shared" si="1746"/>
        <v>0</v>
      </c>
      <c r="CW237" s="82">
        <f t="shared" si="1747"/>
        <v>0</v>
      </c>
      <c r="CX237" s="82">
        <f t="shared" si="1748"/>
        <v>0</v>
      </c>
      <c r="CY237" s="82">
        <f t="shared" si="1749"/>
        <v>0</v>
      </c>
      <c r="CZ237" s="82">
        <f t="shared" si="1750"/>
        <v>0</v>
      </c>
      <c r="DA237" s="82">
        <f t="shared" si="1751"/>
        <v>0</v>
      </c>
      <c r="DB237" s="82">
        <f t="shared" si="1752"/>
        <v>0</v>
      </c>
      <c r="DC237" s="91"/>
      <c r="DD237" s="83">
        <v>100.0</v>
      </c>
      <c r="DE237" s="82"/>
      <c r="DF237" s="82">
        <f t="shared" si="1664"/>
        <v>100</v>
      </c>
      <c r="DG237" s="82">
        <f t="shared" si="1795"/>
        <v>4440000</v>
      </c>
      <c r="DH237" s="82"/>
      <c r="DI237" s="82"/>
      <c r="DJ237" s="82"/>
      <c r="DK237" s="82"/>
      <c r="DL237" s="82">
        <f t="shared" si="1753"/>
        <v>0</v>
      </c>
      <c r="DM237" s="82">
        <f t="shared" si="1754"/>
        <v>0</v>
      </c>
      <c r="DN237" s="82">
        <f t="shared" si="1755"/>
        <v>100</v>
      </c>
      <c r="DO237" s="82">
        <f t="shared" si="1756"/>
        <v>4440000</v>
      </c>
      <c r="DP237" s="82"/>
      <c r="DQ237" s="82"/>
      <c r="DR237" s="82">
        <f t="shared" si="1757"/>
        <v>0</v>
      </c>
      <c r="DS237" s="82">
        <f t="shared" si="1758"/>
        <v>0</v>
      </c>
      <c r="DT237" s="82"/>
      <c r="DU237" s="82"/>
      <c r="DV237" s="82"/>
      <c r="DW237" s="82"/>
      <c r="DX237" s="82">
        <f t="shared" si="1759"/>
        <v>0</v>
      </c>
      <c r="DY237" s="82">
        <f t="shared" si="1760"/>
        <v>0</v>
      </c>
      <c r="DZ237" s="82">
        <f t="shared" si="1761"/>
        <v>100</v>
      </c>
      <c r="EA237" s="82">
        <f t="shared" si="1762"/>
        <v>4440000</v>
      </c>
      <c r="EB237" s="82"/>
      <c r="EC237" s="82"/>
      <c r="ED237" s="82">
        <f t="shared" si="1763"/>
        <v>0</v>
      </c>
      <c r="EE237" s="82">
        <f t="shared" si="1764"/>
        <v>0</v>
      </c>
      <c r="EF237" s="82"/>
      <c r="EG237" s="82"/>
      <c r="EH237" s="82"/>
      <c r="EI237" s="82"/>
      <c r="EJ237" s="82">
        <f t="shared" si="1765"/>
        <v>0</v>
      </c>
      <c r="EK237" s="82">
        <f t="shared" si="1766"/>
        <v>0</v>
      </c>
      <c r="EL237" s="82">
        <f t="shared" si="1767"/>
        <v>100</v>
      </c>
      <c r="EM237" s="82">
        <f t="shared" si="1768"/>
        <v>4440000</v>
      </c>
      <c r="EN237" s="82">
        <f t="shared" si="1769"/>
        <v>100</v>
      </c>
      <c r="EO237" s="82">
        <f t="shared" si="1770"/>
        <v>0</v>
      </c>
      <c r="EP237" s="82">
        <f t="shared" si="1771"/>
        <v>100</v>
      </c>
      <c r="EQ237" s="82">
        <f t="shared" si="1772"/>
        <v>4440000</v>
      </c>
      <c r="ER237" s="82"/>
      <c r="ES237" s="82"/>
      <c r="ET237" s="82">
        <f t="shared" si="1773"/>
        <v>0</v>
      </c>
      <c r="EU237" s="82">
        <f t="shared" si="1774"/>
        <v>0</v>
      </c>
      <c r="EV237" s="82"/>
      <c r="EW237" s="82"/>
      <c r="EX237" s="82"/>
      <c r="EY237" s="82"/>
      <c r="EZ237" s="82">
        <f t="shared" si="1775"/>
        <v>0</v>
      </c>
      <c r="FA237" s="82">
        <f t="shared" si="1776"/>
        <v>0</v>
      </c>
      <c r="FB237" s="82">
        <f t="shared" si="1777"/>
        <v>100</v>
      </c>
      <c r="FC237" s="82">
        <f t="shared" si="1778"/>
        <v>4440000</v>
      </c>
      <c r="FD237" s="82"/>
      <c r="FE237" s="82"/>
      <c r="FF237" s="82">
        <f t="shared" si="1779"/>
        <v>0</v>
      </c>
      <c r="FG237" s="82">
        <f t="shared" si="1780"/>
        <v>0</v>
      </c>
      <c r="FH237" s="82"/>
      <c r="FI237" s="82"/>
      <c r="FJ237" s="82"/>
      <c r="FK237" s="82"/>
      <c r="FL237" s="82">
        <f t="shared" si="1781"/>
        <v>0</v>
      </c>
      <c r="FM237" s="82">
        <f t="shared" si="1782"/>
        <v>0</v>
      </c>
      <c r="FN237" s="82">
        <f t="shared" si="1783"/>
        <v>100</v>
      </c>
      <c r="FO237" s="82">
        <f t="shared" si="1784"/>
        <v>4440000</v>
      </c>
      <c r="FP237" s="82"/>
      <c r="FQ237" s="82"/>
      <c r="FR237" s="82">
        <f t="shared" si="1785"/>
        <v>0</v>
      </c>
      <c r="FS237" s="82">
        <f t="shared" si="1786"/>
        <v>0</v>
      </c>
      <c r="FT237" s="82"/>
      <c r="FU237" s="82"/>
      <c r="FV237" s="82"/>
      <c r="FW237" s="82"/>
      <c r="FX237" s="82">
        <f t="shared" si="1787"/>
        <v>0</v>
      </c>
      <c r="FY237" s="82">
        <f t="shared" si="1788"/>
        <v>0</v>
      </c>
      <c r="FZ237" s="82">
        <f t="shared" si="1789"/>
        <v>100</v>
      </c>
      <c r="GA237" s="82">
        <f t="shared" si="1790"/>
        <v>4440000</v>
      </c>
      <c r="GB237" s="82">
        <f t="shared" si="1791"/>
        <v>0</v>
      </c>
      <c r="GC237" s="82">
        <f t="shared" si="1792"/>
        <v>0</v>
      </c>
      <c r="GD237" s="82">
        <f t="shared" si="1793"/>
        <v>100</v>
      </c>
      <c r="GE237" s="82">
        <f t="shared" si="1794"/>
        <v>4440000</v>
      </c>
      <c r="GF237" s="85"/>
    </row>
    <row r="238">
      <c r="A238" s="96">
        <v>7.0</v>
      </c>
      <c r="B238" s="58"/>
      <c r="C238" s="58" t="s">
        <v>269</v>
      </c>
      <c r="D238" s="78" t="s">
        <v>121</v>
      </c>
      <c r="E238" s="86">
        <f t="shared" si="1796"/>
        <v>44400</v>
      </c>
      <c r="F238" s="80" t="s">
        <v>220</v>
      </c>
      <c r="G238" s="81">
        <v>0.0</v>
      </c>
      <c r="H238" s="82">
        <v>0.0</v>
      </c>
      <c r="I238" s="82"/>
      <c r="J238" s="82"/>
      <c r="K238" s="82">
        <f t="shared" si="1709"/>
        <v>0</v>
      </c>
      <c r="L238" s="82">
        <f t="shared" si="1710"/>
        <v>0</v>
      </c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>
        <f t="shared" si="1711"/>
        <v>0</v>
      </c>
      <c r="AC238" s="82">
        <f t="shared" si="1712"/>
        <v>0</v>
      </c>
      <c r="AD238" s="82">
        <f t="shared" si="1713"/>
        <v>0</v>
      </c>
      <c r="AE238" s="82">
        <f t="shared" si="1714"/>
        <v>0</v>
      </c>
      <c r="AF238" s="82"/>
      <c r="AG238" s="82"/>
      <c r="AH238" s="82">
        <f t="shared" si="1715"/>
        <v>0</v>
      </c>
      <c r="AI238" s="82">
        <f t="shared" si="1716"/>
        <v>0</v>
      </c>
      <c r="AJ238" s="82"/>
      <c r="AK238" s="82"/>
      <c r="AL238" s="82"/>
      <c r="AM238" s="82"/>
      <c r="AN238" s="82">
        <f t="shared" si="1717"/>
        <v>0</v>
      </c>
      <c r="AO238" s="82">
        <f t="shared" si="1718"/>
        <v>0</v>
      </c>
      <c r="AP238" s="82">
        <f t="shared" si="1719"/>
        <v>0</v>
      </c>
      <c r="AQ238" s="82">
        <f t="shared" si="1720"/>
        <v>0</v>
      </c>
      <c r="AR238" s="82"/>
      <c r="AS238" s="82"/>
      <c r="AT238" s="82"/>
      <c r="AU238" s="82">
        <f t="shared" si="1721"/>
        <v>0</v>
      </c>
      <c r="AV238" s="82">
        <f t="shared" si="1722"/>
        <v>0</v>
      </c>
      <c r="AW238" s="82"/>
      <c r="AX238" s="82"/>
      <c r="AY238" s="82"/>
      <c r="AZ238" s="82"/>
      <c r="BA238" s="82">
        <f t="shared" si="1723"/>
        <v>0</v>
      </c>
      <c r="BB238" s="82">
        <f t="shared" si="1724"/>
        <v>0</v>
      </c>
      <c r="BC238" s="82">
        <f t="shared" si="1725"/>
        <v>0</v>
      </c>
      <c r="BD238" s="82">
        <f t="shared" si="1726"/>
        <v>0</v>
      </c>
      <c r="BE238" s="82">
        <f t="shared" si="1727"/>
        <v>0</v>
      </c>
      <c r="BF238" s="82">
        <f t="shared" si="1728"/>
        <v>0</v>
      </c>
      <c r="BG238" s="82">
        <f t="shared" si="1729"/>
        <v>0</v>
      </c>
      <c r="BH238" s="82">
        <f t="shared" si="1730"/>
        <v>0</v>
      </c>
      <c r="BI238" s="82"/>
      <c r="BJ238" s="83"/>
      <c r="BK238" s="82">
        <f t="shared" si="1731"/>
        <v>0</v>
      </c>
      <c r="BL238" s="82">
        <f t="shared" si="1732"/>
        <v>0</v>
      </c>
      <c r="BM238" s="82"/>
      <c r="BN238" s="82"/>
      <c r="BO238" s="82"/>
      <c r="BP238" s="82"/>
      <c r="BQ238" s="82"/>
      <c r="BR238" s="82"/>
      <c r="BS238" s="82"/>
      <c r="BT238" s="82"/>
      <c r="BU238" s="82"/>
      <c r="BV238" s="82"/>
      <c r="BW238" s="82">
        <f t="shared" si="1733"/>
        <v>0</v>
      </c>
      <c r="BX238" s="82">
        <f t="shared" si="1734"/>
        <v>0</v>
      </c>
      <c r="BY238" s="82">
        <f t="shared" si="1735"/>
        <v>0</v>
      </c>
      <c r="BZ238" s="82">
        <f t="shared" si="1736"/>
        <v>0</v>
      </c>
      <c r="CA238" s="82"/>
      <c r="CB238" s="82"/>
      <c r="CC238" s="82">
        <f t="shared" si="1737"/>
        <v>0</v>
      </c>
      <c r="CD238" s="82">
        <f t="shared" si="1738"/>
        <v>0</v>
      </c>
      <c r="CE238" s="82"/>
      <c r="CF238" s="82"/>
      <c r="CG238" s="82"/>
      <c r="CH238" s="82"/>
      <c r="CI238" s="82">
        <f t="shared" si="1739"/>
        <v>0</v>
      </c>
      <c r="CJ238" s="82">
        <f t="shared" si="1740"/>
        <v>0</v>
      </c>
      <c r="CK238" s="82">
        <f t="shared" si="1741"/>
        <v>0</v>
      </c>
      <c r="CL238" s="82">
        <f t="shared" si="1742"/>
        <v>0</v>
      </c>
      <c r="CM238" s="82"/>
      <c r="CN238" s="82"/>
      <c r="CO238" s="82">
        <f t="shared" si="1743"/>
        <v>0</v>
      </c>
      <c r="CP238" s="82">
        <f t="shared" si="1744"/>
        <v>0</v>
      </c>
      <c r="CQ238" s="82"/>
      <c r="CR238" s="82"/>
      <c r="CS238" s="82"/>
      <c r="CT238" s="82"/>
      <c r="CU238" s="82">
        <f t="shared" si="1745"/>
        <v>0</v>
      </c>
      <c r="CV238" s="82">
        <f t="shared" si="1746"/>
        <v>0</v>
      </c>
      <c r="CW238" s="82">
        <f t="shared" si="1747"/>
        <v>0</v>
      </c>
      <c r="CX238" s="82">
        <f t="shared" si="1748"/>
        <v>0</v>
      </c>
      <c r="CY238" s="82">
        <f t="shared" si="1749"/>
        <v>0</v>
      </c>
      <c r="CZ238" s="82">
        <f t="shared" si="1750"/>
        <v>0</v>
      </c>
      <c r="DA238" s="82">
        <f t="shared" si="1751"/>
        <v>0</v>
      </c>
      <c r="DB238" s="82">
        <f t="shared" si="1752"/>
        <v>0</v>
      </c>
      <c r="DC238" s="84"/>
      <c r="DD238" s="83">
        <v>150.0</v>
      </c>
      <c r="DE238" s="82"/>
      <c r="DF238" s="82">
        <f t="shared" si="1664"/>
        <v>150</v>
      </c>
      <c r="DG238" s="82">
        <f t="shared" si="1795"/>
        <v>6660000</v>
      </c>
      <c r="DH238" s="82"/>
      <c r="DI238" s="82"/>
      <c r="DJ238" s="82"/>
      <c r="DK238" s="82"/>
      <c r="DL238" s="82">
        <f t="shared" si="1753"/>
        <v>0</v>
      </c>
      <c r="DM238" s="82">
        <f t="shared" si="1754"/>
        <v>0</v>
      </c>
      <c r="DN238" s="82">
        <f t="shared" si="1755"/>
        <v>150</v>
      </c>
      <c r="DO238" s="82">
        <f t="shared" si="1756"/>
        <v>6660000</v>
      </c>
      <c r="DP238" s="82"/>
      <c r="DQ238" s="82"/>
      <c r="DR238" s="82">
        <f t="shared" si="1757"/>
        <v>0</v>
      </c>
      <c r="DS238" s="82">
        <f t="shared" si="1758"/>
        <v>0</v>
      </c>
      <c r="DT238" s="82"/>
      <c r="DU238" s="82"/>
      <c r="DV238" s="82"/>
      <c r="DW238" s="82"/>
      <c r="DX238" s="82">
        <f t="shared" si="1759"/>
        <v>0</v>
      </c>
      <c r="DY238" s="82">
        <f t="shared" si="1760"/>
        <v>0</v>
      </c>
      <c r="DZ238" s="82">
        <f t="shared" si="1761"/>
        <v>150</v>
      </c>
      <c r="EA238" s="82">
        <f t="shared" si="1762"/>
        <v>6660000</v>
      </c>
      <c r="EB238" s="82"/>
      <c r="EC238" s="82"/>
      <c r="ED238" s="82">
        <f t="shared" si="1763"/>
        <v>0</v>
      </c>
      <c r="EE238" s="82">
        <f t="shared" si="1764"/>
        <v>0</v>
      </c>
      <c r="EF238" s="82"/>
      <c r="EG238" s="82"/>
      <c r="EH238" s="82"/>
      <c r="EI238" s="82"/>
      <c r="EJ238" s="82">
        <f t="shared" si="1765"/>
        <v>0</v>
      </c>
      <c r="EK238" s="82">
        <f t="shared" si="1766"/>
        <v>0</v>
      </c>
      <c r="EL238" s="82">
        <f t="shared" si="1767"/>
        <v>150</v>
      </c>
      <c r="EM238" s="82">
        <f t="shared" si="1768"/>
        <v>6660000</v>
      </c>
      <c r="EN238" s="82">
        <f t="shared" si="1769"/>
        <v>150</v>
      </c>
      <c r="EO238" s="82">
        <f t="shared" si="1770"/>
        <v>0</v>
      </c>
      <c r="EP238" s="82">
        <f t="shared" si="1771"/>
        <v>150</v>
      </c>
      <c r="EQ238" s="82">
        <f t="shared" si="1772"/>
        <v>6660000</v>
      </c>
      <c r="ER238" s="82"/>
      <c r="ES238" s="82"/>
      <c r="ET238" s="82">
        <f t="shared" si="1773"/>
        <v>0</v>
      </c>
      <c r="EU238" s="82">
        <f t="shared" si="1774"/>
        <v>0</v>
      </c>
      <c r="EV238" s="82"/>
      <c r="EW238" s="82"/>
      <c r="EX238" s="82"/>
      <c r="EY238" s="82"/>
      <c r="EZ238" s="82">
        <f t="shared" si="1775"/>
        <v>0</v>
      </c>
      <c r="FA238" s="82">
        <f t="shared" si="1776"/>
        <v>0</v>
      </c>
      <c r="FB238" s="82">
        <f t="shared" si="1777"/>
        <v>150</v>
      </c>
      <c r="FC238" s="82">
        <f t="shared" si="1778"/>
        <v>6660000</v>
      </c>
      <c r="FD238" s="82"/>
      <c r="FE238" s="82"/>
      <c r="FF238" s="82">
        <f t="shared" si="1779"/>
        <v>0</v>
      </c>
      <c r="FG238" s="82">
        <f t="shared" si="1780"/>
        <v>0</v>
      </c>
      <c r="FH238" s="82"/>
      <c r="FI238" s="82"/>
      <c r="FJ238" s="82"/>
      <c r="FK238" s="82"/>
      <c r="FL238" s="82">
        <f t="shared" si="1781"/>
        <v>0</v>
      </c>
      <c r="FM238" s="82">
        <f t="shared" si="1782"/>
        <v>0</v>
      </c>
      <c r="FN238" s="82">
        <f t="shared" si="1783"/>
        <v>150</v>
      </c>
      <c r="FO238" s="82">
        <f t="shared" si="1784"/>
        <v>6660000</v>
      </c>
      <c r="FP238" s="82"/>
      <c r="FQ238" s="82"/>
      <c r="FR238" s="82">
        <f t="shared" si="1785"/>
        <v>0</v>
      </c>
      <c r="FS238" s="82">
        <f t="shared" si="1786"/>
        <v>0</v>
      </c>
      <c r="FT238" s="82"/>
      <c r="FU238" s="82"/>
      <c r="FV238" s="82"/>
      <c r="FW238" s="82"/>
      <c r="FX238" s="82">
        <f t="shared" si="1787"/>
        <v>0</v>
      </c>
      <c r="FY238" s="82">
        <f t="shared" si="1788"/>
        <v>0</v>
      </c>
      <c r="FZ238" s="82">
        <f t="shared" si="1789"/>
        <v>150</v>
      </c>
      <c r="GA238" s="82">
        <f t="shared" si="1790"/>
        <v>6660000</v>
      </c>
      <c r="GB238" s="82">
        <f t="shared" si="1791"/>
        <v>0</v>
      </c>
      <c r="GC238" s="82">
        <f t="shared" si="1792"/>
        <v>0</v>
      </c>
      <c r="GD238" s="82">
        <f t="shared" si="1793"/>
        <v>150</v>
      </c>
      <c r="GE238" s="82">
        <f t="shared" si="1794"/>
        <v>6660000</v>
      </c>
      <c r="GF238" s="85"/>
    </row>
    <row r="239" ht="18.0" customHeight="1">
      <c r="A239" s="96">
        <v>8.0</v>
      </c>
      <c r="B239" s="58"/>
      <c r="C239" s="58" t="s">
        <v>270</v>
      </c>
      <c r="D239" s="78" t="s">
        <v>249</v>
      </c>
      <c r="E239" s="120"/>
      <c r="F239" s="61"/>
      <c r="G239" s="81">
        <v>0.0</v>
      </c>
      <c r="H239" s="82">
        <v>0.0</v>
      </c>
      <c r="I239" s="82"/>
      <c r="J239" s="82"/>
      <c r="K239" s="82">
        <f t="shared" si="1709"/>
        <v>0</v>
      </c>
      <c r="L239" s="82">
        <f t="shared" si="1710"/>
        <v>0</v>
      </c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>
        <f t="shared" si="1711"/>
        <v>0</v>
      </c>
      <c r="AC239" s="82">
        <f t="shared" si="1712"/>
        <v>0</v>
      </c>
      <c r="AD239" s="82">
        <f t="shared" si="1713"/>
        <v>0</v>
      </c>
      <c r="AE239" s="82">
        <f t="shared" si="1714"/>
        <v>0</v>
      </c>
      <c r="AF239" s="82"/>
      <c r="AG239" s="82"/>
      <c r="AH239" s="82">
        <f t="shared" si="1715"/>
        <v>0</v>
      </c>
      <c r="AI239" s="82">
        <f t="shared" si="1716"/>
        <v>0</v>
      </c>
      <c r="AJ239" s="82"/>
      <c r="AK239" s="82"/>
      <c r="AL239" s="82"/>
      <c r="AM239" s="82"/>
      <c r="AN239" s="82">
        <f t="shared" si="1717"/>
        <v>0</v>
      </c>
      <c r="AO239" s="82">
        <f t="shared" si="1718"/>
        <v>0</v>
      </c>
      <c r="AP239" s="82">
        <f t="shared" si="1719"/>
        <v>0</v>
      </c>
      <c r="AQ239" s="82">
        <f t="shared" si="1720"/>
        <v>0</v>
      </c>
      <c r="AR239" s="82"/>
      <c r="AS239" s="82"/>
      <c r="AT239" s="82"/>
      <c r="AU239" s="82">
        <f t="shared" si="1721"/>
        <v>0</v>
      </c>
      <c r="AV239" s="82">
        <f t="shared" si="1722"/>
        <v>0</v>
      </c>
      <c r="AW239" s="82"/>
      <c r="AX239" s="82"/>
      <c r="AY239" s="82"/>
      <c r="AZ239" s="82"/>
      <c r="BA239" s="82">
        <f t="shared" si="1723"/>
        <v>0</v>
      </c>
      <c r="BB239" s="82">
        <f t="shared" si="1724"/>
        <v>0</v>
      </c>
      <c r="BC239" s="82">
        <f t="shared" si="1725"/>
        <v>0</v>
      </c>
      <c r="BD239" s="82">
        <f t="shared" si="1726"/>
        <v>0</v>
      </c>
      <c r="BE239" s="82">
        <f t="shared" si="1727"/>
        <v>0</v>
      </c>
      <c r="BF239" s="82">
        <f t="shared" si="1728"/>
        <v>0</v>
      </c>
      <c r="BG239" s="82">
        <f t="shared" si="1729"/>
        <v>0</v>
      </c>
      <c r="BH239" s="82">
        <f t="shared" si="1730"/>
        <v>0</v>
      </c>
      <c r="BI239" s="82"/>
      <c r="BJ239" s="83"/>
      <c r="BK239" s="82">
        <f t="shared" si="1731"/>
        <v>0</v>
      </c>
      <c r="BL239" s="82">
        <f t="shared" si="1732"/>
        <v>0</v>
      </c>
      <c r="BM239" s="82"/>
      <c r="BN239" s="82"/>
      <c r="BO239" s="82"/>
      <c r="BP239" s="82"/>
      <c r="BQ239" s="82"/>
      <c r="BR239" s="82"/>
      <c r="BS239" s="82"/>
      <c r="BT239" s="82"/>
      <c r="BU239" s="82"/>
      <c r="BV239" s="82"/>
      <c r="BW239" s="82">
        <f t="shared" si="1733"/>
        <v>0</v>
      </c>
      <c r="BX239" s="82">
        <f t="shared" si="1734"/>
        <v>0</v>
      </c>
      <c r="BY239" s="82">
        <f t="shared" si="1735"/>
        <v>0</v>
      </c>
      <c r="BZ239" s="82">
        <f t="shared" si="1736"/>
        <v>0</v>
      </c>
      <c r="CA239" s="82"/>
      <c r="CB239" s="82"/>
      <c r="CC239" s="82">
        <f t="shared" si="1737"/>
        <v>0</v>
      </c>
      <c r="CD239" s="82">
        <f t="shared" si="1738"/>
        <v>0</v>
      </c>
      <c r="CE239" s="82"/>
      <c r="CF239" s="82"/>
      <c r="CG239" s="82"/>
      <c r="CH239" s="82"/>
      <c r="CI239" s="82">
        <f t="shared" si="1739"/>
        <v>0</v>
      </c>
      <c r="CJ239" s="82">
        <f t="shared" si="1740"/>
        <v>0</v>
      </c>
      <c r="CK239" s="82">
        <f t="shared" si="1741"/>
        <v>0</v>
      </c>
      <c r="CL239" s="82">
        <f t="shared" si="1742"/>
        <v>0</v>
      </c>
      <c r="CM239" s="82"/>
      <c r="CN239" s="82"/>
      <c r="CO239" s="82">
        <f t="shared" si="1743"/>
        <v>0</v>
      </c>
      <c r="CP239" s="82">
        <f t="shared" si="1744"/>
        <v>0</v>
      </c>
      <c r="CQ239" s="82"/>
      <c r="CR239" s="82"/>
      <c r="CS239" s="82"/>
      <c r="CT239" s="82"/>
      <c r="CU239" s="82">
        <f t="shared" si="1745"/>
        <v>0</v>
      </c>
      <c r="CV239" s="82">
        <f t="shared" si="1746"/>
        <v>0</v>
      </c>
      <c r="CW239" s="82">
        <f t="shared" si="1747"/>
        <v>0</v>
      </c>
      <c r="CX239" s="82">
        <f t="shared" si="1748"/>
        <v>0</v>
      </c>
      <c r="CY239" s="82">
        <f t="shared" si="1749"/>
        <v>0</v>
      </c>
      <c r="CZ239" s="82">
        <f t="shared" si="1750"/>
        <v>0</v>
      </c>
      <c r="DA239" s="82">
        <f t="shared" si="1751"/>
        <v>0</v>
      </c>
      <c r="DB239" s="82">
        <f t="shared" si="1752"/>
        <v>0</v>
      </c>
      <c r="DC239" s="91"/>
      <c r="DD239" s="82"/>
      <c r="DE239" s="82"/>
      <c r="DF239" s="82">
        <f t="shared" si="1664"/>
        <v>0</v>
      </c>
      <c r="DG239" s="82">
        <f t="shared" si="1795"/>
        <v>0</v>
      </c>
      <c r="DH239" s="82"/>
      <c r="DI239" s="82"/>
      <c r="DJ239" s="82"/>
      <c r="DK239" s="82"/>
      <c r="DL239" s="82">
        <f t="shared" si="1753"/>
        <v>0</v>
      </c>
      <c r="DM239" s="82">
        <f t="shared" si="1754"/>
        <v>0</v>
      </c>
      <c r="DN239" s="82">
        <f t="shared" si="1755"/>
        <v>0</v>
      </c>
      <c r="DO239" s="82">
        <f t="shared" si="1756"/>
        <v>0</v>
      </c>
      <c r="DP239" s="82"/>
      <c r="DQ239" s="82"/>
      <c r="DR239" s="82">
        <f t="shared" si="1757"/>
        <v>0</v>
      </c>
      <c r="DS239" s="82">
        <f t="shared" si="1758"/>
        <v>0</v>
      </c>
      <c r="DT239" s="82"/>
      <c r="DU239" s="82"/>
      <c r="DV239" s="82"/>
      <c r="DW239" s="82"/>
      <c r="DX239" s="82">
        <f t="shared" si="1759"/>
        <v>0</v>
      </c>
      <c r="DY239" s="82">
        <f t="shared" si="1760"/>
        <v>0</v>
      </c>
      <c r="DZ239" s="82">
        <f t="shared" si="1761"/>
        <v>0</v>
      </c>
      <c r="EA239" s="82">
        <f t="shared" si="1762"/>
        <v>0</v>
      </c>
      <c r="EB239" s="82"/>
      <c r="EC239" s="82"/>
      <c r="ED239" s="82">
        <f t="shared" si="1763"/>
        <v>0</v>
      </c>
      <c r="EE239" s="82">
        <f t="shared" si="1764"/>
        <v>0</v>
      </c>
      <c r="EF239" s="82"/>
      <c r="EG239" s="82"/>
      <c r="EH239" s="82"/>
      <c r="EI239" s="82"/>
      <c r="EJ239" s="82">
        <f t="shared" si="1765"/>
        <v>0</v>
      </c>
      <c r="EK239" s="82">
        <f t="shared" si="1766"/>
        <v>0</v>
      </c>
      <c r="EL239" s="82">
        <f t="shared" si="1767"/>
        <v>0</v>
      </c>
      <c r="EM239" s="82">
        <f t="shared" si="1768"/>
        <v>0</v>
      </c>
      <c r="EN239" s="82">
        <f t="shared" si="1769"/>
        <v>0</v>
      </c>
      <c r="EO239" s="82">
        <f t="shared" si="1770"/>
        <v>0</v>
      </c>
      <c r="EP239" s="82">
        <f t="shared" si="1771"/>
        <v>0</v>
      </c>
      <c r="EQ239" s="82">
        <f t="shared" si="1772"/>
        <v>0</v>
      </c>
      <c r="ER239" s="82"/>
      <c r="ES239" s="82"/>
      <c r="ET239" s="82">
        <f t="shared" si="1773"/>
        <v>0</v>
      </c>
      <c r="EU239" s="82">
        <f t="shared" si="1774"/>
        <v>0</v>
      </c>
      <c r="EV239" s="82"/>
      <c r="EW239" s="82"/>
      <c r="EX239" s="82"/>
      <c r="EY239" s="82"/>
      <c r="EZ239" s="82">
        <f t="shared" si="1775"/>
        <v>0</v>
      </c>
      <c r="FA239" s="82">
        <f t="shared" si="1776"/>
        <v>0</v>
      </c>
      <c r="FB239" s="82">
        <f t="shared" si="1777"/>
        <v>0</v>
      </c>
      <c r="FC239" s="82">
        <f t="shared" si="1778"/>
        <v>0</v>
      </c>
      <c r="FD239" s="82"/>
      <c r="FE239" s="82"/>
      <c r="FF239" s="82">
        <f t="shared" si="1779"/>
        <v>0</v>
      </c>
      <c r="FG239" s="82">
        <f t="shared" si="1780"/>
        <v>0</v>
      </c>
      <c r="FH239" s="82"/>
      <c r="FI239" s="82"/>
      <c r="FJ239" s="82"/>
      <c r="FK239" s="82"/>
      <c r="FL239" s="82">
        <f t="shared" si="1781"/>
        <v>0</v>
      </c>
      <c r="FM239" s="82">
        <f t="shared" si="1782"/>
        <v>0</v>
      </c>
      <c r="FN239" s="82">
        <f t="shared" si="1783"/>
        <v>0</v>
      </c>
      <c r="FO239" s="82">
        <f t="shared" si="1784"/>
        <v>0</v>
      </c>
      <c r="FP239" s="82"/>
      <c r="FQ239" s="82"/>
      <c r="FR239" s="82">
        <f t="shared" si="1785"/>
        <v>0</v>
      </c>
      <c r="FS239" s="82">
        <f t="shared" si="1786"/>
        <v>0</v>
      </c>
      <c r="FT239" s="82"/>
      <c r="FU239" s="82"/>
      <c r="FV239" s="82"/>
      <c r="FW239" s="82"/>
      <c r="FX239" s="82">
        <f t="shared" si="1787"/>
        <v>0</v>
      </c>
      <c r="FY239" s="82">
        <f t="shared" si="1788"/>
        <v>0</v>
      </c>
      <c r="FZ239" s="82">
        <f t="shared" si="1789"/>
        <v>0</v>
      </c>
      <c r="GA239" s="82">
        <f t="shared" si="1790"/>
        <v>0</v>
      </c>
      <c r="GB239" s="82">
        <f t="shared" si="1791"/>
        <v>0</v>
      </c>
      <c r="GC239" s="82">
        <f t="shared" si="1792"/>
        <v>0</v>
      </c>
      <c r="GD239" s="82">
        <f t="shared" si="1793"/>
        <v>0</v>
      </c>
      <c r="GE239" s="82">
        <f t="shared" si="1794"/>
        <v>0</v>
      </c>
      <c r="GF239" s="85"/>
    </row>
    <row r="240">
      <c r="A240" s="96">
        <v>9.0</v>
      </c>
      <c r="B240" s="58"/>
      <c r="C240" s="58" t="s">
        <v>271</v>
      </c>
      <c r="D240" s="78" t="s">
        <v>249</v>
      </c>
      <c r="E240" s="121">
        <f>20000+(20000*11%)</f>
        <v>22200</v>
      </c>
      <c r="F240" s="80" t="s">
        <v>220</v>
      </c>
      <c r="G240" s="81">
        <v>0.0</v>
      </c>
      <c r="H240" s="82">
        <v>0.0</v>
      </c>
      <c r="I240" s="82"/>
      <c r="J240" s="82"/>
      <c r="K240" s="82">
        <f t="shared" si="1709"/>
        <v>0</v>
      </c>
      <c r="L240" s="82">
        <f t="shared" si="1710"/>
        <v>0</v>
      </c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>
        <f t="shared" si="1711"/>
        <v>0</v>
      </c>
      <c r="AC240" s="82">
        <f t="shared" si="1712"/>
        <v>0</v>
      </c>
      <c r="AD240" s="82">
        <f t="shared" si="1713"/>
        <v>0</v>
      </c>
      <c r="AE240" s="82">
        <f t="shared" si="1714"/>
        <v>0</v>
      </c>
      <c r="AF240" s="82"/>
      <c r="AG240" s="82"/>
      <c r="AH240" s="82">
        <f t="shared" si="1715"/>
        <v>0</v>
      </c>
      <c r="AI240" s="82">
        <f t="shared" si="1716"/>
        <v>0</v>
      </c>
      <c r="AJ240" s="82"/>
      <c r="AK240" s="82"/>
      <c r="AL240" s="82"/>
      <c r="AM240" s="82"/>
      <c r="AN240" s="82">
        <f t="shared" si="1717"/>
        <v>0</v>
      </c>
      <c r="AO240" s="82">
        <f t="shared" si="1718"/>
        <v>0</v>
      </c>
      <c r="AP240" s="82">
        <f t="shared" si="1719"/>
        <v>0</v>
      </c>
      <c r="AQ240" s="82">
        <f t="shared" si="1720"/>
        <v>0</v>
      </c>
      <c r="AR240" s="82"/>
      <c r="AS240" s="82"/>
      <c r="AT240" s="82"/>
      <c r="AU240" s="82">
        <f t="shared" si="1721"/>
        <v>0</v>
      </c>
      <c r="AV240" s="82">
        <f t="shared" si="1722"/>
        <v>0</v>
      </c>
      <c r="AW240" s="82"/>
      <c r="AX240" s="82"/>
      <c r="AY240" s="82"/>
      <c r="AZ240" s="82"/>
      <c r="BA240" s="82">
        <f t="shared" si="1723"/>
        <v>0</v>
      </c>
      <c r="BB240" s="82">
        <f t="shared" si="1724"/>
        <v>0</v>
      </c>
      <c r="BC240" s="82">
        <f t="shared" si="1725"/>
        <v>0</v>
      </c>
      <c r="BD240" s="82">
        <f t="shared" si="1726"/>
        <v>0</v>
      </c>
      <c r="BE240" s="82">
        <f t="shared" si="1727"/>
        <v>0</v>
      </c>
      <c r="BF240" s="82">
        <f t="shared" si="1728"/>
        <v>0</v>
      </c>
      <c r="BG240" s="82">
        <f t="shared" si="1729"/>
        <v>0</v>
      </c>
      <c r="BH240" s="82">
        <f t="shared" si="1730"/>
        <v>0</v>
      </c>
      <c r="BI240" s="82"/>
      <c r="BJ240" s="83"/>
      <c r="BK240" s="82">
        <f t="shared" si="1731"/>
        <v>0</v>
      </c>
      <c r="BL240" s="82">
        <f t="shared" si="1732"/>
        <v>0</v>
      </c>
      <c r="BM240" s="82"/>
      <c r="BN240" s="82"/>
      <c r="BO240" s="82"/>
      <c r="BP240" s="82"/>
      <c r="BQ240" s="82"/>
      <c r="BR240" s="82"/>
      <c r="BS240" s="82"/>
      <c r="BT240" s="82"/>
      <c r="BU240" s="82"/>
      <c r="BV240" s="82"/>
      <c r="BW240" s="82">
        <f t="shared" si="1733"/>
        <v>0</v>
      </c>
      <c r="BX240" s="82">
        <f t="shared" si="1734"/>
        <v>0</v>
      </c>
      <c r="BY240" s="82">
        <f t="shared" si="1735"/>
        <v>0</v>
      </c>
      <c r="BZ240" s="82">
        <f t="shared" si="1736"/>
        <v>0</v>
      </c>
      <c r="CA240" s="82"/>
      <c r="CB240" s="82"/>
      <c r="CC240" s="82">
        <f t="shared" si="1737"/>
        <v>0</v>
      </c>
      <c r="CD240" s="82">
        <f t="shared" si="1738"/>
        <v>0</v>
      </c>
      <c r="CE240" s="82"/>
      <c r="CF240" s="82"/>
      <c r="CG240" s="82"/>
      <c r="CH240" s="82"/>
      <c r="CI240" s="82">
        <f t="shared" si="1739"/>
        <v>0</v>
      </c>
      <c r="CJ240" s="82">
        <f t="shared" si="1740"/>
        <v>0</v>
      </c>
      <c r="CK240" s="82">
        <f t="shared" si="1741"/>
        <v>0</v>
      </c>
      <c r="CL240" s="82">
        <f t="shared" si="1742"/>
        <v>0</v>
      </c>
      <c r="CM240" s="82"/>
      <c r="CN240" s="82"/>
      <c r="CO240" s="82">
        <f t="shared" si="1743"/>
        <v>0</v>
      </c>
      <c r="CP240" s="82">
        <f t="shared" si="1744"/>
        <v>0</v>
      </c>
      <c r="CQ240" s="82"/>
      <c r="CR240" s="82"/>
      <c r="CS240" s="82"/>
      <c r="CT240" s="82"/>
      <c r="CU240" s="82">
        <f t="shared" si="1745"/>
        <v>0</v>
      </c>
      <c r="CV240" s="82">
        <f t="shared" si="1746"/>
        <v>0</v>
      </c>
      <c r="CW240" s="82">
        <f t="shared" si="1747"/>
        <v>0</v>
      </c>
      <c r="CX240" s="82">
        <f t="shared" si="1748"/>
        <v>0</v>
      </c>
      <c r="CY240" s="82">
        <f t="shared" si="1749"/>
        <v>0</v>
      </c>
      <c r="CZ240" s="82">
        <f t="shared" si="1750"/>
        <v>0</v>
      </c>
      <c r="DA240" s="82">
        <f t="shared" si="1751"/>
        <v>0</v>
      </c>
      <c r="DB240" s="82">
        <f t="shared" si="1752"/>
        <v>0</v>
      </c>
      <c r="DC240" s="84"/>
      <c r="DD240" s="83">
        <v>40.0</v>
      </c>
      <c r="DE240" s="82"/>
      <c r="DF240" s="82">
        <f t="shared" si="1664"/>
        <v>40</v>
      </c>
      <c r="DG240" s="82">
        <f t="shared" si="1795"/>
        <v>888000</v>
      </c>
      <c r="DH240" s="82"/>
      <c r="DI240" s="82"/>
      <c r="DJ240" s="82"/>
      <c r="DK240" s="82"/>
      <c r="DL240" s="82">
        <f t="shared" si="1753"/>
        <v>0</v>
      </c>
      <c r="DM240" s="82">
        <f t="shared" si="1754"/>
        <v>0</v>
      </c>
      <c r="DN240" s="82">
        <f t="shared" si="1755"/>
        <v>40</v>
      </c>
      <c r="DO240" s="82">
        <f t="shared" si="1756"/>
        <v>888000</v>
      </c>
      <c r="DP240" s="82"/>
      <c r="DQ240" s="82"/>
      <c r="DR240" s="82">
        <f t="shared" si="1757"/>
        <v>0</v>
      </c>
      <c r="DS240" s="82">
        <f t="shared" si="1758"/>
        <v>0</v>
      </c>
      <c r="DT240" s="82"/>
      <c r="DU240" s="82"/>
      <c r="DV240" s="82"/>
      <c r="DW240" s="82"/>
      <c r="DX240" s="82">
        <f t="shared" si="1759"/>
        <v>0</v>
      </c>
      <c r="DY240" s="82">
        <f t="shared" si="1760"/>
        <v>0</v>
      </c>
      <c r="DZ240" s="82">
        <f t="shared" si="1761"/>
        <v>40</v>
      </c>
      <c r="EA240" s="82">
        <f t="shared" si="1762"/>
        <v>888000</v>
      </c>
      <c r="EB240" s="82"/>
      <c r="EC240" s="82"/>
      <c r="ED240" s="82">
        <f t="shared" si="1763"/>
        <v>0</v>
      </c>
      <c r="EE240" s="82">
        <f t="shared" si="1764"/>
        <v>0</v>
      </c>
      <c r="EF240" s="82"/>
      <c r="EG240" s="82"/>
      <c r="EH240" s="82"/>
      <c r="EI240" s="82"/>
      <c r="EJ240" s="82">
        <f t="shared" si="1765"/>
        <v>0</v>
      </c>
      <c r="EK240" s="82">
        <f t="shared" si="1766"/>
        <v>0</v>
      </c>
      <c r="EL240" s="82">
        <f t="shared" si="1767"/>
        <v>40</v>
      </c>
      <c r="EM240" s="82">
        <f t="shared" si="1768"/>
        <v>888000</v>
      </c>
      <c r="EN240" s="82">
        <f t="shared" si="1769"/>
        <v>40</v>
      </c>
      <c r="EO240" s="82">
        <f t="shared" si="1770"/>
        <v>0</v>
      </c>
      <c r="EP240" s="82">
        <f t="shared" si="1771"/>
        <v>40</v>
      </c>
      <c r="EQ240" s="82">
        <f t="shared" si="1772"/>
        <v>888000</v>
      </c>
      <c r="ER240" s="82"/>
      <c r="ES240" s="82"/>
      <c r="ET240" s="82">
        <f t="shared" si="1773"/>
        <v>0</v>
      </c>
      <c r="EU240" s="82">
        <f t="shared" si="1774"/>
        <v>0</v>
      </c>
      <c r="EV240" s="82"/>
      <c r="EW240" s="82"/>
      <c r="EX240" s="82"/>
      <c r="EY240" s="82"/>
      <c r="EZ240" s="82">
        <f t="shared" si="1775"/>
        <v>0</v>
      </c>
      <c r="FA240" s="82">
        <f t="shared" si="1776"/>
        <v>0</v>
      </c>
      <c r="FB240" s="82">
        <f t="shared" si="1777"/>
        <v>40</v>
      </c>
      <c r="FC240" s="82">
        <f t="shared" si="1778"/>
        <v>888000</v>
      </c>
      <c r="FD240" s="82"/>
      <c r="FE240" s="82"/>
      <c r="FF240" s="82">
        <f t="shared" si="1779"/>
        <v>0</v>
      </c>
      <c r="FG240" s="82">
        <f t="shared" si="1780"/>
        <v>0</v>
      </c>
      <c r="FH240" s="82"/>
      <c r="FI240" s="82"/>
      <c r="FJ240" s="82"/>
      <c r="FK240" s="82"/>
      <c r="FL240" s="82">
        <f t="shared" si="1781"/>
        <v>0</v>
      </c>
      <c r="FM240" s="82">
        <f t="shared" si="1782"/>
        <v>0</v>
      </c>
      <c r="FN240" s="82">
        <f t="shared" si="1783"/>
        <v>40</v>
      </c>
      <c r="FO240" s="82">
        <f t="shared" si="1784"/>
        <v>888000</v>
      </c>
      <c r="FP240" s="82"/>
      <c r="FQ240" s="82"/>
      <c r="FR240" s="82">
        <f t="shared" si="1785"/>
        <v>0</v>
      </c>
      <c r="FS240" s="82">
        <f t="shared" si="1786"/>
        <v>0</v>
      </c>
      <c r="FT240" s="82"/>
      <c r="FU240" s="82"/>
      <c r="FV240" s="82"/>
      <c r="FW240" s="82"/>
      <c r="FX240" s="82">
        <f t="shared" si="1787"/>
        <v>0</v>
      </c>
      <c r="FY240" s="82">
        <f t="shared" si="1788"/>
        <v>0</v>
      </c>
      <c r="FZ240" s="82">
        <f t="shared" si="1789"/>
        <v>40</v>
      </c>
      <c r="GA240" s="82">
        <f t="shared" si="1790"/>
        <v>888000</v>
      </c>
      <c r="GB240" s="82">
        <f t="shared" si="1791"/>
        <v>0</v>
      </c>
      <c r="GC240" s="82">
        <f t="shared" si="1792"/>
        <v>0</v>
      </c>
      <c r="GD240" s="82">
        <f t="shared" si="1793"/>
        <v>40</v>
      </c>
      <c r="GE240" s="82">
        <f t="shared" si="1794"/>
        <v>888000</v>
      </c>
      <c r="GF240" s="85"/>
    </row>
    <row r="241" ht="18.0" customHeight="1">
      <c r="A241" s="96">
        <v>10.0</v>
      </c>
      <c r="B241" s="58"/>
      <c r="C241" s="58" t="s">
        <v>272</v>
      </c>
      <c r="D241" s="92" t="s">
        <v>114</v>
      </c>
      <c r="E241" s="79">
        <v>12100.0</v>
      </c>
      <c r="F241" s="61"/>
      <c r="G241" s="81">
        <v>91.0</v>
      </c>
      <c r="H241" s="82">
        <v>1101100.0</v>
      </c>
      <c r="I241" s="82"/>
      <c r="J241" s="82"/>
      <c r="K241" s="82">
        <f t="shared" si="1709"/>
        <v>0</v>
      </c>
      <c r="L241" s="82">
        <f t="shared" si="1710"/>
        <v>0</v>
      </c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>
        <f t="shared" si="1711"/>
        <v>0</v>
      </c>
      <c r="AC241" s="82">
        <f t="shared" si="1712"/>
        <v>0</v>
      </c>
      <c r="AD241" s="82">
        <f t="shared" si="1713"/>
        <v>91</v>
      </c>
      <c r="AE241" s="82">
        <f t="shared" si="1714"/>
        <v>1101100</v>
      </c>
      <c r="AF241" s="82"/>
      <c r="AG241" s="82"/>
      <c r="AH241" s="82">
        <f t="shared" si="1715"/>
        <v>0</v>
      </c>
      <c r="AI241" s="82">
        <f t="shared" si="1716"/>
        <v>0</v>
      </c>
      <c r="AJ241" s="82"/>
      <c r="AK241" s="82"/>
      <c r="AL241" s="82"/>
      <c r="AM241" s="82"/>
      <c r="AN241" s="82">
        <f t="shared" si="1717"/>
        <v>0</v>
      </c>
      <c r="AO241" s="82">
        <f t="shared" si="1718"/>
        <v>0</v>
      </c>
      <c r="AP241" s="82">
        <f t="shared" si="1719"/>
        <v>91</v>
      </c>
      <c r="AQ241" s="82">
        <f t="shared" si="1720"/>
        <v>1101100</v>
      </c>
      <c r="AR241" s="82"/>
      <c r="AS241" s="82"/>
      <c r="AT241" s="82"/>
      <c r="AU241" s="82">
        <f t="shared" si="1721"/>
        <v>0</v>
      </c>
      <c r="AV241" s="82">
        <f t="shared" si="1722"/>
        <v>0</v>
      </c>
      <c r="AW241" s="82"/>
      <c r="AX241" s="82"/>
      <c r="AY241" s="82"/>
      <c r="AZ241" s="82"/>
      <c r="BA241" s="82">
        <f t="shared" si="1723"/>
        <v>0</v>
      </c>
      <c r="BB241" s="82">
        <f t="shared" si="1724"/>
        <v>0</v>
      </c>
      <c r="BC241" s="82">
        <f t="shared" si="1725"/>
        <v>91</v>
      </c>
      <c r="BD241" s="82">
        <f t="shared" si="1726"/>
        <v>1101100</v>
      </c>
      <c r="BE241" s="82">
        <f t="shared" si="1727"/>
        <v>0</v>
      </c>
      <c r="BF241" s="82">
        <f t="shared" si="1728"/>
        <v>0</v>
      </c>
      <c r="BG241" s="82">
        <f t="shared" si="1729"/>
        <v>91</v>
      </c>
      <c r="BH241" s="82">
        <f t="shared" si="1730"/>
        <v>1101100</v>
      </c>
      <c r="BI241" s="82"/>
      <c r="BJ241" s="83"/>
      <c r="BK241" s="82">
        <f t="shared" si="1731"/>
        <v>0</v>
      </c>
      <c r="BL241" s="82">
        <f t="shared" si="1732"/>
        <v>0</v>
      </c>
      <c r="BM241" s="82"/>
      <c r="BN241" s="83">
        <v>4.0</v>
      </c>
      <c r="BO241" s="82"/>
      <c r="BP241" s="82"/>
      <c r="BQ241" s="82"/>
      <c r="BR241" s="82"/>
      <c r="BS241" s="82"/>
      <c r="BT241" s="83">
        <v>10.0</v>
      </c>
      <c r="BU241" s="83"/>
      <c r="BV241" s="82"/>
      <c r="BW241" s="82">
        <f t="shared" si="1733"/>
        <v>14</v>
      </c>
      <c r="BX241" s="82">
        <f t="shared" si="1734"/>
        <v>169400</v>
      </c>
      <c r="BY241" s="82">
        <f t="shared" si="1735"/>
        <v>77</v>
      </c>
      <c r="BZ241" s="82">
        <f t="shared" si="1736"/>
        <v>931700</v>
      </c>
      <c r="CA241" s="82"/>
      <c r="CB241" s="82"/>
      <c r="CC241" s="82">
        <f t="shared" si="1737"/>
        <v>0</v>
      </c>
      <c r="CD241" s="82">
        <f t="shared" si="1738"/>
        <v>0</v>
      </c>
      <c r="CE241" s="82"/>
      <c r="CF241" s="82"/>
      <c r="CG241" s="82"/>
      <c r="CH241" s="82"/>
      <c r="CI241" s="82">
        <f t="shared" si="1739"/>
        <v>0</v>
      </c>
      <c r="CJ241" s="82">
        <f t="shared" si="1740"/>
        <v>0</v>
      </c>
      <c r="CK241" s="82">
        <f t="shared" si="1741"/>
        <v>77</v>
      </c>
      <c r="CL241" s="82">
        <f t="shared" si="1742"/>
        <v>931700</v>
      </c>
      <c r="CM241" s="82"/>
      <c r="CN241" s="82"/>
      <c r="CO241" s="82">
        <f t="shared" si="1743"/>
        <v>0</v>
      </c>
      <c r="CP241" s="82">
        <f t="shared" si="1744"/>
        <v>0</v>
      </c>
      <c r="CQ241" s="82"/>
      <c r="CR241" s="82"/>
      <c r="CS241" s="82"/>
      <c r="CT241" s="82"/>
      <c r="CU241" s="82">
        <f t="shared" si="1745"/>
        <v>0</v>
      </c>
      <c r="CV241" s="82">
        <f t="shared" si="1746"/>
        <v>0</v>
      </c>
      <c r="CW241" s="82">
        <f t="shared" si="1747"/>
        <v>77</v>
      </c>
      <c r="CX241" s="82">
        <f t="shared" si="1748"/>
        <v>931700</v>
      </c>
      <c r="CY241" s="82">
        <f t="shared" si="1749"/>
        <v>0</v>
      </c>
      <c r="CZ241" s="82">
        <f t="shared" si="1750"/>
        <v>14</v>
      </c>
      <c r="DA241" s="82">
        <f t="shared" si="1751"/>
        <v>77</v>
      </c>
      <c r="DB241" s="82">
        <f t="shared" si="1752"/>
        <v>931700</v>
      </c>
      <c r="DC241" s="91"/>
      <c r="DD241" s="82"/>
      <c r="DE241" s="82"/>
      <c r="DF241" s="82">
        <f t="shared" si="1664"/>
        <v>0</v>
      </c>
      <c r="DG241" s="82">
        <f t="shared" si="1795"/>
        <v>0</v>
      </c>
      <c r="DH241" s="82"/>
      <c r="DI241" s="82"/>
      <c r="DJ241" s="82"/>
      <c r="DK241" s="82"/>
      <c r="DL241" s="82">
        <f t="shared" si="1753"/>
        <v>0</v>
      </c>
      <c r="DM241" s="82">
        <f t="shared" si="1754"/>
        <v>0</v>
      </c>
      <c r="DN241" s="82">
        <f t="shared" si="1755"/>
        <v>77</v>
      </c>
      <c r="DO241" s="82">
        <f t="shared" si="1756"/>
        <v>931700</v>
      </c>
      <c r="DP241" s="82"/>
      <c r="DQ241" s="82"/>
      <c r="DR241" s="82">
        <f t="shared" si="1757"/>
        <v>0</v>
      </c>
      <c r="DS241" s="82">
        <f t="shared" si="1758"/>
        <v>0</v>
      </c>
      <c r="DT241" s="82"/>
      <c r="DU241" s="82"/>
      <c r="DV241" s="82"/>
      <c r="DW241" s="82"/>
      <c r="DX241" s="82">
        <f t="shared" si="1759"/>
        <v>0</v>
      </c>
      <c r="DY241" s="82">
        <f t="shared" si="1760"/>
        <v>0</v>
      </c>
      <c r="DZ241" s="82">
        <f t="shared" si="1761"/>
        <v>77</v>
      </c>
      <c r="EA241" s="82">
        <f t="shared" si="1762"/>
        <v>931700</v>
      </c>
      <c r="EB241" s="82"/>
      <c r="EC241" s="82"/>
      <c r="ED241" s="82">
        <f t="shared" si="1763"/>
        <v>0</v>
      </c>
      <c r="EE241" s="82">
        <f t="shared" si="1764"/>
        <v>0</v>
      </c>
      <c r="EF241" s="82"/>
      <c r="EG241" s="82"/>
      <c r="EH241" s="82"/>
      <c r="EI241" s="82"/>
      <c r="EJ241" s="82">
        <f t="shared" si="1765"/>
        <v>0</v>
      </c>
      <c r="EK241" s="82">
        <f t="shared" si="1766"/>
        <v>0</v>
      </c>
      <c r="EL241" s="82">
        <f t="shared" si="1767"/>
        <v>77</v>
      </c>
      <c r="EM241" s="82">
        <f t="shared" si="1768"/>
        <v>931700</v>
      </c>
      <c r="EN241" s="82">
        <f t="shared" si="1769"/>
        <v>0</v>
      </c>
      <c r="EO241" s="82">
        <f t="shared" si="1770"/>
        <v>0</v>
      </c>
      <c r="EP241" s="82">
        <f t="shared" si="1771"/>
        <v>77</v>
      </c>
      <c r="EQ241" s="82">
        <f t="shared" si="1772"/>
        <v>931700</v>
      </c>
      <c r="ER241" s="82"/>
      <c r="ES241" s="82"/>
      <c r="ET241" s="82">
        <f t="shared" si="1773"/>
        <v>0</v>
      </c>
      <c r="EU241" s="82">
        <f t="shared" si="1774"/>
        <v>0</v>
      </c>
      <c r="EV241" s="82"/>
      <c r="EW241" s="82"/>
      <c r="EX241" s="82"/>
      <c r="EY241" s="82"/>
      <c r="EZ241" s="82">
        <f t="shared" si="1775"/>
        <v>0</v>
      </c>
      <c r="FA241" s="82">
        <f t="shared" si="1776"/>
        <v>0</v>
      </c>
      <c r="FB241" s="82">
        <f t="shared" si="1777"/>
        <v>77</v>
      </c>
      <c r="FC241" s="82">
        <f t="shared" si="1778"/>
        <v>931700</v>
      </c>
      <c r="FD241" s="82"/>
      <c r="FE241" s="82"/>
      <c r="FF241" s="82">
        <f t="shared" si="1779"/>
        <v>0</v>
      </c>
      <c r="FG241" s="82">
        <f t="shared" si="1780"/>
        <v>0</v>
      </c>
      <c r="FH241" s="82"/>
      <c r="FI241" s="82"/>
      <c r="FJ241" s="82"/>
      <c r="FK241" s="82"/>
      <c r="FL241" s="82">
        <f t="shared" si="1781"/>
        <v>0</v>
      </c>
      <c r="FM241" s="82">
        <f t="shared" si="1782"/>
        <v>0</v>
      </c>
      <c r="FN241" s="82">
        <f t="shared" si="1783"/>
        <v>77</v>
      </c>
      <c r="FO241" s="82">
        <f t="shared" si="1784"/>
        <v>931700</v>
      </c>
      <c r="FP241" s="82"/>
      <c r="FQ241" s="82"/>
      <c r="FR241" s="82">
        <f t="shared" si="1785"/>
        <v>0</v>
      </c>
      <c r="FS241" s="82">
        <f t="shared" si="1786"/>
        <v>0</v>
      </c>
      <c r="FT241" s="82"/>
      <c r="FU241" s="82"/>
      <c r="FV241" s="82"/>
      <c r="FW241" s="82"/>
      <c r="FX241" s="82">
        <f t="shared" si="1787"/>
        <v>0</v>
      </c>
      <c r="FY241" s="82">
        <f t="shared" si="1788"/>
        <v>0</v>
      </c>
      <c r="FZ241" s="82">
        <f t="shared" si="1789"/>
        <v>77</v>
      </c>
      <c r="GA241" s="82">
        <f t="shared" si="1790"/>
        <v>931700</v>
      </c>
      <c r="GB241" s="82">
        <f t="shared" si="1791"/>
        <v>0</v>
      </c>
      <c r="GC241" s="82">
        <f t="shared" si="1792"/>
        <v>0</v>
      </c>
      <c r="GD241" s="82">
        <f t="shared" si="1793"/>
        <v>77</v>
      </c>
      <c r="GE241" s="82">
        <f t="shared" si="1794"/>
        <v>931700</v>
      </c>
      <c r="GF241" s="85"/>
    </row>
    <row r="242" ht="18.0" customHeight="1">
      <c r="A242" s="96">
        <v>11.0</v>
      </c>
      <c r="B242" s="58"/>
      <c r="C242" s="58" t="s">
        <v>273</v>
      </c>
      <c r="D242" s="92" t="s">
        <v>114</v>
      </c>
      <c r="E242" s="79">
        <v>30800.0</v>
      </c>
      <c r="F242" s="61"/>
      <c r="G242" s="81">
        <v>63.0</v>
      </c>
      <c r="H242" s="82">
        <v>1940400.0</v>
      </c>
      <c r="I242" s="82"/>
      <c r="J242" s="82"/>
      <c r="K242" s="82">
        <f t="shared" si="1709"/>
        <v>0</v>
      </c>
      <c r="L242" s="82">
        <f t="shared" si="1710"/>
        <v>0</v>
      </c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>
        <f t="shared" si="1711"/>
        <v>0</v>
      </c>
      <c r="AC242" s="82">
        <f t="shared" si="1712"/>
        <v>0</v>
      </c>
      <c r="AD242" s="82">
        <f t="shared" si="1713"/>
        <v>63</v>
      </c>
      <c r="AE242" s="82">
        <f t="shared" si="1714"/>
        <v>1940400</v>
      </c>
      <c r="AF242" s="82"/>
      <c r="AG242" s="82"/>
      <c r="AH242" s="82">
        <f t="shared" si="1715"/>
        <v>0</v>
      </c>
      <c r="AI242" s="82">
        <f t="shared" si="1716"/>
        <v>0</v>
      </c>
      <c r="AJ242" s="82"/>
      <c r="AK242" s="82"/>
      <c r="AL242" s="82"/>
      <c r="AM242" s="82"/>
      <c r="AN242" s="82">
        <f t="shared" si="1717"/>
        <v>0</v>
      </c>
      <c r="AO242" s="82">
        <f t="shared" si="1718"/>
        <v>0</v>
      </c>
      <c r="AP242" s="82">
        <f t="shared" si="1719"/>
        <v>63</v>
      </c>
      <c r="AQ242" s="82">
        <f t="shared" si="1720"/>
        <v>1940400</v>
      </c>
      <c r="AR242" s="82"/>
      <c r="AS242" s="82"/>
      <c r="AT242" s="82"/>
      <c r="AU242" s="82">
        <f t="shared" si="1721"/>
        <v>0</v>
      </c>
      <c r="AV242" s="82">
        <f t="shared" si="1722"/>
        <v>0</v>
      </c>
      <c r="AW242" s="82"/>
      <c r="AX242" s="82"/>
      <c r="AY242" s="82"/>
      <c r="AZ242" s="82"/>
      <c r="BA242" s="82">
        <f t="shared" si="1723"/>
        <v>0</v>
      </c>
      <c r="BB242" s="82">
        <f t="shared" si="1724"/>
        <v>0</v>
      </c>
      <c r="BC242" s="82">
        <f t="shared" si="1725"/>
        <v>63</v>
      </c>
      <c r="BD242" s="82">
        <f t="shared" si="1726"/>
        <v>1940400</v>
      </c>
      <c r="BE242" s="82">
        <f t="shared" si="1727"/>
        <v>0</v>
      </c>
      <c r="BF242" s="82">
        <f t="shared" si="1728"/>
        <v>0</v>
      </c>
      <c r="BG242" s="82">
        <f t="shared" si="1729"/>
        <v>63</v>
      </c>
      <c r="BH242" s="82">
        <f t="shared" si="1730"/>
        <v>1940400</v>
      </c>
      <c r="BI242" s="82"/>
      <c r="BJ242" s="83"/>
      <c r="BK242" s="82">
        <f t="shared" si="1731"/>
        <v>0</v>
      </c>
      <c r="BL242" s="82">
        <f t="shared" si="1732"/>
        <v>0</v>
      </c>
      <c r="BM242" s="82"/>
      <c r="BN242" s="82"/>
      <c r="BO242" s="82"/>
      <c r="BP242" s="82"/>
      <c r="BQ242" s="82"/>
      <c r="BR242" s="82"/>
      <c r="BS242" s="82"/>
      <c r="BT242" s="83">
        <v>5.0</v>
      </c>
      <c r="BU242" s="83"/>
      <c r="BV242" s="82"/>
      <c r="BW242" s="82">
        <f t="shared" si="1733"/>
        <v>5</v>
      </c>
      <c r="BX242" s="82">
        <f t="shared" si="1734"/>
        <v>154000</v>
      </c>
      <c r="BY242" s="82">
        <f t="shared" si="1735"/>
        <v>58</v>
      </c>
      <c r="BZ242" s="82">
        <f t="shared" si="1736"/>
        <v>1786400</v>
      </c>
      <c r="CA242" s="82"/>
      <c r="CB242" s="82"/>
      <c r="CC242" s="82">
        <f t="shared" si="1737"/>
        <v>0</v>
      </c>
      <c r="CD242" s="82">
        <f t="shared" si="1738"/>
        <v>0</v>
      </c>
      <c r="CE242" s="82"/>
      <c r="CF242" s="82"/>
      <c r="CG242" s="82"/>
      <c r="CH242" s="82"/>
      <c r="CI242" s="82">
        <f t="shared" si="1739"/>
        <v>0</v>
      </c>
      <c r="CJ242" s="82">
        <f t="shared" si="1740"/>
        <v>0</v>
      </c>
      <c r="CK242" s="82">
        <f t="shared" si="1741"/>
        <v>58</v>
      </c>
      <c r="CL242" s="82">
        <f t="shared" si="1742"/>
        <v>1786400</v>
      </c>
      <c r="CM242" s="82"/>
      <c r="CN242" s="82"/>
      <c r="CO242" s="82">
        <f t="shared" si="1743"/>
        <v>0</v>
      </c>
      <c r="CP242" s="82">
        <f t="shared" si="1744"/>
        <v>0</v>
      </c>
      <c r="CQ242" s="82"/>
      <c r="CR242" s="82"/>
      <c r="CS242" s="82"/>
      <c r="CT242" s="82"/>
      <c r="CU242" s="82">
        <f t="shared" si="1745"/>
        <v>0</v>
      </c>
      <c r="CV242" s="82">
        <f t="shared" si="1746"/>
        <v>0</v>
      </c>
      <c r="CW242" s="82">
        <f t="shared" si="1747"/>
        <v>58</v>
      </c>
      <c r="CX242" s="82">
        <f t="shared" si="1748"/>
        <v>1786400</v>
      </c>
      <c r="CY242" s="82">
        <f t="shared" si="1749"/>
        <v>0</v>
      </c>
      <c r="CZ242" s="82">
        <f t="shared" si="1750"/>
        <v>5</v>
      </c>
      <c r="DA242" s="82">
        <f t="shared" si="1751"/>
        <v>58</v>
      </c>
      <c r="DB242" s="82">
        <f t="shared" si="1752"/>
        <v>1786400</v>
      </c>
      <c r="DC242" s="91"/>
      <c r="DD242" s="82"/>
      <c r="DE242" s="82"/>
      <c r="DF242" s="82">
        <f t="shared" si="1664"/>
        <v>0</v>
      </c>
      <c r="DG242" s="82">
        <f t="shared" si="1795"/>
        <v>0</v>
      </c>
      <c r="DH242" s="82"/>
      <c r="DI242" s="82"/>
      <c r="DJ242" s="82"/>
      <c r="DK242" s="82"/>
      <c r="DL242" s="82">
        <f t="shared" si="1753"/>
        <v>0</v>
      </c>
      <c r="DM242" s="82">
        <f t="shared" si="1754"/>
        <v>0</v>
      </c>
      <c r="DN242" s="82">
        <f t="shared" si="1755"/>
        <v>58</v>
      </c>
      <c r="DO242" s="82">
        <f t="shared" si="1756"/>
        <v>1786400</v>
      </c>
      <c r="DP242" s="82"/>
      <c r="DQ242" s="82"/>
      <c r="DR242" s="82">
        <f t="shared" si="1757"/>
        <v>0</v>
      </c>
      <c r="DS242" s="82">
        <f t="shared" si="1758"/>
        <v>0</v>
      </c>
      <c r="DT242" s="82"/>
      <c r="DU242" s="82"/>
      <c r="DV242" s="82"/>
      <c r="DW242" s="82"/>
      <c r="DX242" s="82">
        <f t="shared" si="1759"/>
        <v>0</v>
      </c>
      <c r="DY242" s="82">
        <f t="shared" si="1760"/>
        <v>0</v>
      </c>
      <c r="DZ242" s="82">
        <f t="shared" si="1761"/>
        <v>58</v>
      </c>
      <c r="EA242" s="82">
        <f t="shared" si="1762"/>
        <v>1786400</v>
      </c>
      <c r="EB242" s="82"/>
      <c r="EC242" s="82"/>
      <c r="ED242" s="82">
        <f t="shared" si="1763"/>
        <v>0</v>
      </c>
      <c r="EE242" s="82">
        <f t="shared" si="1764"/>
        <v>0</v>
      </c>
      <c r="EF242" s="82"/>
      <c r="EG242" s="82"/>
      <c r="EH242" s="82"/>
      <c r="EI242" s="82"/>
      <c r="EJ242" s="82">
        <f t="shared" si="1765"/>
        <v>0</v>
      </c>
      <c r="EK242" s="82">
        <f t="shared" si="1766"/>
        <v>0</v>
      </c>
      <c r="EL242" s="82">
        <f t="shared" si="1767"/>
        <v>58</v>
      </c>
      <c r="EM242" s="82">
        <f t="shared" si="1768"/>
        <v>1786400</v>
      </c>
      <c r="EN242" s="82">
        <f t="shared" si="1769"/>
        <v>0</v>
      </c>
      <c r="EO242" s="82">
        <f t="shared" si="1770"/>
        <v>0</v>
      </c>
      <c r="EP242" s="82">
        <f t="shared" si="1771"/>
        <v>58</v>
      </c>
      <c r="EQ242" s="82">
        <f t="shared" si="1772"/>
        <v>1786400</v>
      </c>
      <c r="ER242" s="82"/>
      <c r="ES242" s="82"/>
      <c r="ET242" s="82">
        <f t="shared" si="1773"/>
        <v>0</v>
      </c>
      <c r="EU242" s="82">
        <f t="shared" si="1774"/>
        <v>0</v>
      </c>
      <c r="EV242" s="82"/>
      <c r="EW242" s="82"/>
      <c r="EX242" s="82"/>
      <c r="EY242" s="82"/>
      <c r="EZ242" s="82">
        <f t="shared" si="1775"/>
        <v>0</v>
      </c>
      <c r="FA242" s="82">
        <f t="shared" si="1776"/>
        <v>0</v>
      </c>
      <c r="FB242" s="82">
        <f t="shared" si="1777"/>
        <v>58</v>
      </c>
      <c r="FC242" s="82">
        <f t="shared" si="1778"/>
        <v>1786400</v>
      </c>
      <c r="FD242" s="82"/>
      <c r="FE242" s="82"/>
      <c r="FF242" s="82">
        <f t="shared" si="1779"/>
        <v>0</v>
      </c>
      <c r="FG242" s="82">
        <f t="shared" si="1780"/>
        <v>0</v>
      </c>
      <c r="FH242" s="82"/>
      <c r="FI242" s="82"/>
      <c r="FJ242" s="82"/>
      <c r="FK242" s="82"/>
      <c r="FL242" s="82">
        <f t="shared" si="1781"/>
        <v>0</v>
      </c>
      <c r="FM242" s="82">
        <f t="shared" si="1782"/>
        <v>0</v>
      </c>
      <c r="FN242" s="82">
        <f t="shared" si="1783"/>
        <v>58</v>
      </c>
      <c r="FO242" s="82">
        <f t="shared" si="1784"/>
        <v>1786400</v>
      </c>
      <c r="FP242" s="82"/>
      <c r="FQ242" s="82"/>
      <c r="FR242" s="82">
        <f t="shared" si="1785"/>
        <v>0</v>
      </c>
      <c r="FS242" s="82">
        <f t="shared" si="1786"/>
        <v>0</v>
      </c>
      <c r="FT242" s="82"/>
      <c r="FU242" s="82"/>
      <c r="FV242" s="82"/>
      <c r="FW242" s="82"/>
      <c r="FX242" s="82">
        <f t="shared" si="1787"/>
        <v>0</v>
      </c>
      <c r="FY242" s="82">
        <f t="shared" si="1788"/>
        <v>0</v>
      </c>
      <c r="FZ242" s="82">
        <f t="shared" si="1789"/>
        <v>58</v>
      </c>
      <c r="GA242" s="82">
        <f t="shared" si="1790"/>
        <v>1786400</v>
      </c>
      <c r="GB242" s="82">
        <f t="shared" si="1791"/>
        <v>0</v>
      </c>
      <c r="GC242" s="82">
        <f t="shared" si="1792"/>
        <v>0</v>
      </c>
      <c r="GD242" s="82">
        <f t="shared" si="1793"/>
        <v>58</v>
      </c>
      <c r="GE242" s="82">
        <f t="shared" si="1794"/>
        <v>1786400</v>
      </c>
      <c r="GF242" s="85"/>
    </row>
    <row r="243" ht="1.5" customHeight="1">
      <c r="A243" s="101"/>
      <c r="B243" s="101"/>
      <c r="C243" s="101"/>
      <c r="D243" s="101"/>
      <c r="E243" s="101"/>
      <c r="F243" s="103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82">
        <f t="shared" si="1711"/>
        <v>0</v>
      </c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82"/>
      <c r="AS243" s="82"/>
      <c r="AT243" s="82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82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/>
      <c r="CI243" s="104"/>
      <c r="CJ243" s="104"/>
      <c r="CK243" s="104"/>
      <c r="CL243" s="104"/>
      <c r="CM243" s="104"/>
      <c r="CN243" s="104"/>
      <c r="CO243" s="104"/>
      <c r="CP243" s="104"/>
      <c r="CQ243" s="104"/>
      <c r="CR243" s="104"/>
      <c r="CS243" s="104"/>
      <c r="CT243" s="104"/>
      <c r="CU243" s="104"/>
      <c r="CV243" s="104"/>
      <c r="CW243" s="104"/>
      <c r="CX243" s="104"/>
      <c r="CY243" s="104"/>
      <c r="CZ243" s="104"/>
      <c r="DA243" s="104"/>
      <c r="DB243" s="104"/>
      <c r="DC243" s="91"/>
      <c r="DD243" s="82"/>
      <c r="DE243" s="104"/>
      <c r="DF243" s="104"/>
      <c r="DG243" s="104"/>
      <c r="DH243" s="104"/>
      <c r="DI243" s="104"/>
      <c r="DJ243" s="104"/>
      <c r="DK243" s="104"/>
      <c r="DL243" s="104"/>
      <c r="DM243" s="104"/>
      <c r="DN243" s="104"/>
      <c r="DO243" s="104"/>
      <c r="DP243" s="104"/>
      <c r="DQ243" s="104"/>
      <c r="DR243" s="104"/>
      <c r="DS243" s="104"/>
      <c r="DT243" s="104"/>
      <c r="DU243" s="104"/>
      <c r="DV243" s="104"/>
      <c r="DW243" s="104"/>
      <c r="DX243" s="104"/>
      <c r="DY243" s="104"/>
      <c r="DZ243" s="104"/>
      <c r="EA243" s="104"/>
      <c r="EB243" s="104"/>
      <c r="EC243" s="104"/>
      <c r="ED243" s="104"/>
      <c r="EE243" s="104"/>
      <c r="EF243" s="104"/>
      <c r="EG243" s="104"/>
      <c r="EH243" s="104"/>
      <c r="EI243" s="104"/>
      <c r="EJ243" s="104"/>
      <c r="EK243" s="104"/>
      <c r="EL243" s="104"/>
      <c r="EM243" s="104"/>
      <c r="EN243" s="104"/>
      <c r="EO243" s="104"/>
      <c r="EP243" s="104"/>
      <c r="EQ243" s="104"/>
      <c r="ER243" s="104"/>
      <c r="ES243" s="104"/>
      <c r="ET243" s="104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4"/>
      <c r="FF243" s="104"/>
      <c r="FG243" s="104"/>
      <c r="FH243" s="104"/>
      <c r="FI243" s="104"/>
      <c r="FJ243" s="104"/>
      <c r="FK243" s="104"/>
      <c r="FL243" s="104"/>
      <c r="FM243" s="104"/>
      <c r="FN243" s="104"/>
      <c r="FO243" s="104"/>
      <c r="FP243" s="104"/>
      <c r="FQ243" s="104"/>
      <c r="FR243" s="104"/>
      <c r="FS243" s="104"/>
      <c r="FT243" s="104"/>
      <c r="FU243" s="104"/>
      <c r="FV243" s="104"/>
      <c r="FW243" s="104"/>
      <c r="FX243" s="104"/>
      <c r="FY243" s="104"/>
      <c r="FZ243" s="104"/>
      <c r="GA243" s="104"/>
      <c r="GB243" s="104"/>
      <c r="GC243" s="104"/>
      <c r="GD243" s="104"/>
      <c r="GE243" s="104"/>
      <c r="GF243" s="105"/>
    </row>
    <row r="244" ht="31.5" customHeight="1">
      <c r="A244" s="108" t="s">
        <v>274</v>
      </c>
      <c r="B244" s="10"/>
      <c r="C244" s="10"/>
      <c r="D244" s="10"/>
      <c r="E244" s="14"/>
      <c r="F244" s="109"/>
      <c r="G244" s="110">
        <f>SUM(G230:G242)</f>
        <v>2734</v>
      </c>
      <c r="H244" s="110">
        <f t="shared" ref="H244:AA244" si="1797">SUM(H230:H243)</f>
        <v>10999120</v>
      </c>
      <c r="I244" s="110">
        <f t="shared" si="1797"/>
        <v>0</v>
      </c>
      <c r="J244" s="110">
        <f t="shared" si="1797"/>
        <v>0</v>
      </c>
      <c r="K244" s="110">
        <f t="shared" si="1797"/>
        <v>0</v>
      </c>
      <c r="L244" s="110">
        <f t="shared" si="1797"/>
        <v>0</v>
      </c>
      <c r="M244" s="110">
        <f t="shared" si="1797"/>
        <v>0</v>
      </c>
      <c r="N244" s="110">
        <f t="shared" si="1797"/>
        <v>0</v>
      </c>
      <c r="O244" s="110">
        <f t="shared" si="1797"/>
        <v>0</v>
      </c>
      <c r="P244" s="110">
        <f t="shared" si="1797"/>
        <v>0</v>
      </c>
      <c r="Q244" s="110">
        <f t="shared" si="1797"/>
        <v>0</v>
      </c>
      <c r="R244" s="110">
        <f t="shared" si="1797"/>
        <v>0</v>
      </c>
      <c r="S244" s="110">
        <f t="shared" si="1797"/>
        <v>0</v>
      </c>
      <c r="T244" s="110">
        <f t="shared" si="1797"/>
        <v>0</v>
      </c>
      <c r="U244" s="110">
        <f t="shared" si="1797"/>
        <v>0</v>
      </c>
      <c r="V244" s="110">
        <f t="shared" si="1797"/>
        <v>0</v>
      </c>
      <c r="W244" s="110">
        <f t="shared" si="1797"/>
        <v>0</v>
      </c>
      <c r="X244" s="110">
        <f t="shared" si="1797"/>
        <v>0</v>
      </c>
      <c r="Y244" s="110">
        <f t="shared" si="1797"/>
        <v>0</v>
      </c>
      <c r="Z244" s="110">
        <f t="shared" si="1797"/>
        <v>0</v>
      </c>
      <c r="AA244" s="110">
        <f t="shared" si="1797"/>
        <v>0</v>
      </c>
      <c r="AB244" s="106">
        <f t="shared" si="1711"/>
        <v>0</v>
      </c>
      <c r="AC244" s="110">
        <f t="shared" ref="AC244:AQ244" si="1798">SUM(AC230:AC243)</f>
        <v>0</v>
      </c>
      <c r="AD244" s="110">
        <f t="shared" si="1798"/>
        <v>2734</v>
      </c>
      <c r="AE244" s="110">
        <f t="shared" si="1798"/>
        <v>10999120</v>
      </c>
      <c r="AF244" s="110">
        <f t="shared" si="1798"/>
        <v>0</v>
      </c>
      <c r="AG244" s="110">
        <f t="shared" si="1798"/>
        <v>0</v>
      </c>
      <c r="AH244" s="110">
        <f t="shared" si="1798"/>
        <v>0</v>
      </c>
      <c r="AI244" s="110">
        <f t="shared" si="1798"/>
        <v>0</v>
      </c>
      <c r="AJ244" s="110">
        <f t="shared" si="1798"/>
        <v>0</v>
      </c>
      <c r="AK244" s="110">
        <f t="shared" si="1798"/>
        <v>0</v>
      </c>
      <c r="AL244" s="110">
        <f t="shared" si="1798"/>
        <v>0</v>
      </c>
      <c r="AM244" s="110">
        <f t="shared" si="1798"/>
        <v>0</v>
      </c>
      <c r="AN244" s="110">
        <f t="shared" si="1798"/>
        <v>0</v>
      </c>
      <c r="AO244" s="110">
        <f t="shared" si="1798"/>
        <v>0</v>
      </c>
      <c r="AP244" s="110">
        <f t="shared" si="1798"/>
        <v>2734</v>
      </c>
      <c r="AQ244" s="110">
        <f t="shared" si="1798"/>
        <v>10999120</v>
      </c>
      <c r="AR244" s="82"/>
      <c r="AS244" s="82"/>
      <c r="AT244" s="82"/>
      <c r="AU244" s="110">
        <f t="shared" ref="AU244:BH244" si="1799">SUM(AU230:AU243)</f>
        <v>0</v>
      </c>
      <c r="AV244" s="110">
        <f t="shared" si="1799"/>
        <v>0</v>
      </c>
      <c r="AW244" s="110">
        <f t="shared" si="1799"/>
        <v>0</v>
      </c>
      <c r="AX244" s="110">
        <f t="shared" si="1799"/>
        <v>0</v>
      </c>
      <c r="AY244" s="110">
        <f t="shared" si="1799"/>
        <v>0</v>
      </c>
      <c r="AZ244" s="110">
        <f t="shared" si="1799"/>
        <v>0</v>
      </c>
      <c r="BA244" s="110">
        <f t="shared" si="1799"/>
        <v>0</v>
      </c>
      <c r="BB244" s="110">
        <f t="shared" si="1799"/>
        <v>0</v>
      </c>
      <c r="BC244" s="110">
        <f t="shared" si="1799"/>
        <v>2734</v>
      </c>
      <c r="BD244" s="110">
        <f t="shared" si="1799"/>
        <v>10999120</v>
      </c>
      <c r="BE244" s="110">
        <f t="shared" si="1799"/>
        <v>0</v>
      </c>
      <c r="BF244" s="110">
        <f t="shared" si="1799"/>
        <v>0</v>
      </c>
      <c r="BG244" s="110">
        <f t="shared" si="1799"/>
        <v>2734</v>
      </c>
      <c r="BH244" s="110">
        <f t="shared" si="1799"/>
        <v>10999120</v>
      </c>
      <c r="BI244" s="110"/>
      <c r="BJ244" s="110">
        <f t="shared" ref="BJ244:BP244" si="1800">SUM(BJ230:BJ243)</f>
        <v>0</v>
      </c>
      <c r="BK244" s="110">
        <f t="shared" si="1800"/>
        <v>0</v>
      </c>
      <c r="BL244" s="110">
        <f t="shared" si="1800"/>
        <v>0</v>
      </c>
      <c r="BM244" s="110">
        <f t="shared" si="1800"/>
        <v>0</v>
      </c>
      <c r="BN244" s="110">
        <f t="shared" si="1800"/>
        <v>4</v>
      </c>
      <c r="BO244" s="110">
        <f t="shared" si="1800"/>
        <v>0</v>
      </c>
      <c r="BP244" s="110">
        <f t="shared" si="1800"/>
        <v>0</v>
      </c>
      <c r="BQ244" s="110"/>
      <c r="BR244" s="110"/>
      <c r="BS244" s="110"/>
      <c r="BT244" s="110"/>
      <c r="BU244" s="110"/>
      <c r="BV244" s="110"/>
      <c r="BW244" s="110">
        <f t="shared" ref="BW244:DB244" si="1801">SUM(BW230:BW243)</f>
        <v>19</v>
      </c>
      <c r="BX244" s="110">
        <f t="shared" si="1801"/>
        <v>323400</v>
      </c>
      <c r="BY244" s="110">
        <f t="shared" si="1801"/>
        <v>2715</v>
      </c>
      <c r="BZ244" s="110">
        <f t="shared" si="1801"/>
        <v>10675720</v>
      </c>
      <c r="CA244" s="110">
        <f t="shared" si="1801"/>
        <v>0</v>
      </c>
      <c r="CB244" s="110">
        <f t="shared" si="1801"/>
        <v>0</v>
      </c>
      <c r="CC244" s="110">
        <f t="shared" si="1801"/>
        <v>0</v>
      </c>
      <c r="CD244" s="110">
        <f t="shared" si="1801"/>
        <v>0</v>
      </c>
      <c r="CE244" s="110">
        <f t="shared" si="1801"/>
        <v>0</v>
      </c>
      <c r="CF244" s="110">
        <f t="shared" si="1801"/>
        <v>0</v>
      </c>
      <c r="CG244" s="110">
        <f t="shared" si="1801"/>
        <v>0</v>
      </c>
      <c r="CH244" s="110">
        <f t="shared" si="1801"/>
        <v>0</v>
      </c>
      <c r="CI244" s="110">
        <f t="shared" si="1801"/>
        <v>0</v>
      </c>
      <c r="CJ244" s="110">
        <f t="shared" si="1801"/>
        <v>0</v>
      </c>
      <c r="CK244" s="110">
        <f t="shared" si="1801"/>
        <v>2715</v>
      </c>
      <c r="CL244" s="110">
        <f t="shared" si="1801"/>
        <v>10675720</v>
      </c>
      <c r="CM244" s="110">
        <f t="shared" si="1801"/>
        <v>0</v>
      </c>
      <c r="CN244" s="110">
        <f t="shared" si="1801"/>
        <v>0</v>
      </c>
      <c r="CO244" s="110">
        <f t="shared" si="1801"/>
        <v>0</v>
      </c>
      <c r="CP244" s="110">
        <f t="shared" si="1801"/>
        <v>0</v>
      </c>
      <c r="CQ244" s="110">
        <f t="shared" si="1801"/>
        <v>100</v>
      </c>
      <c r="CR244" s="110">
        <f t="shared" si="1801"/>
        <v>0</v>
      </c>
      <c r="CS244" s="110">
        <f t="shared" si="1801"/>
        <v>0</v>
      </c>
      <c r="CT244" s="110">
        <f t="shared" si="1801"/>
        <v>0</v>
      </c>
      <c r="CU244" s="110">
        <f t="shared" si="1801"/>
        <v>100</v>
      </c>
      <c r="CV244" s="110">
        <f t="shared" si="1801"/>
        <v>321900</v>
      </c>
      <c r="CW244" s="110">
        <f t="shared" si="1801"/>
        <v>2615</v>
      </c>
      <c r="CX244" s="110">
        <f t="shared" si="1801"/>
        <v>10353820</v>
      </c>
      <c r="CY244" s="110">
        <f t="shared" si="1801"/>
        <v>0</v>
      </c>
      <c r="CZ244" s="110">
        <f t="shared" si="1801"/>
        <v>119</v>
      </c>
      <c r="DA244" s="110">
        <f t="shared" si="1801"/>
        <v>2615</v>
      </c>
      <c r="DB244" s="110">
        <f t="shared" si="1801"/>
        <v>10353820</v>
      </c>
      <c r="DC244" s="91"/>
      <c r="DD244" s="82"/>
      <c r="DE244" s="110">
        <f t="shared" ref="DE244:GE244" si="1802">SUM(DE230:DE243)</f>
        <v>0</v>
      </c>
      <c r="DF244" s="110">
        <f t="shared" si="1802"/>
        <v>2560</v>
      </c>
      <c r="DG244" s="110">
        <f t="shared" si="1802"/>
        <v>33522000</v>
      </c>
      <c r="DH244" s="110">
        <f t="shared" si="1802"/>
        <v>30</v>
      </c>
      <c r="DI244" s="110">
        <f t="shared" si="1802"/>
        <v>0</v>
      </c>
      <c r="DJ244" s="110">
        <f t="shared" si="1802"/>
        <v>0</v>
      </c>
      <c r="DK244" s="110">
        <f t="shared" si="1802"/>
        <v>0</v>
      </c>
      <c r="DL244" s="110">
        <f t="shared" si="1802"/>
        <v>30</v>
      </c>
      <c r="DM244" s="110">
        <f t="shared" si="1802"/>
        <v>96570</v>
      </c>
      <c r="DN244" s="110">
        <f t="shared" si="1802"/>
        <v>3145</v>
      </c>
      <c r="DO244" s="110">
        <f t="shared" si="1802"/>
        <v>36009250</v>
      </c>
      <c r="DP244" s="110">
        <f t="shared" si="1802"/>
        <v>0</v>
      </c>
      <c r="DQ244" s="110">
        <f t="shared" si="1802"/>
        <v>0</v>
      </c>
      <c r="DR244" s="110">
        <f t="shared" si="1802"/>
        <v>0</v>
      </c>
      <c r="DS244" s="110">
        <f t="shared" si="1802"/>
        <v>0</v>
      </c>
      <c r="DT244" s="110">
        <f t="shared" si="1802"/>
        <v>0</v>
      </c>
      <c r="DU244" s="110">
        <f t="shared" si="1802"/>
        <v>0</v>
      </c>
      <c r="DV244" s="110">
        <f t="shared" si="1802"/>
        <v>0</v>
      </c>
      <c r="DW244" s="110">
        <f t="shared" si="1802"/>
        <v>0</v>
      </c>
      <c r="DX244" s="110">
        <f t="shared" si="1802"/>
        <v>0</v>
      </c>
      <c r="DY244" s="110">
        <f t="shared" si="1802"/>
        <v>0</v>
      </c>
      <c r="DZ244" s="110">
        <f t="shared" si="1802"/>
        <v>3145</v>
      </c>
      <c r="EA244" s="110">
        <f t="shared" si="1802"/>
        <v>36009250</v>
      </c>
      <c r="EB244" s="110">
        <f t="shared" si="1802"/>
        <v>0</v>
      </c>
      <c r="EC244" s="110">
        <f t="shared" si="1802"/>
        <v>0</v>
      </c>
      <c r="ED244" s="110">
        <f t="shared" si="1802"/>
        <v>0</v>
      </c>
      <c r="EE244" s="110">
        <f t="shared" si="1802"/>
        <v>0</v>
      </c>
      <c r="EF244" s="110">
        <f t="shared" si="1802"/>
        <v>0</v>
      </c>
      <c r="EG244" s="110">
        <f t="shared" si="1802"/>
        <v>0</v>
      </c>
      <c r="EH244" s="110">
        <f t="shared" si="1802"/>
        <v>0</v>
      </c>
      <c r="EI244" s="110">
        <f t="shared" si="1802"/>
        <v>0</v>
      </c>
      <c r="EJ244" s="110">
        <f t="shared" si="1802"/>
        <v>0</v>
      </c>
      <c r="EK244" s="110">
        <f t="shared" si="1802"/>
        <v>0</v>
      </c>
      <c r="EL244" s="110">
        <f t="shared" si="1802"/>
        <v>3145</v>
      </c>
      <c r="EM244" s="110">
        <f t="shared" si="1802"/>
        <v>36009250</v>
      </c>
      <c r="EN244" s="110">
        <f t="shared" si="1802"/>
        <v>560</v>
      </c>
      <c r="EO244" s="110">
        <f t="shared" si="1802"/>
        <v>30</v>
      </c>
      <c r="EP244" s="110">
        <f t="shared" si="1802"/>
        <v>3145</v>
      </c>
      <c r="EQ244" s="110">
        <f t="shared" si="1802"/>
        <v>36009250</v>
      </c>
      <c r="ER244" s="110">
        <f t="shared" si="1802"/>
        <v>0</v>
      </c>
      <c r="ES244" s="110">
        <f t="shared" si="1802"/>
        <v>0</v>
      </c>
      <c r="ET244" s="110">
        <f t="shared" si="1802"/>
        <v>0</v>
      </c>
      <c r="EU244" s="110">
        <f t="shared" si="1802"/>
        <v>0</v>
      </c>
      <c r="EV244" s="110">
        <f t="shared" si="1802"/>
        <v>0</v>
      </c>
      <c r="EW244" s="110">
        <f t="shared" si="1802"/>
        <v>0</v>
      </c>
      <c r="EX244" s="110">
        <f t="shared" si="1802"/>
        <v>0</v>
      </c>
      <c r="EY244" s="110">
        <f t="shared" si="1802"/>
        <v>0</v>
      </c>
      <c r="EZ244" s="110">
        <f t="shared" si="1802"/>
        <v>0</v>
      </c>
      <c r="FA244" s="110">
        <f t="shared" si="1802"/>
        <v>0</v>
      </c>
      <c r="FB244" s="110">
        <f t="shared" si="1802"/>
        <v>3145</v>
      </c>
      <c r="FC244" s="110">
        <f t="shared" si="1802"/>
        <v>36009250</v>
      </c>
      <c r="FD244" s="110">
        <f t="shared" si="1802"/>
        <v>0</v>
      </c>
      <c r="FE244" s="110">
        <f t="shared" si="1802"/>
        <v>0</v>
      </c>
      <c r="FF244" s="110">
        <f t="shared" si="1802"/>
        <v>0</v>
      </c>
      <c r="FG244" s="110">
        <f t="shared" si="1802"/>
        <v>0</v>
      </c>
      <c r="FH244" s="110">
        <f t="shared" si="1802"/>
        <v>0</v>
      </c>
      <c r="FI244" s="110">
        <f t="shared" si="1802"/>
        <v>0</v>
      </c>
      <c r="FJ244" s="110">
        <f t="shared" si="1802"/>
        <v>0</v>
      </c>
      <c r="FK244" s="110">
        <f t="shared" si="1802"/>
        <v>0</v>
      </c>
      <c r="FL244" s="110">
        <f t="shared" si="1802"/>
        <v>0</v>
      </c>
      <c r="FM244" s="110">
        <f t="shared" si="1802"/>
        <v>0</v>
      </c>
      <c r="FN244" s="110">
        <f t="shared" si="1802"/>
        <v>3145</v>
      </c>
      <c r="FO244" s="110">
        <f t="shared" si="1802"/>
        <v>36009250</v>
      </c>
      <c r="FP244" s="110">
        <f t="shared" si="1802"/>
        <v>0</v>
      </c>
      <c r="FQ244" s="110">
        <f t="shared" si="1802"/>
        <v>0</v>
      </c>
      <c r="FR244" s="110">
        <f t="shared" si="1802"/>
        <v>0</v>
      </c>
      <c r="FS244" s="110">
        <f t="shared" si="1802"/>
        <v>0</v>
      </c>
      <c r="FT244" s="110">
        <f t="shared" si="1802"/>
        <v>0</v>
      </c>
      <c r="FU244" s="110">
        <f t="shared" si="1802"/>
        <v>0</v>
      </c>
      <c r="FV244" s="110">
        <f t="shared" si="1802"/>
        <v>0</v>
      </c>
      <c r="FW244" s="110">
        <f t="shared" si="1802"/>
        <v>0</v>
      </c>
      <c r="FX244" s="110">
        <f t="shared" si="1802"/>
        <v>0</v>
      </c>
      <c r="FY244" s="110">
        <f t="shared" si="1802"/>
        <v>0</v>
      </c>
      <c r="FZ244" s="110">
        <f t="shared" si="1802"/>
        <v>3145</v>
      </c>
      <c r="GA244" s="110">
        <f t="shared" si="1802"/>
        <v>36009250</v>
      </c>
      <c r="GB244" s="110">
        <f t="shared" si="1802"/>
        <v>0</v>
      </c>
      <c r="GC244" s="110">
        <f t="shared" si="1802"/>
        <v>0</v>
      </c>
      <c r="GD244" s="110">
        <f t="shared" si="1802"/>
        <v>3145</v>
      </c>
      <c r="GE244" s="110">
        <f t="shared" si="1802"/>
        <v>36009250</v>
      </c>
      <c r="GF244" s="105"/>
    </row>
    <row r="245" ht="5.25" customHeight="1">
      <c r="A245" s="111"/>
      <c r="B245" s="111"/>
      <c r="C245" s="111"/>
      <c r="D245" s="111"/>
      <c r="E245" s="111"/>
      <c r="F245" s="112"/>
      <c r="G245" s="111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82"/>
      <c r="AS245" s="82"/>
      <c r="AT245" s="82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82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3"/>
      <c r="BX245" s="113"/>
      <c r="BY245" s="113"/>
      <c r="BZ245" s="113"/>
      <c r="CA245" s="113"/>
      <c r="CB245" s="113"/>
      <c r="CC245" s="113"/>
      <c r="CD245" s="113"/>
      <c r="CE245" s="113"/>
      <c r="CF245" s="113"/>
      <c r="CG245" s="113"/>
      <c r="CH245" s="113"/>
      <c r="CI245" s="113"/>
      <c r="CJ245" s="113"/>
      <c r="CK245" s="113"/>
      <c r="CL245" s="113"/>
      <c r="CM245" s="113"/>
      <c r="CN245" s="113"/>
      <c r="CO245" s="113"/>
      <c r="CP245" s="113"/>
      <c r="CQ245" s="113"/>
      <c r="CR245" s="113"/>
      <c r="CS245" s="113"/>
      <c r="CT245" s="113"/>
      <c r="CU245" s="113"/>
      <c r="CV245" s="113"/>
      <c r="CW245" s="113"/>
      <c r="CX245" s="113"/>
      <c r="CY245" s="113"/>
      <c r="CZ245" s="113"/>
      <c r="DA245" s="113"/>
      <c r="DB245" s="113"/>
      <c r="DC245" s="114"/>
      <c r="DD245" s="82"/>
      <c r="DE245" s="113"/>
      <c r="DF245" s="113"/>
      <c r="DG245" s="113"/>
      <c r="DH245" s="113"/>
      <c r="DI245" s="113"/>
      <c r="DJ245" s="113"/>
      <c r="DK245" s="113"/>
      <c r="DL245" s="113"/>
      <c r="DM245" s="113"/>
      <c r="DN245" s="113"/>
      <c r="DO245" s="113"/>
      <c r="DP245" s="113"/>
      <c r="DQ245" s="113"/>
      <c r="DR245" s="113"/>
      <c r="DS245" s="113"/>
      <c r="DT245" s="113"/>
      <c r="DU245" s="113"/>
      <c r="DV245" s="113"/>
      <c r="DW245" s="113"/>
      <c r="DX245" s="113"/>
      <c r="DY245" s="113"/>
      <c r="DZ245" s="113"/>
      <c r="EA245" s="113"/>
      <c r="EB245" s="113"/>
      <c r="EC245" s="113"/>
      <c r="ED245" s="113"/>
      <c r="EE245" s="113"/>
      <c r="EF245" s="113"/>
      <c r="EG245" s="113"/>
      <c r="EH245" s="113"/>
      <c r="EI245" s="113"/>
      <c r="EJ245" s="113"/>
      <c r="EK245" s="113"/>
      <c r="EL245" s="113"/>
      <c r="EM245" s="113"/>
      <c r="EN245" s="113"/>
      <c r="EO245" s="113"/>
      <c r="EP245" s="113"/>
      <c r="EQ245" s="113"/>
      <c r="ER245" s="113"/>
      <c r="ES245" s="113"/>
      <c r="ET245" s="113"/>
      <c r="EU245" s="113"/>
      <c r="EV245" s="113"/>
      <c r="EW245" s="113"/>
      <c r="EX245" s="113"/>
      <c r="EY245" s="113"/>
      <c r="EZ245" s="113"/>
      <c r="FA245" s="113"/>
      <c r="FB245" s="113"/>
      <c r="FC245" s="113"/>
      <c r="FD245" s="113"/>
      <c r="FE245" s="113"/>
      <c r="FF245" s="113"/>
      <c r="FG245" s="113"/>
      <c r="FH245" s="113"/>
      <c r="FI245" s="113"/>
      <c r="FJ245" s="113"/>
      <c r="FK245" s="113"/>
      <c r="FL245" s="113"/>
      <c r="FM245" s="113"/>
      <c r="FN245" s="113"/>
      <c r="FO245" s="113"/>
      <c r="FP245" s="113"/>
      <c r="FQ245" s="113"/>
      <c r="FR245" s="113"/>
      <c r="FS245" s="113"/>
      <c r="FT245" s="113"/>
      <c r="FU245" s="113"/>
      <c r="FV245" s="113"/>
      <c r="FW245" s="113"/>
      <c r="FX245" s="113"/>
      <c r="FY245" s="113"/>
      <c r="FZ245" s="113"/>
      <c r="GA245" s="113"/>
      <c r="GB245" s="113"/>
      <c r="GC245" s="113"/>
      <c r="GD245" s="113"/>
      <c r="GE245" s="113"/>
      <c r="GF245" s="64"/>
    </row>
    <row r="246">
      <c r="A246" s="115"/>
      <c r="B246" s="115"/>
      <c r="C246" s="115"/>
      <c r="D246" s="115"/>
      <c r="E246" s="115"/>
      <c r="F246" s="116"/>
      <c r="G246" s="11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82"/>
      <c r="AS246" s="82"/>
      <c r="AT246" s="82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82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114"/>
      <c r="DD246" s="82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</row>
    <row r="247" ht="3.75" customHeight="1">
      <c r="A247" s="58"/>
      <c r="B247" s="58"/>
      <c r="C247" s="58"/>
      <c r="D247" s="59"/>
      <c r="E247" s="60"/>
      <c r="F247" s="61"/>
      <c r="G247" s="62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82"/>
      <c r="AS247" s="82"/>
      <c r="AT247" s="82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82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91"/>
      <c r="DD247" s="82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3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63"/>
      <c r="EV247" s="63"/>
      <c r="EW247" s="63"/>
      <c r="EX247" s="63"/>
      <c r="EY247" s="63"/>
      <c r="EZ247" s="63"/>
      <c r="FA247" s="63"/>
      <c r="FB247" s="63"/>
      <c r="FC247" s="63"/>
      <c r="FD247" s="63"/>
      <c r="FE247" s="63"/>
      <c r="FF247" s="63"/>
      <c r="FG247" s="63"/>
      <c r="FH247" s="63"/>
      <c r="FI247" s="63"/>
      <c r="FJ247" s="63"/>
      <c r="FK247" s="63"/>
      <c r="FL247" s="63"/>
      <c r="FM247" s="63"/>
      <c r="FN247" s="63"/>
      <c r="FO247" s="63"/>
      <c r="FP247" s="63"/>
      <c r="FQ247" s="63"/>
      <c r="FR247" s="63"/>
      <c r="FS247" s="63"/>
      <c r="FT247" s="63"/>
      <c r="FU247" s="63"/>
      <c r="FV247" s="63"/>
      <c r="FW247" s="63"/>
      <c r="FX247" s="63"/>
      <c r="FY247" s="63"/>
      <c r="FZ247" s="63"/>
      <c r="GA247" s="63"/>
      <c r="GB247" s="63"/>
      <c r="GC247" s="63"/>
      <c r="GD247" s="63"/>
      <c r="GE247" s="63"/>
      <c r="GF247" s="64"/>
    </row>
    <row r="248" ht="38.25" customHeight="1">
      <c r="A248" s="67" t="s">
        <v>275</v>
      </c>
      <c r="B248" s="68"/>
      <c r="C248" s="69" t="s">
        <v>276</v>
      </c>
      <c r="D248" s="70"/>
      <c r="E248" s="71"/>
      <c r="F248" s="72"/>
      <c r="G248" s="73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82"/>
      <c r="AS248" s="82"/>
      <c r="AT248" s="82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82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74"/>
      <c r="CR248" s="74"/>
      <c r="CS248" s="74"/>
      <c r="CT248" s="74"/>
      <c r="CU248" s="74"/>
      <c r="CV248" s="74"/>
      <c r="CW248" s="74"/>
      <c r="CX248" s="74"/>
      <c r="CY248" s="74"/>
      <c r="CZ248" s="74"/>
      <c r="DA248" s="74"/>
      <c r="DB248" s="74"/>
      <c r="DC248" s="91"/>
      <c r="DD248" s="82"/>
      <c r="DE248" s="74"/>
      <c r="DF248" s="74"/>
      <c r="DG248" s="74"/>
      <c r="DH248" s="74"/>
      <c r="DI248" s="74"/>
      <c r="DJ248" s="74"/>
      <c r="DK248" s="74"/>
      <c r="DL248" s="74"/>
      <c r="DM248" s="74"/>
      <c r="DN248" s="74"/>
      <c r="DO248" s="74"/>
      <c r="DP248" s="74"/>
      <c r="DQ248" s="74"/>
      <c r="DR248" s="74"/>
      <c r="DS248" s="74"/>
      <c r="DT248" s="74"/>
      <c r="DU248" s="74"/>
      <c r="DV248" s="74"/>
      <c r="DW248" s="74"/>
      <c r="DX248" s="74"/>
      <c r="DY248" s="74"/>
      <c r="DZ248" s="74"/>
      <c r="EA248" s="74"/>
      <c r="EB248" s="74"/>
      <c r="EC248" s="74"/>
      <c r="ED248" s="74"/>
      <c r="EE248" s="74"/>
      <c r="EF248" s="74"/>
      <c r="EG248" s="74"/>
      <c r="EH248" s="74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  <c r="FC248" s="74"/>
      <c r="FD248" s="74"/>
      <c r="FE248" s="74"/>
      <c r="FF248" s="74"/>
      <c r="FG248" s="74"/>
      <c r="FH248" s="74"/>
      <c r="FI248" s="74"/>
      <c r="FJ248" s="74"/>
      <c r="FK248" s="74"/>
      <c r="FL248" s="74"/>
      <c r="FM248" s="74"/>
      <c r="FN248" s="74"/>
      <c r="FO248" s="74"/>
      <c r="FP248" s="74"/>
      <c r="FQ248" s="74"/>
      <c r="FR248" s="74"/>
      <c r="FS248" s="74"/>
      <c r="FT248" s="74"/>
      <c r="FU248" s="74"/>
      <c r="FV248" s="74"/>
      <c r="FW248" s="74"/>
      <c r="FX248" s="74"/>
      <c r="FY248" s="74"/>
      <c r="FZ248" s="74"/>
      <c r="GA248" s="74"/>
      <c r="GB248" s="74"/>
      <c r="GC248" s="74"/>
      <c r="GD248" s="74"/>
      <c r="GE248" s="74"/>
      <c r="GF248" s="64"/>
    </row>
    <row r="249" ht="30.0" customHeight="1">
      <c r="A249" s="96">
        <v>1.0</v>
      </c>
      <c r="B249" s="100"/>
      <c r="C249" s="100" t="s">
        <v>277</v>
      </c>
      <c r="D249" s="78" t="s">
        <v>126</v>
      </c>
      <c r="E249" s="79"/>
      <c r="F249" s="61"/>
      <c r="G249" s="81">
        <v>0.0</v>
      </c>
      <c r="H249" s="83" t="s">
        <v>278</v>
      </c>
      <c r="I249" s="82"/>
      <c r="J249" s="82"/>
      <c r="K249" s="82">
        <f t="shared" ref="K249:K250" si="1803">SUM(I249:J249)</f>
        <v>0</v>
      </c>
      <c r="L249" s="82">
        <f t="shared" ref="L249:L250" si="1804">K249*E249</f>
        <v>0</v>
      </c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>
        <f t="shared" ref="AB249:AB250" si="1805">SUM(M249:AA249)</f>
        <v>0</v>
      </c>
      <c r="AC249" s="82">
        <f t="shared" ref="AC249:AC250" si="1806">AB249*E249</f>
        <v>0</v>
      </c>
      <c r="AD249" s="82">
        <f t="shared" ref="AD249:AD301" si="1807">G249+K249-AB249</f>
        <v>0</v>
      </c>
      <c r="AE249" s="82">
        <f t="shared" ref="AE249:AE250" si="1808">AD249*E249</f>
        <v>0</v>
      </c>
      <c r="AF249" s="82"/>
      <c r="AG249" s="82"/>
      <c r="AH249" s="82">
        <f t="shared" ref="AH249:AH250" si="1809">SUM(AF249:AG249)</f>
        <v>0</v>
      </c>
      <c r="AI249" s="82">
        <f t="shared" ref="AI249:AI250" si="1810">AH249*E249</f>
        <v>0</v>
      </c>
      <c r="AJ249" s="82"/>
      <c r="AK249" s="82"/>
      <c r="AL249" s="82"/>
      <c r="AM249" s="82"/>
      <c r="AN249" s="82">
        <f t="shared" ref="AN249:AN250" si="1811">SUM(AJ249:AM249)</f>
        <v>0</v>
      </c>
      <c r="AO249" s="82">
        <f t="shared" ref="AO249:AO250" si="1812">AN249*E249</f>
        <v>0</v>
      </c>
      <c r="AP249" s="82">
        <f t="shared" ref="AP249:AP301" si="1813">AD249+AH249-AN249</f>
        <v>0</v>
      </c>
      <c r="AQ249" s="82">
        <f t="shared" ref="AQ249:AQ250" si="1814">AP249*E249</f>
        <v>0</v>
      </c>
      <c r="AR249" s="82"/>
      <c r="AS249" s="82"/>
      <c r="AT249" s="82"/>
      <c r="AU249" s="82">
        <f t="shared" ref="AU249:AU250" si="1815">SUM(AS249:AT249)</f>
        <v>0</v>
      </c>
      <c r="AV249" s="82">
        <f t="shared" ref="AV249:AV250" si="1816">AU249*AB249</f>
        <v>0</v>
      </c>
      <c r="AW249" s="82"/>
      <c r="AX249" s="82"/>
      <c r="AY249" s="82"/>
      <c r="AZ249" s="82"/>
      <c r="BA249" s="82">
        <f t="shared" ref="BA249:BA250" si="1817">SUM(AW249:AZ249)</f>
        <v>0</v>
      </c>
      <c r="BB249" s="82">
        <f t="shared" ref="BB249:BB250" si="1818">BA249*AB249</f>
        <v>0</v>
      </c>
      <c r="BC249" s="82">
        <f t="shared" ref="BC249:BC301" si="1819">AP249+AU249-BA249</f>
        <v>0</v>
      </c>
      <c r="BD249" s="82">
        <f t="shared" ref="BD249:BD250" si="1820">BC249*E249</f>
        <v>0</v>
      </c>
      <c r="BE249" s="82">
        <f t="shared" ref="BE249:BE250" si="1821">K249+AH249+AU249</f>
        <v>0</v>
      </c>
      <c r="BF249" s="82">
        <f t="shared" ref="BF249:BF250" si="1822">AB249+AN249+BA249</f>
        <v>0</v>
      </c>
      <c r="BG249" s="82">
        <f t="shared" ref="BG249:BG301" si="1823">G249+BE249-BF249</f>
        <v>0</v>
      </c>
      <c r="BH249" s="82">
        <f t="shared" ref="BH249:BH250" si="1824">BG249*E249</f>
        <v>0</v>
      </c>
      <c r="BI249" s="82"/>
      <c r="BJ249" s="83"/>
      <c r="BK249" s="82">
        <f t="shared" ref="BK249:BK250" si="1825">SUM(BI249:BJ249)</f>
        <v>0</v>
      </c>
      <c r="BL249" s="82">
        <f t="shared" ref="BL249:BL250" si="1826">BK249*E249</f>
        <v>0</v>
      </c>
      <c r="BM249" s="82"/>
      <c r="BN249" s="82"/>
      <c r="BO249" s="82"/>
      <c r="BP249" s="82"/>
      <c r="BQ249" s="82"/>
      <c r="BR249" s="82"/>
      <c r="BS249" s="82"/>
      <c r="BT249" s="82"/>
      <c r="BU249" s="82"/>
      <c r="BV249" s="82"/>
      <c r="BW249" s="82">
        <f t="shared" ref="BW249:BW250" si="1827">SUM(BM249:BV249)</f>
        <v>0</v>
      </c>
      <c r="BX249" s="82">
        <f t="shared" ref="BX249:BX250" si="1828">BW249*E249</f>
        <v>0</v>
      </c>
      <c r="BY249" s="82">
        <f t="shared" ref="BY249:BY301" si="1829">BG249+BK249-BW249</f>
        <v>0</v>
      </c>
      <c r="BZ249" s="82">
        <f t="shared" ref="BZ249:BZ250" si="1830">BY249*E249</f>
        <v>0</v>
      </c>
      <c r="CA249" s="82"/>
      <c r="CB249" s="82"/>
      <c r="CC249" s="82">
        <f t="shared" ref="CC249:CC250" si="1831">sum(CA249:CB249)</f>
        <v>0</v>
      </c>
      <c r="CD249" s="82">
        <f t="shared" ref="CD249:CD250" si="1832">CC249*E249</f>
        <v>0</v>
      </c>
      <c r="CE249" s="82"/>
      <c r="CF249" s="82"/>
      <c r="CG249" s="82"/>
      <c r="CH249" s="82"/>
      <c r="CI249" s="82">
        <f t="shared" ref="CI249:CI250" si="1833">sum(CE249:CH249)</f>
        <v>0</v>
      </c>
      <c r="CJ249" s="82">
        <f t="shared" ref="CJ249:CJ250" si="1834">CI249*E249</f>
        <v>0</v>
      </c>
      <c r="CK249" s="82">
        <f t="shared" ref="CK249:CK301" si="1835">BY249+CC249-CI249</f>
        <v>0</v>
      </c>
      <c r="CL249" s="82">
        <f t="shared" ref="CL249:CL250" si="1836">CK249*E249</f>
        <v>0</v>
      </c>
      <c r="CM249" s="82"/>
      <c r="CN249" s="82"/>
      <c r="CO249" s="82">
        <f t="shared" ref="CO249:CO301" si="1837">SUM(CM249:CN249)</f>
        <v>0</v>
      </c>
      <c r="CP249" s="82">
        <f t="shared" ref="CP249:CP301" si="1838">CO249*E249</f>
        <v>0</v>
      </c>
      <c r="CQ249" s="82"/>
      <c r="CR249" s="82"/>
      <c r="CS249" s="82"/>
      <c r="CT249" s="82"/>
      <c r="CU249" s="82">
        <f t="shared" ref="CU249:CU250" si="1839">sum(CQ249:CT249)</f>
        <v>0</v>
      </c>
      <c r="CV249" s="82">
        <f t="shared" ref="CV249:CV250" si="1840">CU249*E249</f>
        <v>0</v>
      </c>
      <c r="CW249" s="82">
        <f t="shared" ref="CW249:CW301" si="1841">CK249+CO249-CU249</f>
        <v>0</v>
      </c>
      <c r="CX249" s="82">
        <f t="shared" ref="CX249:CX250" si="1842">CW249*E249</f>
        <v>0</v>
      </c>
      <c r="CY249" s="82">
        <f t="shared" ref="CY249:CY301" si="1843">BK249+CC249+CO249</f>
        <v>0</v>
      </c>
      <c r="CZ249" s="82">
        <f t="shared" ref="CZ249:CZ301" si="1844">BW249+CI249+CU249</f>
        <v>0</v>
      </c>
      <c r="DA249" s="82">
        <f t="shared" ref="DA249:DA301" si="1845">BG249+CY249-CZ249</f>
        <v>0</v>
      </c>
      <c r="DB249" s="82">
        <f t="shared" ref="DB249:DB301" si="1846">DA249*E249</f>
        <v>0</v>
      </c>
      <c r="DC249" s="91"/>
      <c r="DD249" s="82"/>
      <c r="DE249" s="82"/>
      <c r="DF249" s="82">
        <f t="shared" ref="DF249:DF250" si="1847">sum(DD249:DE249)</f>
        <v>0</v>
      </c>
      <c r="DG249" s="82">
        <f t="shared" ref="DG249:DG250" si="1848">DF249*E249</f>
        <v>0</v>
      </c>
      <c r="DH249" s="82"/>
      <c r="DI249" s="82"/>
      <c r="DJ249" s="82"/>
      <c r="DK249" s="82"/>
      <c r="DL249" s="82">
        <f t="shared" ref="DL249:DL250" si="1849">sum(DH249:DK249)</f>
        <v>0</v>
      </c>
      <c r="DM249" s="82">
        <f t="shared" ref="DM249:DM250" si="1850">DL249*E249</f>
        <v>0</v>
      </c>
      <c r="DN249" s="82">
        <f t="shared" ref="DN249:DN250" si="1851">DA249+DF249-DL249</f>
        <v>0</v>
      </c>
      <c r="DO249" s="82">
        <f t="shared" ref="DO249:DO250" si="1852">DN249*E249</f>
        <v>0</v>
      </c>
      <c r="DP249" s="82"/>
      <c r="DQ249" s="82"/>
      <c r="DR249" s="82">
        <f t="shared" ref="DR249:DR250" si="1853">sum(DP249:DQ249)</f>
        <v>0</v>
      </c>
      <c r="DS249" s="82">
        <f t="shared" ref="DS249:DS250" si="1854">DR249*AB249</f>
        <v>0</v>
      </c>
      <c r="DT249" s="82"/>
      <c r="DU249" s="82"/>
      <c r="DV249" s="82"/>
      <c r="DW249" s="82"/>
      <c r="DX249" s="82">
        <f t="shared" ref="DX249:DX250" si="1855">sum(DT249:DW249)</f>
        <v>0</v>
      </c>
      <c r="DY249" s="82">
        <f t="shared" ref="DY249:DY250" si="1856">DX249*AB249</f>
        <v>0</v>
      </c>
      <c r="DZ249" s="82">
        <f t="shared" ref="DZ249:DZ250" si="1857">DN249+DR249-DX249</f>
        <v>0</v>
      </c>
      <c r="EA249" s="82">
        <f t="shared" ref="EA249:EA250" si="1858">DZ249*E249</f>
        <v>0</v>
      </c>
      <c r="EB249" s="82"/>
      <c r="EC249" s="82"/>
      <c r="ED249" s="82">
        <f t="shared" ref="ED249:ED250" si="1859">sum(EB249:EC249)</f>
        <v>0</v>
      </c>
      <c r="EE249" s="82">
        <f t="shared" ref="EE249:EE250" si="1860">ED249*AN249</f>
        <v>0</v>
      </c>
      <c r="EF249" s="82"/>
      <c r="EG249" s="82"/>
      <c r="EH249" s="82"/>
      <c r="EI249" s="82"/>
      <c r="EJ249" s="82">
        <f t="shared" ref="EJ249:EJ250" si="1861">sum(EF249:EI249)</f>
        <v>0</v>
      </c>
      <c r="EK249" s="82">
        <f t="shared" ref="EK249:EK250" si="1862">EJ249*AN249</f>
        <v>0</v>
      </c>
      <c r="EL249" s="82">
        <f t="shared" ref="EL249:EL250" si="1863">DZ249+ED249-EJ249</f>
        <v>0</v>
      </c>
      <c r="EM249" s="82">
        <f t="shared" ref="EM249:EM250" si="1864">EL249*E249</f>
        <v>0</v>
      </c>
      <c r="EN249" s="82">
        <f t="shared" ref="EN249:EN250" si="1865">DF249+DR249+ED249</f>
        <v>0</v>
      </c>
      <c r="EO249" s="82">
        <f t="shared" ref="EO249:EO250" si="1866">DL249+DX249+EJ249</f>
        <v>0</v>
      </c>
      <c r="EP249" s="82">
        <f t="shared" ref="EP249:EP250" si="1867">DA249+EN249-EO249</f>
        <v>0</v>
      </c>
      <c r="EQ249" s="82">
        <f t="shared" ref="EQ249:EQ250" si="1868">EP249*E249</f>
        <v>0</v>
      </c>
      <c r="ER249" s="82"/>
      <c r="ES249" s="82"/>
      <c r="ET249" s="82">
        <f t="shared" ref="ET249:ET250" si="1869">sum(ER249:ES249)</f>
        <v>0</v>
      </c>
      <c r="EU249" s="82">
        <f t="shared" ref="EU249:EU250" si="1870">ET249*BE249</f>
        <v>0</v>
      </c>
      <c r="EV249" s="82"/>
      <c r="EW249" s="82"/>
      <c r="EX249" s="82"/>
      <c r="EY249" s="82"/>
      <c r="EZ249" s="82">
        <f t="shared" ref="EZ249:EZ250" si="1871">sum(EV249:EY249)</f>
        <v>0</v>
      </c>
      <c r="FA249" s="82">
        <f t="shared" ref="FA249:FA250" si="1872">EZ249*BE249</f>
        <v>0</v>
      </c>
      <c r="FB249" s="82">
        <f t="shared" ref="FB249:FB250" si="1873">EP249+ET249-EZ249</f>
        <v>0</v>
      </c>
      <c r="FC249" s="82">
        <f t="shared" ref="FC249:FC250" si="1874">FB249*E249</f>
        <v>0</v>
      </c>
      <c r="FD249" s="82"/>
      <c r="FE249" s="82"/>
      <c r="FF249" s="82">
        <f t="shared" ref="FF249:FF250" si="1875">sum(FD249:FE249)</f>
        <v>0</v>
      </c>
      <c r="FG249" s="82">
        <f t="shared" ref="FG249:FG250" si="1876">FF249*BW249</f>
        <v>0</v>
      </c>
      <c r="FH249" s="82"/>
      <c r="FI249" s="82"/>
      <c r="FJ249" s="82"/>
      <c r="FK249" s="82"/>
      <c r="FL249" s="82">
        <f t="shared" ref="FL249:FL250" si="1877">sum(FH249:FK249)</f>
        <v>0</v>
      </c>
      <c r="FM249" s="82">
        <f t="shared" ref="FM249:FM250" si="1878">FL249*BW249</f>
        <v>0</v>
      </c>
      <c r="FN249" s="82">
        <f t="shared" ref="FN249:FN250" si="1879">FB249+FF249-FL249</f>
        <v>0</v>
      </c>
      <c r="FO249" s="82">
        <f t="shared" ref="FO249:FO250" si="1880">FN249*E249</f>
        <v>0</v>
      </c>
      <c r="FP249" s="82"/>
      <c r="FQ249" s="82"/>
      <c r="FR249" s="82">
        <f t="shared" ref="FR249:FR250" si="1881">sum(FP249:FQ249)</f>
        <v>0</v>
      </c>
      <c r="FS249" s="82">
        <f t="shared" ref="FS249:FS250" si="1882">FR249*CI249</f>
        <v>0</v>
      </c>
      <c r="FT249" s="82"/>
      <c r="FU249" s="82"/>
      <c r="FV249" s="82"/>
      <c r="FW249" s="82"/>
      <c r="FX249" s="82">
        <f t="shared" ref="FX249:FX250" si="1883">sum(FT249:FW249)</f>
        <v>0</v>
      </c>
      <c r="FY249" s="82">
        <f t="shared" ref="FY249:FY250" si="1884">FX249*CI249</f>
        <v>0</v>
      </c>
      <c r="FZ249" s="82">
        <f t="shared" ref="FZ249:FZ250" si="1885">FN249+FR249-FX249</f>
        <v>0</v>
      </c>
      <c r="GA249" s="82">
        <f t="shared" ref="GA249:GA250" si="1886">FZ249*E249</f>
        <v>0</v>
      </c>
      <c r="GB249" s="82">
        <f t="shared" ref="GB249:GB250" si="1887">ET249+FF249+FR249</f>
        <v>0</v>
      </c>
      <c r="GC249" s="82">
        <f t="shared" ref="GC249:GC250" si="1888">EZ249+FL249+FX249</f>
        <v>0</v>
      </c>
      <c r="GD249" s="82">
        <f t="shared" ref="GD249:GD250" si="1889">EP249+GB249-GC249</f>
        <v>0</v>
      </c>
      <c r="GE249" s="82">
        <f t="shared" ref="GE249:GE250" si="1890">GD249*E249</f>
        <v>0</v>
      </c>
      <c r="GF249" s="85"/>
    </row>
    <row r="250" ht="30.0" customHeight="1">
      <c r="A250" s="96">
        <v>2.0</v>
      </c>
      <c r="B250" s="58"/>
      <c r="C250" s="58" t="s">
        <v>279</v>
      </c>
      <c r="D250" s="78" t="s">
        <v>126</v>
      </c>
      <c r="E250" s="86">
        <v>49950.0</v>
      </c>
      <c r="F250" s="80" t="s">
        <v>280</v>
      </c>
      <c r="G250" s="81">
        <v>22.0</v>
      </c>
      <c r="H250" s="82">
        <v>1098900.0</v>
      </c>
      <c r="I250" s="82"/>
      <c r="J250" s="82"/>
      <c r="K250" s="82">
        <f t="shared" si="1803"/>
        <v>0</v>
      </c>
      <c r="L250" s="82">
        <f t="shared" si="1804"/>
        <v>0</v>
      </c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>
        <f t="shared" si="1805"/>
        <v>0</v>
      </c>
      <c r="AC250" s="82">
        <f t="shared" si="1806"/>
        <v>0</v>
      </c>
      <c r="AD250" s="82">
        <f t="shared" si="1807"/>
        <v>22</v>
      </c>
      <c r="AE250" s="82">
        <f t="shared" si="1808"/>
        <v>1098900</v>
      </c>
      <c r="AF250" s="82"/>
      <c r="AG250" s="82"/>
      <c r="AH250" s="82">
        <f t="shared" si="1809"/>
        <v>0</v>
      </c>
      <c r="AI250" s="82">
        <f t="shared" si="1810"/>
        <v>0</v>
      </c>
      <c r="AJ250" s="83">
        <v>4.0</v>
      </c>
      <c r="AK250" s="82"/>
      <c r="AL250" s="82"/>
      <c r="AM250" s="82"/>
      <c r="AN250" s="82">
        <f t="shared" si="1811"/>
        <v>4</v>
      </c>
      <c r="AO250" s="82">
        <f t="shared" si="1812"/>
        <v>199800</v>
      </c>
      <c r="AP250" s="82">
        <f t="shared" si="1813"/>
        <v>18</v>
      </c>
      <c r="AQ250" s="82">
        <f t="shared" si="1814"/>
        <v>899100</v>
      </c>
      <c r="AR250" s="82"/>
      <c r="AS250" s="82"/>
      <c r="AT250" s="82"/>
      <c r="AU250" s="82">
        <f t="shared" si="1815"/>
        <v>0</v>
      </c>
      <c r="AV250" s="82">
        <f t="shared" si="1816"/>
        <v>0</v>
      </c>
      <c r="AW250" s="82"/>
      <c r="AX250" s="82"/>
      <c r="AY250" s="82"/>
      <c r="AZ250" s="82"/>
      <c r="BA250" s="82">
        <f t="shared" si="1817"/>
        <v>0</v>
      </c>
      <c r="BB250" s="82">
        <f t="shared" si="1818"/>
        <v>0</v>
      </c>
      <c r="BC250" s="82">
        <f t="shared" si="1819"/>
        <v>18</v>
      </c>
      <c r="BD250" s="82">
        <f t="shared" si="1820"/>
        <v>899100</v>
      </c>
      <c r="BE250" s="82">
        <f t="shared" si="1821"/>
        <v>0</v>
      </c>
      <c r="BF250" s="82">
        <f t="shared" si="1822"/>
        <v>4</v>
      </c>
      <c r="BG250" s="82">
        <f t="shared" si="1823"/>
        <v>18</v>
      </c>
      <c r="BH250" s="82">
        <f t="shared" si="1824"/>
        <v>899100</v>
      </c>
      <c r="BI250" s="82"/>
      <c r="BJ250" s="83"/>
      <c r="BK250" s="82">
        <f t="shared" si="1825"/>
        <v>0</v>
      </c>
      <c r="BL250" s="82">
        <f t="shared" si="1826"/>
        <v>0</v>
      </c>
      <c r="BM250" s="82"/>
      <c r="BN250" s="82"/>
      <c r="BO250" s="82"/>
      <c r="BP250" s="82"/>
      <c r="BQ250" s="82"/>
      <c r="BR250" s="82"/>
      <c r="BS250" s="82"/>
      <c r="BT250" s="83">
        <v>7.0</v>
      </c>
      <c r="BU250" s="83"/>
      <c r="BV250" s="82"/>
      <c r="BW250" s="82">
        <f t="shared" si="1827"/>
        <v>7</v>
      </c>
      <c r="BX250" s="82">
        <f t="shared" si="1828"/>
        <v>349650</v>
      </c>
      <c r="BY250" s="82">
        <f t="shared" si="1829"/>
        <v>11</v>
      </c>
      <c r="BZ250" s="82">
        <f t="shared" si="1830"/>
        <v>549450</v>
      </c>
      <c r="CA250" s="82"/>
      <c r="CB250" s="82"/>
      <c r="CC250" s="82">
        <f t="shared" si="1831"/>
        <v>0</v>
      </c>
      <c r="CD250" s="82">
        <f t="shared" si="1832"/>
        <v>0</v>
      </c>
      <c r="CE250" s="82"/>
      <c r="CF250" s="82"/>
      <c r="CG250" s="82"/>
      <c r="CH250" s="82"/>
      <c r="CI250" s="82">
        <f t="shared" si="1833"/>
        <v>0</v>
      </c>
      <c r="CJ250" s="82">
        <f t="shared" si="1834"/>
        <v>0</v>
      </c>
      <c r="CK250" s="82">
        <f t="shared" si="1835"/>
        <v>11</v>
      </c>
      <c r="CL250" s="82">
        <f t="shared" si="1836"/>
        <v>549450</v>
      </c>
      <c r="CM250" s="82"/>
      <c r="CN250" s="82"/>
      <c r="CO250" s="82">
        <f t="shared" si="1837"/>
        <v>0</v>
      </c>
      <c r="CP250" s="82">
        <f t="shared" si="1838"/>
        <v>0</v>
      </c>
      <c r="CQ250" s="82"/>
      <c r="CR250" s="82"/>
      <c r="CS250" s="82"/>
      <c r="CT250" s="82"/>
      <c r="CU250" s="82">
        <f t="shared" si="1839"/>
        <v>0</v>
      </c>
      <c r="CV250" s="82">
        <f t="shared" si="1840"/>
        <v>0</v>
      </c>
      <c r="CW250" s="82">
        <f t="shared" si="1841"/>
        <v>11</v>
      </c>
      <c r="CX250" s="82">
        <f t="shared" si="1842"/>
        <v>549450</v>
      </c>
      <c r="CY250" s="82">
        <f t="shared" si="1843"/>
        <v>0</v>
      </c>
      <c r="CZ250" s="82">
        <f t="shared" si="1844"/>
        <v>7</v>
      </c>
      <c r="DA250" s="82">
        <f t="shared" si="1845"/>
        <v>11</v>
      </c>
      <c r="DB250" s="82">
        <f t="shared" si="1846"/>
        <v>549450</v>
      </c>
      <c r="DC250" s="84">
        <v>35.0</v>
      </c>
      <c r="DD250" s="82"/>
      <c r="DE250" s="82"/>
      <c r="DF250" s="82">
        <f t="shared" si="1847"/>
        <v>0</v>
      </c>
      <c r="DG250" s="82">
        <f t="shared" si="1848"/>
        <v>0</v>
      </c>
      <c r="DH250" s="82"/>
      <c r="DI250" s="82"/>
      <c r="DJ250" s="82"/>
      <c r="DK250" s="82"/>
      <c r="DL250" s="82">
        <f t="shared" si="1849"/>
        <v>0</v>
      </c>
      <c r="DM250" s="82">
        <f t="shared" si="1850"/>
        <v>0</v>
      </c>
      <c r="DN250" s="82">
        <f t="shared" si="1851"/>
        <v>11</v>
      </c>
      <c r="DO250" s="82">
        <f t="shared" si="1852"/>
        <v>549450</v>
      </c>
      <c r="DP250" s="82"/>
      <c r="DQ250" s="82"/>
      <c r="DR250" s="82">
        <f t="shared" si="1853"/>
        <v>0</v>
      </c>
      <c r="DS250" s="82">
        <f t="shared" si="1854"/>
        <v>0</v>
      </c>
      <c r="DT250" s="82"/>
      <c r="DU250" s="82"/>
      <c r="DV250" s="82"/>
      <c r="DW250" s="82"/>
      <c r="DX250" s="82">
        <f t="shared" si="1855"/>
        <v>0</v>
      </c>
      <c r="DY250" s="82">
        <f t="shared" si="1856"/>
        <v>0</v>
      </c>
      <c r="DZ250" s="82">
        <f t="shared" si="1857"/>
        <v>11</v>
      </c>
      <c r="EA250" s="82">
        <f t="shared" si="1858"/>
        <v>549450</v>
      </c>
      <c r="EB250" s="82"/>
      <c r="EC250" s="82"/>
      <c r="ED250" s="82">
        <f t="shared" si="1859"/>
        <v>0</v>
      </c>
      <c r="EE250" s="82">
        <f t="shared" si="1860"/>
        <v>0</v>
      </c>
      <c r="EF250" s="82"/>
      <c r="EG250" s="82"/>
      <c r="EH250" s="82"/>
      <c r="EI250" s="82"/>
      <c r="EJ250" s="82">
        <f t="shared" si="1861"/>
        <v>0</v>
      </c>
      <c r="EK250" s="82">
        <f t="shared" si="1862"/>
        <v>0</v>
      </c>
      <c r="EL250" s="82">
        <f t="shared" si="1863"/>
        <v>11</v>
      </c>
      <c r="EM250" s="82">
        <f t="shared" si="1864"/>
        <v>549450</v>
      </c>
      <c r="EN250" s="82">
        <f t="shared" si="1865"/>
        <v>0</v>
      </c>
      <c r="EO250" s="82">
        <f t="shared" si="1866"/>
        <v>0</v>
      </c>
      <c r="EP250" s="82">
        <f t="shared" si="1867"/>
        <v>11</v>
      </c>
      <c r="EQ250" s="82">
        <f t="shared" si="1868"/>
        <v>549450</v>
      </c>
      <c r="ER250" s="82"/>
      <c r="ES250" s="82"/>
      <c r="ET250" s="82">
        <f t="shared" si="1869"/>
        <v>0</v>
      </c>
      <c r="EU250" s="82">
        <f t="shared" si="1870"/>
        <v>0</v>
      </c>
      <c r="EV250" s="82"/>
      <c r="EW250" s="82"/>
      <c r="EX250" s="82"/>
      <c r="EY250" s="82"/>
      <c r="EZ250" s="82">
        <f t="shared" si="1871"/>
        <v>0</v>
      </c>
      <c r="FA250" s="82">
        <f t="shared" si="1872"/>
        <v>0</v>
      </c>
      <c r="FB250" s="82">
        <f t="shared" si="1873"/>
        <v>11</v>
      </c>
      <c r="FC250" s="82">
        <f t="shared" si="1874"/>
        <v>549450</v>
      </c>
      <c r="FD250" s="82"/>
      <c r="FE250" s="82"/>
      <c r="FF250" s="82">
        <f t="shared" si="1875"/>
        <v>0</v>
      </c>
      <c r="FG250" s="82">
        <f t="shared" si="1876"/>
        <v>0</v>
      </c>
      <c r="FH250" s="82"/>
      <c r="FI250" s="82"/>
      <c r="FJ250" s="82"/>
      <c r="FK250" s="82"/>
      <c r="FL250" s="82">
        <f t="shared" si="1877"/>
        <v>0</v>
      </c>
      <c r="FM250" s="82">
        <f t="shared" si="1878"/>
        <v>0</v>
      </c>
      <c r="FN250" s="82">
        <f t="shared" si="1879"/>
        <v>11</v>
      </c>
      <c r="FO250" s="82">
        <f t="shared" si="1880"/>
        <v>549450</v>
      </c>
      <c r="FP250" s="82"/>
      <c r="FQ250" s="82"/>
      <c r="FR250" s="82">
        <f t="shared" si="1881"/>
        <v>0</v>
      </c>
      <c r="FS250" s="82">
        <f t="shared" si="1882"/>
        <v>0</v>
      </c>
      <c r="FT250" s="82"/>
      <c r="FU250" s="82"/>
      <c r="FV250" s="82"/>
      <c r="FW250" s="82"/>
      <c r="FX250" s="82">
        <f t="shared" si="1883"/>
        <v>0</v>
      </c>
      <c r="FY250" s="82">
        <f t="shared" si="1884"/>
        <v>0</v>
      </c>
      <c r="FZ250" s="82">
        <f t="shared" si="1885"/>
        <v>11</v>
      </c>
      <c r="GA250" s="82">
        <f t="shared" si="1886"/>
        <v>549450</v>
      </c>
      <c r="GB250" s="82">
        <f t="shared" si="1887"/>
        <v>0</v>
      </c>
      <c r="GC250" s="82">
        <f t="shared" si="1888"/>
        <v>0</v>
      </c>
      <c r="GD250" s="82">
        <f t="shared" si="1889"/>
        <v>11</v>
      </c>
      <c r="GE250" s="82">
        <f t="shared" si="1890"/>
        <v>549450</v>
      </c>
      <c r="GF250" s="85"/>
    </row>
    <row r="251" ht="30.0" customHeight="1">
      <c r="A251" s="96"/>
      <c r="B251" s="58"/>
      <c r="C251" s="58"/>
      <c r="D251" s="78" t="s">
        <v>126</v>
      </c>
      <c r="E251" s="86">
        <v>47730.0</v>
      </c>
      <c r="F251" s="80" t="s">
        <v>281</v>
      </c>
      <c r="G251" s="90">
        <v>11.0</v>
      </c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>
        <f t="shared" si="1807"/>
        <v>11</v>
      </c>
      <c r="AE251" s="12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>
        <f t="shared" si="1813"/>
        <v>11</v>
      </c>
      <c r="AQ251" s="82">
        <f>AP251*E250</f>
        <v>549450</v>
      </c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>
        <f t="shared" si="1819"/>
        <v>11</v>
      </c>
      <c r="BD251" s="82">
        <f>BC251*E250</f>
        <v>549450</v>
      </c>
      <c r="BE251" s="82"/>
      <c r="BF251" s="82"/>
      <c r="BG251" s="82">
        <f t="shared" si="1823"/>
        <v>11</v>
      </c>
      <c r="BH251" s="82"/>
      <c r="BI251" s="82"/>
      <c r="BJ251" s="83"/>
      <c r="BK251" s="82"/>
      <c r="BL251" s="82"/>
      <c r="BM251" s="82"/>
      <c r="BN251" s="82"/>
      <c r="BO251" s="82"/>
      <c r="BP251" s="83"/>
      <c r="BQ251" s="82"/>
      <c r="BR251" s="82"/>
      <c r="BS251" s="83"/>
      <c r="BT251" s="82"/>
      <c r="BU251" s="82"/>
      <c r="BV251" s="82"/>
      <c r="BW251" s="82"/>
      <c r="BX251" s="82"/>
      <c r="BY251" s="82">
        <f t="shared" si="1829"/>
        <v>11</v>
      </c>
      <c r="BZ251" s="82">
        <f>BY251*E250</f>
        <v>549450</v>
      </c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>
        <f t="shared" si="1835"/>
        <v>11</v>
      </c>
      <c r="CL251" s="82">
        <f>CK251*E250</f>
        <v>549450</v>
      </c>
      <c r="CM251" s="83">
        <v>30.0</v>
      </c>
      <c r="CN251" s="82"/>
      <c r="CO251" s="82">
        <f t="shared" si="1837"/>
        <v>30</v>
      </c>
      <c r="CP251" s="82">
        <f t="shared" si="1838"/>
        <v>1431900</v>
      </c>
      <c r="CQ251" s="82"/>
      <c r="CR251" s="82"/>
      <c r="CS251" s="82"/>
      <c r="CT251" s="82"/>
      <c r="CU251" s="82"/>
      <c r="CV251" s="82"/>
      <c r="CW251" s="82">
        <f t="shared" si="1841"/>
        <v>41</v>
      </c>
      <c r="CX251" s="82">
        <f>(CO251*E251)+(CK251*E250)</f>
        <v>1981350</v>
      </c>
      <c r="CY251" s="82">
        <f t="shared" si="1843"/>
        <v>30</v>
      </c>
      <c r="CZ251" s="82">
        <f t="shared" si="1844"/>
        <v>0</v>
      </c>
      <c r="DA251" s="82">
        <f t="shared" si="1845"/>
        <v>41</v>
      </c>
      <c r="DB251" s="82">
        <f t="shared" si="1846"/>
        <v>1956930</v>
      </c>
      <c r="DC251" s="91"/>
      <c r="DD251" s="82"/>
      <c r="DE251" s="82"/>
      <c r="DF251" s="82"/>
      <c r="DG251" s="82"/>
      <c r="DH251" s="82"/>
      <c r="DI251" s="82"/>
      <c r="DJ251" s="82"/>
      <c r="DK251" s="82"/>
      <c r="DL251" s="82"/>
      <c r="DM251" s="82"/>
      <c r="DN251" s="82"/>
      <c r="DO251" s="82"/>
      <c r="DP251" s="82"/>
      <c r="DQ251" s="82"/>
      <c r="DR251" s="82"/>
      <c r="DS251" s="82"/>
      <c r="DT251" s="82"/>
      <c r="DU251" s="82"/>
      <c r="DV251" s="82"/>
      <c r="DW251" s="82"/>
      <c r="DX251" s="82"/>
      <c r="DY251" s="82"/>
      <c r="DZ251" s="82"/>
      <c r="EA251" s="82"/>
      <c r="EB251" s="82"/>
      <c r="EC251" s="82"/>
      <c r="ED251" s="82"/>
      <c r="EE251" s="82"/>
      <c r="EF251" s="82"/>
      <c r="EG251" s="82"/>
      <c r="EH251" s="82"/>
      <c r="EI251" s="82"/>
      <c r="EJ251" s="82"/>
      <c r="EK251" s="82"/>
      <c r="EL251" s="82"/>
      <c r="EM251" s="82"/>
      <c r="EN251" s="82"/>
      <c r="EO251" s="82"/>
      <c r="EP251" s="82"/>
      <c r="EQ251" s="82"/>
      <c r="ER251" s="82"/>
      <c r="ES251" s="82"/>
      <c r="ET251" s="82"/>
      <c r="EU251" s="82"/>
      <c r="EV251" s="82"/>
      <c r="EW251" s="82"/>
      <c r="EX251" s="82"/>
      <c r="EY251" s="82"/>
      <c r="EZ251" s="82"/>
      <c r="FA251" s="82"/>
      <c r="FB251" s="82"/>
      <c r="FC251" s="82"/>
      <c r="FD251" s="82"/>
      <c r="FE251" s="82"/>
      <c r="FF251" s="82"/>
      <c r="FG251" s="82"/>
      <c r="FH251" s="82"/>
      <c r="FI251" s="82"/>
      <c r="FJ251" s="82"/>
      <c r="FK251" s="82"/>
      <c r="FL251" s="82"/>
      <c r="FM251" s="82"/>
      <c r="FN251" s="82"/>
      <c r="FO251" s="82"/>
      <c r="FP251" s="82"/>
      <c r="FQ251" s="82"/>
      <c r="FR251" s="82"/>
      <c r="FS251" s="82"/>
      <c r="FT251" s="82"/>
      <c r="FU251" s="82"/>
      <c r="FV251" s="82"/>
      <c r="FW251" s="82"/>
      <c r="FX251" s="82"/>
      <c r="FY251" s="82"/>
      <c r="FZ251" s="82"/>
      <c r="GA251" s="82"/>
      <c r="GB251" s="82"/>
      <c r="GC251" s="82"/>
      <c r="GD251" s="82"/>
      <c r="GE251" s="82"/>
      <c r="GF251" s="85"/>
    </row>
    <row r="252" ht="30.0" customHeight="1">
      <c r="A252" s="96">
        <v>3.0</v>
      </c>
      <c r="B252" s="58"/>
      <c r="C252" s="58" t="s">
        <v>282</v>
      </c>
      <c r="D252" s="78" t="s">
        <v>96</v>
      </c>
      <c r="E252" s="79"/>
      <c r="F252" s="61"/>
      <c r="G252" s="81">
        <v>0.0</v>
      </c>
      <c r="H252" s="82">
        <v>0.0</v>
      </c>
      <c r="I252" s="82"/>
      <c r="J252" s="82"/>
      <c r="K252" s="82">
        <f t="shared" ref="K252:K258" si="1891">SUM(I252:J252)</f>
        <v>0</v>
      </c>
      <c r="L252" s="82">
        <f t="shared" ref="L252:L258" si="1892">K252*E252</f>
        <v>0</v>
      </c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>
        <f t="shared" ref="AB252:AB258" si="1893">SUM(M252:AA252)</f>
        <v>0</v>
      </c>
      <c r="AC252" s="82">
        <f t="shared" ref="AC252:AC258" si="1894">AB252*E252</f>
        <v>0</v>
      </c>
      <c r="AD252" s="82">
        <f t="shared" si="1807"/>
        <v>0</v>
      </c>
      <c r="AE252" s="82">
        <f t="shared" ref="AE252:AE253" si="1895">AD252*E252</f>
        <v>0</v>
      </c>
      <c r="AF252" s="82"/>
      <c r="AG252" s="82"/>
      <c r="AH252" s="82">
        <f t="shared" ref="AH252:AH253" si="1896">SUM(AF252:AG252)</f>
        <v>0</v>
      </c>
      <c r="AI252" s="82">
        <f t="shared" ref="AI252:AI253" si="1897">AH252*E252</f>
        <v>0</v>
      </c>
      <c r="AJ252" s="82"/>
      <c r="AK252" s="82"/>
      <c r="AL252" s="82"/>
      <c r="AM252" s="82"/>
      <c r="AN252" s="82">
        <f t="shared" ref="AN252:AN253" si="1898">SUM(AJ252:AM252)</f>
        <v>0</v>
      </c>
      <c r="AO252" s="82">
        <f t="shared" ref="AO252:AO253" si="1899">AN252*E252</f>
        <v>0</v>
      </c>
      <c r="AP252" s="82">
        <f t="shared" si="1813"/>
        <v>0</v>
      </c>
      <c r="AQ252" s="82">
        <f t="shared" ref="AQ252:AQ253" si="1900">AP252*E252</f>
        <v>0</v>
      </c>
      <c r="AR252" s="82"/>
      <c r="AS252" s="82"/>
      <c r="AT252" s="82"/>
      <c r="AU252" s="82">
        <f t="shared" ref="AU252:AU253" si="1901">SUM(AS252:AT252)</f>
        <v>0</v>
      </c>
      <c r="AV252" s="82">
        <f t="shared" ref="AV252:AV253" si="1902">AU252*AB252</f>
        <v>0</v>
      </c>
      <c r="AW252" s="82"/>
      <c r="AX252" s="82"/>
      <c r="AY252" s="82"/>
      <c r="AZ252" s="82"/>
      <c r="BA252" s="82">
        <f t="shared" ref="BA252:BA253" si="1903">SUM(AW252:AZ252)</f>
        <v>0</v>
      </c>
      <c r="BB252" s="82">
        <f t="shared" ref="BB252:BB253" si="1904">BA252*AB252</f>
        <v>0</v>
      </c>
      <c r="BC252" s="82">
        <f t="shared" si="1819"/>
        <v>0</v>
      </c>
      <c r="BD252" s="82">
        <f t="shared" ref="BD252:BD253" si="1905">BC252*E252</f>
        <v>0</v>
      </c>
      <c r="BE252" s="82">
        <f t="shared" ref="BE252:BE253" si="1906">K252+AH252+AU252</f>
        <v>0</v>
      </c>
      <c r="BF252" s="82">
        <f t="shared" ref="BF252:BF253" si="1907">AB252+AN252+BA252</f>
        <v>0</v>
      </c>
      <c r="BG252" s="82">
        <f t="shared" si="1823"/>
        <v>0</v>
      </c>
      <c r="BH252" s="82">
        <f t="shared" ref="BH252:BH253" si="1908">BG252*E252</f>
        <v>0</v>
      </c>
      <c r="BI252" s="82"/>
      <c r="BJ252" s="83"/>
      <c r="BK252" s="82">
        <f t="shared" ref="BK252:BK253" si="1909">SUM(BI252:BJ252)</f>
        <v>0</v>
      </c>
      <c r="BL252" s="82">
        <f t="shared" ref="BL252:BL253" si="1910">BK252*E252</f>
        <v>0</v>
      </c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>
        <f t="shared" ref="BW252:BW253" si="1911">SUM(BM252:BV252)</f>
        <v>0</v>
      </c>
      <c r="BX252" s="82">
        <f t="shared" ref="BX252:BX253" si="1912">BW252*E252</f>
        <v>0</v>
      </c>
      <c r="BY252" s="82">
        <f t="shared" si="1829"/>
        <v>0</v>
      </c>
      <c r="BZ252" s="82">
        <f t="shared" ref="BZ252:BZ253" si="1913">BY252*E252</f>
        <v>0</v>
      </c>
      <c r="CA252" s="82"/>
      <c r="CB252" s="82"/>
      <c r="CC252" s="82">
        <f t="shared" ref="CC252:CC253" si="1914">sum(CA252:CB252)</f>
        <v>0</v>
      </c>
      <c r="CD252" s="82">
        <f t="shared" ref="CD252:CD253" si="1915">CC252*E252</f>
        <v>0</v>
      </c>
      <c r="CE252" s="82"/>
      <c r="CF252" s="82"/>
      <c r="CG252" s="82"/>
      <c r="CH252" s="82"/>
      <c r="CI252" s="82">
        <f t="shared" ref="CI252:CI253" si="1916">sum(CE252:CH252)</f>
        <v>0</v>
      </c>
      <c r="CJ252" s="82">
        <f t="shared" ref="CJ252:CJ253" si="1917">CI252*E252</f>
        <v>0</v>
      </c>
      <c r="CK252" s="82">
        <f t="shared" si="1835"/>
        <v>0</v>
      </c>
      <c r="CL252" s="82">
        <f t="shared" ref="CL252:CL253" si="1918">CK252*E252</f>
        <v>0</v>
      </c>
      <c r="CM252" s="82"/>
      <c r="CN252" s="82"/>
      <c r="CO252" s="82">
        <f t="shared" si="1837"/>
        <v>0</v>
      </c>
      <c r="CP252" s="82">
        <f t="shared" si="1838"/>
        <v>0</v>
      </c>
      <c r="CQ252" s="82"/>
      <c r="CR252" s="82"/>
      <c r="CS252" s="82"/>
      <c r="CT252" s="82"/>
      <c r="CU252" s="82">
        <f t="shared" ref="CU252:CU258" si="1919">sum(CQ252:CT252)</f>
        <v>0</v>
      </c>
      <c r="CV252" s="82">
        <f t="shared" ref="CV252:CV258" si="1920">CU252*E252</f>
        <v>0</v>
      </c>
      <c r="CW252" s="82">
        <f t="shared" si="1841"/>
        <v>0</v>
      </c>
      <c r="CX252" s="82">
        <f t="shared" ref="CX252:CX256" si="1921">CW252*E252</f>
        <v>0</v>
      </c>
      <c r="CY252" s="82">
        <f t="shared" si="1843"/>
        <v>0</v>
      </c>
      <c r="CZ252" s="82">
        <f t="shared" si="1844"/>
        <v>0</v>
      </c>
      <c r="DA252" s="82">
        <f t="shared" si="1845"/>
        <v>0</v>
      </c>
      <c r="DB252" s="82">
        <f t="shared" si="1846"/>
        <v>0</v>
      </c>
      <c r="DC252" s="91"/>
      <c r="DD252" s="82"/>
      <c r="DE252" s="82"/>
      <c r="DF252" s="82">
        <f t="shared" ref="DF252:DF258" si="1922">sum(DD252:DE252)</f>
        <v>0</v>
      </c>
      <c r="DG252" s="82">
        <f t="shared" ref="DG252:DG258" si="1923">DF252*E252</f>
        <v>0</v>
      </c>
      <c r="DH252" s="83">
        <v>5.0</v>
      </c>
      <c r="DI252" s="82"/>
      <c r="DJ252" s="82"/>
      <c r="DK252" s="82"/>
      <c r="DL252" s="82">
        <f t="shared" ref="DL252:DL258" si="1924">sum(DH252:DK252)</f>
        <v>5</v>
      </c>
      <c r="DM252" s="82">
        <f t="shared" ref="DM252:DM258" si="1925">DL252*E252</f>
        <v>0</v>
      </c>
      <c r="DN252" s="82">
        <f t="shared" ref="DN252:DN258" si="1926">DA252+DF252-DL252</f>
        <v>-5</v>
      </c>
      <c r="DO252" s="82">
        <f t="shared" ref="DO252:DO258" si="1927">DN252*E252</f>
        <v>0</v>
      </c>
      <c r="DP252" s="82"/>
      <c r="DQ252" s="82"/>
      <c r="DR252" s="82">
        <f t="shared" ref="DR252:DR258" si="1928">sum(DP252:DQ252)</f>
        <v>0</v>
      </c>
      <c r="DS252" s="82">
        <f t="shared" ref="DS252:DS258" si="1929">DR252*AB252</f>
        <v>0</v>
      </c>
      <c r="DT252" s="82"/>
      <c r="DU252" s="82"/>
      <c r="DV252" s="82"/>
      <c r="DW252" s="82"/>
      <c r="DX252" s="82">
        <f t="shared" ref="DX252:DX258" si="1930">sum(DT252:DW252)</f>
        <v>0</v>
      </c>
      <c r="DY252" s="82">
        <f t="shared" ref="DY252:DY258" si="1931">DX252*AB252</f>
        <v>0</v>
      </c>
      <c r="DZ252" s="82">
        <f t="shared" ref="DZ252:DZ258" si="1932">DN252+DR252-DX252</f>
        <v>-5</v>
      </c>
      <c r="EA252" s="82">
        <f t="shared" ref="EA252:EA258" si="1933">DZ252*E252</f>
        <v>0</v>
      </c>
      <c r="EB252" s="82"/>
      <c r="EC252" s="82"/>
      <c r="ED252" s="82">
        <f t="shared" ref="ED252:ED258" si="1934">sum(EB252:EC252)</f>
        <v>0</v>
      </c>
      <c r="EE252" s="82">
        <f t="shared" ref="EE252:EE258" si="1935">ED252*AN252</f>
        <v>0</v>
      </c>
      <c r="EF252" s="82"/>
      <c r="EG252" s="82"/>
      <c r="EH252" s="82"/>
      <c r="EI252" s="82"/>
      <c r="EJ252" s="82">
        <f t="shared" ref="EJ252:EJ258" si="1936">sum(EF252:EI252)</f>
        <v>0</v>
      </c>
      <c r="EK252" s="82">
        <f t="shared" ref="EK252:EK258" si="1937">EJ252*AN252</f>
        <v>0</v>
      </c>
      <c r="EL252" s="82">
        <f t="shared" ref="EL252:EL258" si="1938">DZ252+ED252-EJ252</f>
        <v>-5</v>
      </c>
      <c r="EM252" s="82">
        <f t="shared" ref="EM252:EM258" si="1939">EL252*E252</f>
        <v>0</v>
      </c>
      <c r="EN252" s="82">
        <f t="shared" ref="EN252:EN258" si="1940">DF252+DR252+ED252</f>
        <v>0</v>
      </c>
      <c r="EO252" s="82">
        <f t="shared" ref="EO252:EO258" si="1941">DL252+DX252+EJ252</f>
        <v>5</v>
      </c>
      <c r="EP252" s="82">
        <f t="shared" ref="EP252:EP258" si="1942">DA252+EN252-EO252</f>
        <v>-5</v>
      </c>
      <c r="EQ252" s="82">
        <f t="shared" ref="EQ252:EQ258" si="1943">EP252*E252</f>
        <v>0</v>
      </c>
      <c r="ER252" s="82"/>
      <c r="ES252" s="82"/>
      <c r="ET252" s="82">
        <f t="shared" ref="ET252:ET258" si="1944">sum(ER252:ES252)</f>
        <v>0</v>
      </c>
      <c r="EU252" s="82">
        <f t="shared" ref="EU252:EU258" si="1945">ET252*BE252</f>
        <v>0</v>
      </c>
      <c r="EV252" s="82"/>
      <c r="EW252" s="82"/>
      <c r="EX252" s="82"/>
      <c r="EY252" s="82"/>
      <c r="EZ252" s="82">
        <f t="shared" ref="EZ252:EZ258" si="1946">sum(EV252:EY252)</f>
        <v>0</v>
      </c>
      <c r="FA252" s="82">
        <f t="shared" ref="FA252:FA258" si="1947">EZ252*BE252</f>
        <v>0</v>
      </c>
      <c r="FB252" s="82">
        <f t="shared" ref="FB252:FB258" si="1948">EP252+ET252-EZ252</f>
        <v>-5</v>
      </c>
      <c r="FC252" s="82">
        <f t="shared" ref="FC252:FC258" si="1949">FB252*E252</f>
        <v>0</v>
      </c>
      <c r="FD252" s="82"/>
      <c r="FE252" s="82"/>
      <c r="FF252" s="82">
        <f t="shared" ref="FF252:FF258" si="1950">sum(FD252:FE252)</f>
        <v>0</v>
      </c>
      <c r="FG252" s="82">
        <f t="shared" ref="FG252:FG258" si="1951">FF252*BW252</f>
        <v>0</v>
      </c>
      <c r="FH252" s="82"/>
      <c r="FI252" s="82"/>
      <c r="FJ252" s="82"/>
      <c r="FK252" s="82"/>
      <c r="FL252" s="82">
        <f t="shared" ref="FL252:FL258" si="1952">sum(FH252:FK252)</f>
        <v>0</v>
      </c>
      <c r="FM252" s="82">
        <f t="shared" ref="FM252:FM258" si="1953">FL252*BW252</f>
        <v>0</v>
      </c>
      <c r="FN252" s="82">
        <f t="shared" ref="FN252:FN258" si="1954">FB252+FF252-FL252</f>
        <v>-5</v>
      </c>
      <c r="FO252" s="82">
        <f t="shared" ref="FO252:FO258" si="1955">FN252*E252</f>
        <v>0</v>
      </c>
      <c r="FP252" s="82"/>
      <c r="FQ252" s="82"/>
      <c r="FR252" s="82">
        <f t="shared" ref="FR252:FR258" si="1956">sum(FP252:FQ252)</f>
        <v>0</v>
      </c>
      <c r="FS252" s="82">
        <f t="shared" ref="FS252:FS258" si="1957">FR252*CI252</f>
        <v>0</v>
      </c>
      <c r="FT252" s="82"/>
      <c r="FU252" s="82"/>
      <c r="FV252" s="82"/>
      <c r="FW252" s="82"/>
      <c r="FX252" s="82">
        <f t="shared" ref="FX252:FX258" si="1958">sum(FT252:FW252)</f>
        <v>0</v>
      </c>
      <c r="FY252" s="82">
        <f t="shared" ref="FY252:FY258" si="1959">FX252*CI252</f>
        <v>0</v>
      </c>
      <c r="FZ252" s="82">
        <f t="shared" ref="FZ252:FZ258" si="1960">FN252+FR252-FX252</f>
        <v>-5</v>
      </c>
      <c r="GA252" s="82">
        <f t="shared" ref="GA252:GA258" si="1961">FZ252*E252</f>
        <v>0</v>
      </c>
      <c r="GB252" s="82">
        <f t="shared" ref="GB252:GB258" si="1962">ET252+FF252+FR252</f>
        <v>0</v>
      </c>
      <c r="GC252" s="82">
        <f t="shared" ref="GC252:GC258" si="1963">EZ252+FL252+FX252</f>
        <v>0</v>
      </c>
      <c r="GD252" s="82">
        <f t="shared" ref="GD252:GD258" si="1964">EP252+GB252-GC252</f>
        <v>-5</v>
      </c>
      <c r="GE252" s="82">
        <f t="shared" ref="GE252:GE258" si="1965">GD252*E252</f>
        <v>0</v>
      </c>
      <c r="GF252" s="85"/>
    </row>
    <row r="253" ht="30.0" customHeight="1">
      <c r="A253" s="96">
        <v>4.0</v>
      </c>
      <c r="B253" s="58"/>
      <c r="C253" s="58" t="s">
        <v>283</v>
      </c>
      <c r="D253" s="78" t="s">
        <v>96</v>
      </c>
      <c r="E253" s="86">
        <v>36036.0</v>
      </c>
      <c r="F253" s="80" t="s">
        <v>284</v>
      </c>
      <c r="G253" s="81">
        <v>7.0</v>
      </c>
      <c r="H253" s="82">
        <v>252252.0</v>
      </c>
      <c r="I253" s="82"/>
      <c r="J253" s="82"/>
      <c r="K253" s="82">
        <f t="shared" si="1891"/>
        <v>0</v>
      </c>
      <c r="L253" s="82">
        <f t="shared" si="1892"/>
        <v>0</v>
      </c>
      <c r="M253" s="82"/>
      <c r="N253" s="82"/>
      <c r="O253" s="83">
        <v>5.0</v>
      </c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>
        <f t="shared" si="1893"/>
        <v>5</v>
      </c>
      <c r="AC253" s="82">
        <f t="shared" si="1894"/>
        <v>180180</v>
      </c>
      <c r="AD253" s="82">
        <f t="shared" si="1807"/>
        <v>2</v>
      </c>
      <c r="AE253" s="82">
        <f t="shared" si="1895"/>
        <v>72072</v>
      </c>
      <c r="AF253" s="82"/>
      <c r="AG253" s="82"/>
      <c r="AH253" s="82">
        <f t="shared" si="1896"/>
        <v>0</v>
      </c>
      <c r="AI253" s="82">
        <f t="shared" si="1897"/>
        <v>0</v>
      </c>
      <c r="AJ253" s="82"/>
      <c r="AK253" s="82"/>
      <c r="AL253" s="82"/>
      <c r="AM253" s="82"/>
      <c r="AN253" s="82">
        <f t="shared" si="1898"/>
        <v>0</v>
      </c>
      <c r="AO253" s="82">
        <f t="shared" si="1899"/>
        <v>0</v>
      </c>
      <c r="AP253" s="82">
        <f t="shared" si="1813"/>
        <v>2</v>
      </c>
      <c r="AQ253" s="82">
        <f t="shared" si="1900"/>
        <v>72072</v>
      </c>
      <c r="AR253" s="82"/>
      <c r="AS253" s="82"/>
      <c r="AT253" s="82"/>
      <c r="AU253" s="82">
        <f t="shared" si="1901"/>
        <v>0</v>
      </c>
      <c r="AV253" s="82">
        <f t="shared" si="1902"/>
        <v>0</v>
      </c>
      <c r="AW253" s="82"/>
      <c r="AX253" s="82"/>
      <c r="AY253" s="82"/>
      <c r="AZ253" s="82"/>
      <c r="BA253" s="82">
        <f t="shared" si="1903"/>
        <v>0</v>
      </c>
      <c r="BB253" s="82">
        <f t="shared" si="1904"/>
        <v>0</v>
      </c>
      <c r="BC253" s="82">
        <f t="shared" si="1819"/>
        <v>2</v>
      </c>
      <c r="BD253" s="82">
        <f t="shared" si="1905"/>
        <v>72072</v>
      </c>
      <c r="BE253" s="82">
        <f t="shared" si="1906"/>
        <v>0</v>
      </c>
      <c r="BF253" s="82">
        <f t="shared" si="1907"/>
        <v>5</v>
      </c>
      <c r="BG253" s="82">
        <f t="shared" si="1823"/>
        <v>2</v>
      </c>
      <c r="BH253" s="82">
        <f t="shared" si="1908"/>
        <v>72072</v>
      </c>
      <c r="BI253" s="82"/>
      <c r="BJ253" s="83"/>
      <c r="BK253" s="82">
        <f t="shared" si="1909"/>
        <v>0</v>
      </c>
      <c r="BL253" s="82">
        <f t="shared" si="1910"/>
        <v>0</v>
      </c>
      <c r="BM253" s="83">
        <v>2.0</v>
      </c>
      <c r="BN253" s="82"/>
      <c r="BO253" s="82"/>
      <c r="BP253" s="82"/>
      <c r="BQ253" s="82"/>
      <c r="BR253" s="82"/>
      <c r="BS253" s="82"/>
      <c r="BT253" s="82"/>
      <c r="BU253" s="82"/>
      <c r="BV253" s="82"/>
      <c r="BW253" s="82">
        <f t="shared" si="1911"/>
        <v>2</v>
      </c>
      <c r="BX253" s="82">
        <f t="shared" si="1912"/>
        <v>72072</v>
      </c>
      <c r="BY253" s="82">
        <f t="shared" si="1829"/>
        <v>0</v>
      </c>
      <c r="BZ253" s="82">
        <f t="shared" si="1913"/>
        <v>0</v>
      </c>
      <c r="CA253" s="82"/>
      <c r="CB253" s="82"/>
      <c r="CC253" s="82">
        <f t="shared" si="1914"/>
        <v>0</v>
      </c>
      <c r="CD253" s="82">
        <f t="shared" si="1915"/>
        <v>0</v>
      </c>
      <c r="CE253" s="82"/>
      <c r="CF253" s="82"/>
      <c r="CG253" s="82"/>
      <c r="CH253" s="82"/>
      <c r="CI253" s="82">
        <f t="shared" si="1916"/>
        <v>0</v>
      </c>
      <c r="CJ253" s="82">
        <f t="shared" si="1917"/>
        <v>0</v>
      </c>
      <c r="CK253" s="82">
        <f t="shared" si="1835"/>
        <v>0</v>
      </c>
      <c r="CL253" s="82">
        <f t="shared" si="1918"/>
        <v>0</v>
      </c>
      <c r="CM253" s="82"/>
      <c r="CN253" s="82"/>
      <c r="CO253" s="82">
        <f t="shared" si="1837"/>
        <v>0</v>
      </c>
      <c r="CP253" s="82">
        <f t="shared" si="1838"/>
        <v>0</v>
      </c>
      <c r="CQ253" s="82"/>
      <c r="CR253" s="82"/>
      <c r="CS253" s="82"/>
      <c r="CT253" s="82"/>
      <c r="CU253" s="82">
        <f t="shared" si="1919"/>
        <v>0</v>
      </c>
      <c r="CV253" s="82">
        <f t="shared" si="1920"/>
        <v>0</v>
      </c>
      <c r="CW253" s="82">
        <f t="shared" si="1841"/>
        <v>0</v>
      </c>
      <c r="CX253" s="82">
        <f t="shared" si="1921"/>
        <v>0</v>
      </c>
      <c r="CY253" s="82">
        <f t="shared" si="1843"/>
        <v>0</v>
      </c>
      <c r="CZ253" s="82">
        <f t="shared" si="1844"/>
        <v>2</v>
      </c>
      <c r="DA253" s="82">
        <f t="shared" si="1845"/>
        <v>0</v>
      </c>
      <c r="DB253" s="82">
        <f t="shared" si="1846"/>
        <v>0</v>
      </c>
      <c r="DC253" s="91"/>
      <c r="DD253" s="82"/>
      <c r="DE253" s="82"/>
      <c r="DF253" s="82">
        <f t="shared" si="1922"/>
        <v>0</v>
      </c>
      <c r="DG253" s="82">
        <f t="shared" si="1923"/>
        <v>0</v>
      </c>
      <c r="DH253" s="82"/>
      <c r="DI253" s="82"/>
      <c r="DJ253" s="82"/>
      <c r="DK253" s="82"/>
      <c r="DL253" s="82">
        <f t="shared" si="1924"/>
        <v>0</v>
      </c>
      <c r="DM253" s="82">
        <f t="shared" si="1925"/>
        <v>0</v>
      </c>
      <c r="DN253" s="82">
        <f t="shared" si="1926"/>
        <v>0</v>
      </c>
      <c r="DO253" s="82">
        <f t="shared" si="1927"/>
        <v>0</v>
      </c>
      <c r="DP253" s="82"/>
      <c r="DQ253" s="82"/>
      <c r="DR253" s="82">
        <f t="shared" si="1928"/>
        <v>0</v>
      </c>
      <c r="DS253" s="82">
        <f t="shared" si="1929"/>
        <v>0</v>
      </c>
      <c r="DT253" s="82"/>
      <c r="DU253" s="82"/>
      <c r="DV253" s="82"/>
      <c r="DW253" s="82"/>
      <c r="DX253" s="82">
        <f t="shared" si="1930"/>
        <v>0</v>
      </c>
      <c r="DY253" s="82">
        <f t="shared" si="1931"/>
        <v>0</v>
      </c>
      <c r="DZ253" s="82">
        <f t="shared" si="1932"/>
        <v>0</v>
      </c>
      <c r="EA253" s="82">
        <f t="shared" si="1933"/>
        <v>0</v>
      </c>
      <c r="EB253" s="82"/>
      <c r="EC253" s="82"/>
      <c r="ED253" s="82">
        <f t="shared" si="1934"/>
        <v>0</v>
      </c>
      <c r="EE253" s="82">
        <f t="shared" si="1935"/>
        <v>0</v>
      </c>
      <c r="EF253" s="82"/>
      <c r="EG253" s="82"/>
      <c r="EH253" s="82"/>
      <c r="EI253" s="82"/>
      <c r="EJ253" s="82">
        <f t="shared" si="1936"/>
        <v>0</v>
      </c>
      <c r="EK253" s="82">
        <f t="shared" si="1937"/>
        <v>0</v>
      </c>
      <c r="EL253" s="82">
        <f t="shared" si="1938"/>
        <v>0</v>
      </c>
      <c r="EM253" s="82">
        <f t="shared" si="1939"/>
        <v>0</v>
      </c>
      <c r="EN253" s="82">
        <f t="shared" si="1940"/>
        <v>0</v>
      </c>
      <c r="EO253" s="82">
        <f t="shared" si="1941"/>
        <v>0</v>
      </c>
      <c r="EP253" s="82">
        <f t="shared" si="1942"/>
        <v>0</v>
      </c>
      <c r="EQ253" s="82">
        <f t="shared" si="1943"/>
        <v>0</v>
      </c>
      <c r="ER253" s="82"/>
      <c r="ES253" s="82"/>
      <c r="ET253" s="82">
        <f t="shared" si="1944"/>
        <v>0</v>
      </c>
      <c r="EU253" s="82">
        <f t="shared" si="1945"/>
        <v>0</v>
      </c>
      <c r="EV253" s="82"/>
      <c r="EW253" s="82"/>
      <c r="EX253" s="82"/>
      <c r="EY253" s="82"/>
      <c r="EZ253" s="82">
        <f t="shared" si="1946"/>
        <v>0</v>
      </c>
      <c r="FA253" s="82">
        <f t="shared" si="1947"/>
        <v>0</v>
      </c>
      <c r="FB253" s="82">
        <f t="shared" si="1948"/>
        <v>0</v>
      </c>
      <c r="FC253" s="82">
        <f t="shared" si="1949"/>
        <v>0</v>
      </c>
      <c r="FD253" s="82"/>
      <c r="FE253" s="82"/>
      <c r="FF253" s="82">
        <f t="shared" si="1950"/>
        <v>0</v>
      </c>
      <c r="FG253" s="82">
        <f t="shared" si="1951"/>
        <v>0</v>
      </c>
      <c r="FH253" s="82"/>
      <c r="FI253" s="82"/>
      <c r="FJ253" s="82"/>
      <c r="FK253" s="82"/>
      <c r="FL253" s="82">
        <f t="shared" si="1952"/>
        <v>0</v>
      </c>
      <c r="FM253" s="82">
        <f t="shared" si="1953"/>
        <v>0</v>
      </c>
      <c r="FN253" s="82">
        <f t="shared" si="1954"/>
        <v>0</v>
      </c>
      <c r="FO253" s="82">
        <f t="shared" si="1955"/>
        <v>0</v>
      </c>
      <c r="FP253" s="82"/>
      <c r="FQ253" s="82"/>
      <c r="FR253" s="82">
        <f t="shared" si="1956"/>
        <v>0</v>
      </c>
      <c r="FS253" s="82">
        <f t="shared" si="1957"/>
        <v>0</v>
      </c>
      <c r="FT253" s="82"/>
      <c r="FU253" s="82"/>
      <c r="FV253" s="82"/>
      <c r="FW253" s="82"/>
      <c r="FX253" s="82">
        <f t="shared" si="1958"/>
        <v>0</v>
      </c>
      <c r="FY253" s="82">
        <f t="shared" si="1959"/>
        <v>0</v>
      </c>
      <c r="FZ253" s="82">
        <f t="shared" si="1960"/>
        <v>0</v>
      </c>
      <c r="GA253" s="82">
        <f t="shared" si="1961"/>
        <v>0</v>
      </c>
      <c r="GB253" s="82">
        <f t="shared" si="1962"/>
        <v>0</v>
      </c>
      <c r="GC253" s="82">
        <f t="shared" si="1963"/>
        <v>0</v>
      </c>
      <c r="GD253" s="82">
        <f t="shared" si="1964"/>
        <v>0</v>
      </c>
      <c r="GE253" s="82">
        <f t="shared" si="1965"/>
        <v>0</v>
      </c>
      <c r="GF253" s="85"/>
    </row>
    <row r="254" ht="30.0" customHeight="1">
      <c r="A254" s="96">
        <v>5.0</v>
      </c>
      <c r="B254" s="58"/>
      <c r="C254" s="58" t="s">
        <v>285</v>
      </c>
      <c r="D254" s="78" t="s">
        <v>141</v>
      </c>
      <c r="E254" s="86">
        <v>19980.0</v>
      </c>
      <c r="F254" s="80" t="s">
        <v>281</v>
      </c>
      <c r="G254" s="81">
        <v>0.0</v>
      </c>
      <c r="H254" s="82"/>
      <c r="I254" s="82"/>
      <c r="J254" s="82"/>
      <c r="K254" s="82">
        <f t="shared" si="1891"/>
        <v>0</v>
      </c>
      <c r="L254" s="82">
        <f t="shared" si="1892"/>
        <v>0</v>
      </c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>
        <f t="shared" si="1893"/>
        <v>0</v>
      </c>
      <c r="AC254" s="82">
        <f t="shared" si="1894"/>
        <v>0</v>
      </c>
      <c r="AD254" s="82">
        <f t="shared" si="1807"/>
        <v>0</v>
      </c>
      <c r="AE254" s="82">
        <f>AD254*E253</f>
        <v>0</v>
      </c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>
        <f t="shared" si="1813"/>
        <v>0</v>
      </c>
      <c r="AQ254" s="82">
        <f>AP254*E253</f>
        <v>0</v>
      </c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>
        <f t="shared" si="1819"/>
        <v>0</v>
      </c>
      <c r="BD254" s="82">
        <f>BC254*E253</f>
        <v>0</v>
      </c>
      <c r="BE254" s="82"/>
      <c r="BF254" s="82"/>
      <c r="BG254" s="82">
        <f t="shared" si="1823"/>
        <v>0</v>
      </c>
      <c r="BH254" s="82">
        <f>BG254*E253</f>
        <v>0</v>
      </c>
      <c r="BI254" s="82"/>
      <c r="BJ254" s="83"/>
      <c r="BK254" s="82"/>
      <c r="BL254" s="82"/>
      <c r="BM254" s="82"/>
      <c r="BN254" s="82"/>
      <c r="BO254" s="82"/>
      <c r="BP254" s="83"/>
      <c r="BQ254" s="82"/>
      <c r="BR254" s="82"/>
      <c r="BS254" s="83"/>
      <c r="BT254" s="82"/>
      <c r="BU254" s="82"/>
      <c r="BV254" s="82"/>
      <c r="BW254" s="82"/>
      <c r="BX254" s="82"/>
      <c r="BY254" s="82">
        <f t="shared" si="1829"/>
        <v>0</v>
      </c>
      <c r="BZ254" s="82">
        <f>BY254*E253</f>
        <v>0</v>
      </c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>
        <f t="shared" si="1835"/>
        <v>0</v>
      </c>
      <c r="CL254" s="82">
        <f>CK254*E253</f>
        <v>0</v>
      </c>
      <c r="CM254" s="83">
        <v>170.0</v>
      </c>
      <c r="CN254" s="83">
        <v>0.0</v>
      </c>
      <c r="CO254" s="82">
        <f t="shared" si="1837"/>
        <v>170</v>
      </c>
      <c r="CP254" s="82">
        <f t="shared" si="1838"/>
        <v>3396600</v>
      </c>
      <c r="CQ254" s="82"/>
      <c r="CR254" s="82"/>
      <c r="CS254" s="82"/>
      <c r="CT254" s="82"/>
      <c r="CU254" s="82">
        <f t="shared" si="1919"/>
        <v>0</v>
      </c>
      <c r="CV254" s="82">
        <f t="shared" si="1920"/>
        <v>0</v>
      </c>
      <c r="CW254" s="82">
        <f t="shared" si="1841"/>
        <v>170</v>
      </c>
      <c r="CX254" s="82">
        <f t="shared" si="1921"/>
        <v>3396600</v>
      </c>
      <c r="CY254" s="82">
        <f t="shared" si="1843"/>
        <v>170</v>
      </c>
      <c r="CZ254" s="82">
        <f t="shared" si="1844"/>
        <v>0</v>
      </c>
      <c r="DA254" s="82">
        <f t="shared" si="1845"/>
        <v>170</v>
      </c>
      <c r="DB254" s="82">
        <f t="shared" si="1846"/>
        <v>3396600</v>
      </c>
      <c r="DC254" s="84">
        <v>210.0</v>
      </c>
      <c r="DD254" s="82"/>
      <c r="DE254" s="82"/>
      <c r="DF254" s="82">
        <f t="shared" si="1922"/>
        <v>0</v>
      </c>
      <c r="DG254" s="82">
        <f t="shared" si="1923"/>
        <v>0</v>
      </c>
      <c r="DH254" s="83">
        <v>5.0</v>
      </c>
      <c r="DI254" s="82"/>
      <c r="DJ254" s="82"/>
      <c r="DK254" s="82"/>
      <c r="DL254" s="82">
        <f t="shared" si="1924"/>
        <v>5</v>
      </c>
      <c r="DM254" s="82">
        <f t="shared" si="1925"/>
        <v>99900</v>
      </c>
      <c r="DN254" s="82">
        <f t="shared" si="1926"/>
        <v>165</v>
      </c>
      <c r="DO254" s="82">
        <f t="shared" si="1927"/>
        <v>3296700</v>
      </c>
      <c r="DP254" s="82"/>
      <c r="DQ254" s="82"/>
      <c r="DR254" s="82">
        <f t="shared" si="1928"/>
        <v>0</v>
      </c>
      <c r="DS254" s="82">
        <f t="shared" si="1929"/>
        <v>0</v>
      </c>
      <c r="DT254" s="82"/>
      <c r="DU254" s="82"/>
      <c r="DV254" s="82"/>
      <c r="DW254" s="82"/>
      <c r="DX254" s="82">
        <f t="shared" si="1930"/>
        <v>0</v>
      </c>
      <c r="DY254" s="82">
        <f t="shared" si="1931"/>
        <v>0</v>
      </c>
      <c r="DZ254" s="82">
        <f t="shared" si="1932"/>
        <v>165</v>
      </c>
      <c r="EA254" s="82">
        <f t="shared" si="1933"/>
        <v>3296700</v>
      </c>
      <c r="EB254" s="82"/>
      <c r="EC254" s="82"/>
      <c r="ED254" s="82">
        <f t="shared" si="1934"/>
        <v>0</v>
      </c>
      <c r="EE254" s="82">
        <f t="shared" si="1935"/>
        <v>0</v>
      </c>
      <c r="EF254" s="82"/>
      <c r="EG254" s="82"/>
      <c r="EH254" s="82"/>
      <c r="EI254" s="82"/>
      <c r="EJ254" s="82">
        <f t="shared" si="1936"/>
        <v>0</v>
      </c>
      <c r="EK254" s="82">
        <f t="shared" si="1937"/>
        <v>0</v>
      </c>
      <c r="EL254" s="82">
        <f t="shared" si="1938"/>
        <v>165</v>
      </c>
      <c r="EM254" s="82">
        <f t="shared" si="1939"/>
        <v>3296700</v>
      </c>
      <c r="EN254" s="82">
        <f t="shared" si="1940"/>
        <v>0</v>
      </c>
      <c r="EO254" s="82">
        <f t="shared" si="1941"/>
        <v>5</v>
      </c>
      <c r="EP254" s="82">
        <f t="shared" si="1942"/>
        <v>165</v>
      </c>
      <c r="EQ254" s="82">
        <f t="shared" si="1943"/>
        <v>3296700</v>
      </c>
      <c r="ER254" s="82"/>
      <c r="ES254" s="82"/>
      <c r="ET254" s="82">
        <f t="shared" si="1944"/>
        <v>0</v>
      </c>
      <c r="EU254" s="82">
        <f t="shared" si="1945"/>
        <v>0</v>
      </c>
      <c r="EV254" s="82"/>
      <c r="EW254" s="82"/>
      <c r="EX254" s="82"/>
      <c r="EY254" s="82"/>
      <c r="EZ254" s="82">
        <f t="shared" si="1946"/>
        <v>0</v>
      </c>
      <c r="FA254" s="82">
        <f t="shared" si="1947"/>
        <v>0</v>
      </c>
      <c r="FB254" s="82">
        <f t="shared" si="1948"/>
        <v>165</v>
      </c>
      <c r="FC254" s="82">
        <f t="shared" si="1949"/>
        <v>3296700</v>
      </c>
      <c r="FD254" s="82"/>
      <c r="FE254" s="82"/>
      <c r="FF254" s="82">
        <f t="shared" si="1950"/>
        <v>0</v>
      </c>
      <c r="FG254" s="82">
        <f t="shared" si="1951"/>
        <v>0</v>
      </c>
      <c r="FH254" s="82"/>
      <c r="FI254" s="82"/>
      <c r="FJ254" s="82"/>
      <c r="FK254" s="82"/>
      <c r="FL254" s="82">
        <f t="shared" si="1952"/>
        <v>0</v>
      </c>
      <c r="FM254" s="82">
        <f t="shared" si="1953"/>
        <v>0</v>
      </c>
      <c r="FN254" s="82">
        <f t="shared" si="1954"/>
        <v>165</v>
      </c>
      <c r="FO254" s="82">
        <f t="shared" si="1955"/>
        <v>3296700</v>
      </c>
      <c r="FP254" s="82"/>
      <c r="FQ254" s="82"/>
      <c r="FR254" s="82">
        <f t="shared" si="1956"/>
        <v>0</v>
      </c>
      <c r="FS254" s="82">
        <f t="shared" si="1957"/>
        <v>0</v>
      </c>
      <c r="FT254" s="82"/>
      <c r="FU254" s="82"/>
      <c r="FV254" s="82"/>
      <c r="FW254" s="82"/>
      <c r="FX254" s="82">
        <f t="shared" si="1958"/>
        <v>0</v>
      </c>
      <c r="FY254" s="82">
        <f t="shared" si="1959"/>
        <v>0</v>
      </c>
      <c r="FZ254" s="82">
        <f t="shared" si="1960"/>
        <v>165</v>
      </c>
      <c r="GA254" s="82">
        <f t="shared" si="1961"/>
        <v>3296700</v>
      </c>
      <c r="GB254" s="82">
        <f t="shared" si="1962"/>
        <v>0</v>
      </c>
      <c r="GC254" s="82">
        <f t="shared" si="1963"/>
        <v>0</v>
      </c>
      <c r="GD254" s="82">
        <f t="shared" si="1964"/>
        <v>165</v>
      </c>
      <c r="GE254" s="82">
        <f t="shared" si="1965"/>
        <v>3296700</v>
      </c>
      <c r="GF254" s="85"/>
    </row>
    <row r="255" ht="30.0" customHeight="1">
      <c r="A255" s="96">
        <v>6.0</v>
      </c>
      <c r="B255" s="58"/>
      <c r="C255" s="100" t="s">
        <v>286</v>
      </c>
      <c r="D255" s="89" t="s">
        <v>121</v>
      </c>
      <c r="E255" s="86">
        <v>49950.0</v>
      </c>
      <c r="F255" s="80" t="s">
        <v>280</v>
      </c>
      <c r="G255" s="81">
        <v>68.0</v>
      </c>
      <c r="H255" s="82">
        <v>3396600.0</v>
      </c>
      <c r="I255" s="82"/>
      <c r="J255" s="82"/>
      <c r="K255" s="82">
        <f t="shared" si="1891"/>
        <v>0</v>
      </c>
      <c r="L255" s="82">
        <f t="shared" si="1892"/>
        <v>0</v>
      </c>
      <c r="M255" s="83">
        <v>4.0</v>
      </c>
      <c r="N255" s="82"/>
      <c r="O255" s="83">
        <v>4.0</v>
      </c>
      <c r="P255" s="83">
        <v>4.0</v>
      </c>
      <c r="Q255" s="83">
        <v>4.0</v>
      </c>
      <c r="R255" s="83">
        <v>4.0</v>
      </c>
      <c r="S255" s="83">
        <v>4.0</v>
      </c>
      <c r="T255" s="83">
        <v>4.0</v>
      </c>
      <c r="U255" s="83">
        <v>4.0</v>
      </c>
      <c r="V255" s="83">
        <v>4.0</v>
      </c>
      <c r="W255" s="83">
        <v>4.0</v>
      </c>
      <c r="X255" s="83">
        <v>4.0</v>
      </c>
      <c r="Y255" s="83">
        <v>4.0</v>
      </c>
      <c r="Z255" s="83">
        <v>4.0</v>
      </c>
      <c r="AA255" s="82"/>
      <c r="AB255" s="82">
        <f t="shared" si="1893"/>
        <v>52</v>
      </c>
      <c r="AC255" s="82">
        <f t="shared" si="1894"/>
        <v>2597400</v>
      </c>
      <c r="AD255" s="82">
        <f t="shared" si="1807"/>
        <v>16</v>
      </c>
      <c r="AE255" s="82">
        <f>AD255*E255</f>
        <v>799200</v>
      </c>
      <c r="AF255" s="82"/>
      <c r="AG255" s="82"/>
      <c r="AH255" s="82">
        <f>SUM(AF255:AG255)</f>
        <v>0</v>
      </c>
      <c r="AI255" s="82">
        <f>AH255*E255</f>
        <v>0</v>
      </c>
      <c r="AJ255" s="83">
        <v>4.0</v>
      </c>
      <c r="AK255" s="82"/>
      <c r="AL255" s="82"/>
      <c r="AM255" s="82"/>
      <c r="AN255" s="82">
        <f>SUM(AJ255:AM255)</f>
        <v>4</v>
      </c>
      <c r="AO255" s="82">
        <f>AN255*E255</f>
        <v>199800</v>
      </c>
      <c r="AP255" s="82">
        <f t="shared" si="1813"/>
        <v>12</v>
      </c>
      <c r="AQ255" s="82">
        <f>AP255*E255</f>
        <v>599400</v>
      </c>
      <c r="AR255" s="82"/>
      <c r="AS255" s="82"/>
      <c r="AT255" s="82"/>
      <c r="AU255" s="82">
        <f>SUM(AS255:AT255)</f>
        <v>0</v>
      </c>
      <c r="AV255" s="82">
        <f>AU255*AB255</f>
        <v>0</v>
      </c>
      <c r="AW255" s="82"/>
      <c r="AX255" s="82"/>
      <c r="AY255" s="82"/>
      <c r="AZ255" s="82"/>
      <c r="BA255" s="82">
        <f>SUM(AW255:AZ255)</f>
        <v>0</v>
      </c>
      <c r="BB255" s="82">
        <f>BA255*AB255</f>
        <v>0</v>
      </c>
      <c r="BC255" s="82">
        <f t="shared" si="1819"/>
        <v>12</v>
      </c>
      <c r="BD255" s="82">
        <f>BC255*E255</f>
        <v>599400</v>
      </c>
      <c r="BE255" s="82">
        <f>K255+AH255+AU255</f>
        <v>0</v>
      </c>
      <c r="BF255" s="82">
        <f>AB255+AN255+BA255</f>
        <v>56</v>
      </c>
      <c r="BG255" s="82">
        <f t="shared" si="1823"/>
        <v>12</v>
      </c>
      <c r="BH255" s="82">
        <f>BG255*E255</f>
        <v>599400</v>
      </c>
      <c r="BI255" s="82"/>
      <c r="BJ255" s="83"/>
      <c r="BK255" s="82">
        <f>SUM(BI255:BJ255)</f>
        <v>0</v>
      </c>
      <c r="BL255" s="82">
        <f>BK255*E255</f>
        <v>0</v>
      </c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>
        <f>SUM(BM255:BV255)</f>
        <v>0</v>
      </c>
      <c r="BX255" s="82">
        <f>BW255*E255</f>
        <v>0</v>
      </c>
      <c r="BY255" s="82">
        <f t="shared" si="1829"/>
        <v>12</v>
      </c>
      <c r="BZ255" s="82">
        <f>BY255*E255</f>
        <v>599400</v>
      </c>
      <c r="CA255" s="82"/>
      <c r="CB255" s="82"/>
      <c r="CC255" s="82">
        <f>sum(CA255:CB255)</f>
        <v>0</v>
      </c>
      <c r="CD255" s="82">
        <f>CC255*E255</f>
        <v>0</v>
      </c>
      <c r="CE255" s="82"/>
      <c r="CF255" s="82"/>
      <c r="CG255" s="82"/>
      <c r="CH255" s="82"/>
      <c r="CI255" s="82">
        <f>sum(CE255:CH255)</f>
        <v>0</v>
      </c>
      <c r="CJ255" s="82">
        <f>CI255*E255</f>
        <v>0</v>
      </c>
      <c r="CK255" s="82">
        <f t="shared" si="1835"/>
        <v>12</v>
      </c>
      <c r="CL255" s="82">
        <f>CK255*E255</f>
        <v>599400</v>
      </c>
      <c r="CM255" s="82"/>
      <c r="CN255" s="82"/>
      <c r="CO255" s="82">
        <f t="shared" si="1837"/>
        <v>0</v>
      </c>
      <c r="CP255" s="82">
        <f t="shared" si="1838"/>
        <v>0</v>
      </c>
      <c r="CQ255" s="82"/>
      <c r="CR255" s="82"/>
      <c r="CS255" s="82"/>
      <c r="CT255" s="82"/>
      <c r="CU255" s="82">
        <f t="shared" si="1919"/>
        <v>0</v>
      </c>
      <c r="CV255" s="82">
        <f t="shared" si="1920"/>
        <v>0</v>
      </c>
      <c r="CW255" s="82">
        <f t="shared" si="1841"/>
        <v>12</v>
      </c>
      <c r="CX255" s="82">
        <f t="shared" si="1921"/>
        <v>599400</v>
      </c>
      <c r="CY255" s="82">
        <f t="shared" si="1843"/>
        <v>0</v>
      </c>
      <c r="CZ255" s="82">
        <f t="shared" si="1844"/>
        <v>0</v>
      </c>
      <c r="DA255" s="82">
        <f t="shared" si="1845"/>
        <v>12</v>
      </c>
      <c r="DB255" s="82">
        <f t="shared" si="1846"/>
        <v>599400</v>
      </c>
      <c r="DC255" s="91"/>
      <c r="DD255" s="82"/>
      <c r="DE255" s="82"/>
      <c r="DF255" s="82">
        <f t="shared" si="1922"/>
        <v>0</v>
      </c>
      <c r="DG255" s="82">
        <f t="shared" si="1923"/>
        <v>0</v>
      </c>
      <c r="DH255" s="82"/>
      <c r="DI255" s="82"/>
      <c r="DJ255" s="82"/>
      <c r="DK255" s="82"/>
      <c r="DL255" s="82">
        <f t="shared" si="1924"/>
        <v>0</v>
      </c>
      <c r="DM255" s="82">
        <f t="shared" si="1925"/>
        <v>0</v>
      </c>
      <c r="DN255" s="82">
        <f t="shared" si="1926"/>
        <v>12</v>
      </c>
      <c r="DO255" s="82">
        <f t="shared" si="1927"/>
        <v>599400</v>
      </c>
      <c r="DP255" s="82"/>
      <c r="DQ255" s="82"/>
      <c r="DR255" s="82">
        <f t="shared" si="1928"/>
        <v>0</v>
      </c>
      <c r="DS255" s="82">
        <f t="shared" si="1929"/>
        <v>0</v>
      </c>
      <c r="DT255" s="82"/>
      <c r="DU255" s="82"/>
      <c r="DV255" s="82"/>
      <c r="DW255" s="82"/>
      <c r="DX255" s="82">
        <f t="shared" si="1930"/>
        <v>0</v>
      </c>
      <c r="DY255" s="82">
        <f t="shared" si="1931"/>
        <v>0</v>
      </c>
      <c r="DZ255" s="82">
        <f t="shared" si="1932"/>
        <v>12</v>
      </c>
      <c r="EA255" s="82">
        <f t="shared" si="1933"/>
        <v>599400</v>
      </c>
      <c r="EB255" s="82"/>
      <c r="EC255" s="82"/>
      <c r="ED255" s="82">
        <f t="shared" si="1934"/>
        <v>0</v>
      </c>
      <c r="EE255" s="82">
        <f t="shared" si="1935"/>
        <v>0</v>
      </c>
      <c r="EF255" s="82"/>
      <c r="EG255" s="82"/>
      <c r="EH255" s="82"/>
      <c r="EI255" s="82"/>
      <c r="EJ255" s="82">
        <f t="shared" si="1936"/>
        <v>0</v>
      </c>
      <c r="EK255" s="82">
        <f t="shared" si="1937"/>
        <v>0</v>
      </c>
      <c r="EL255" s="82">
        <f t="shared" si="1938"/>
        <v>12</v>
      </c>
      <c r="EM255" s="82">
        <f t="shared" si="1939"/>
        <v>599400</v>
      </c>
      <c r="EN255" s="82">
        <f t="shared" si="1940"/>
        <v>0</v>
      </c>
      <c r="EO255" s="82">
        <f t="shared" si="1941"/>
        <v>0</v>
      </c>
      <c r="EP255" s="82">
        <f t="shared" si="1942"/>
        <v>12</v>
      </c>
      <c r="EQ255" s="82">
        <f t="shared" si="1943"/>
        <v>599400</v>
      </c>
      <c r="ER255" s="82"/>
      <c r="ES255" s="82"/>
      <c r="ET255" s="82">
        <f t="shared" si="1944"/>
        <v>0</v>
      </c>
      <c r="EU255" s="82">
        <f t="shared" si="1945"/>
        <v>0</v>
      </c>
      <c r="EV255" s="82"/>
      <c r="EW255" s="82"/>
      <c r="EX255" s="82"/>
      <c r="EY255" s="82"/>
      <c r="EZ255" s="82">
        <f t="shared" si="1946"/>
        <v>0</v>
      </c>
      <c r="FA255" s="82">
        <f t="shared" si="1947"/>
        <v>0</v>
      </c>
      <c r="FB255" s="82">
        <f t="shared" si="1948"/>
        <v>12</v>
      </c>
      <c r="FC255" s="82">
        <f t="shared" si="1949"/>
        <v>599400</v>
      </c>
      <c r="FD255" s="82"/>
      <c r="FE255" s="82"/>
      <c r="FF255" s="82">
        <f t="shared" si="1950"/>
        <v>0</v>
      </c>
      <c r="FG255" s="82">
        <f t="shared" si="1951"/>
        <v>0</v>
      </c>
      <c r="FH255" s="82"/>
      <c r="FI255" s="82"/>
      <c r="FJ255" s="82"/>
      <c r="FK255" s="82"/>
      <c r="FL255" s="82">
        <f t="shared" si="1952"/>
        <v>0</v>
      </c>
      <c r="FM255" s="82">
        <f t="shared" si="1953"/>
        <v>0</v>
      </c>
      <c r="FN255" s="82">
        <f t="shared" si="1954"/>
        <v>12</v>
      </c>
      <c r="FO255" s="82">
        <f t="shared" si="1955"/>
        <v>599400</v>
      </c>
      <c r="FP255" s="82"/>
      <c r="FQ255" s="82"/>
      <c r="FR255" s="82">
        <f t="shared" si="1956"/>
        <v>0</v>
      </c>
      <c r="FS255" s="82">
        <f t="shared" si="1957"/>
        <v>0</v>
      </c>
      <c r="FT255" s="82"/>
      <c r="FU255" s="82"/>
      <c r="FV255" s="82"/>
      <c r="FW255" s="82"/>
      <c r="FX255" s="82">
        <f t="shared" si="1958"/>
        <v>0</v>
      </c>
      <c r="FY255" s="82">
        <f t="shared" si="1959"/>
        <v>0</v>
      </c>
      <c r="FZ255" s="82">
        <f t="shared" si="1960"/>
        <v>12</v>
      </c>
      <c r="GA255" s="82">
        <f t="shared" si="1961"/>
        <v>599400</v>
      </c>
      <c r="GB255" s="82">
        <f t="shared" si="1962"/>
        <v>0</v>
      </c>
      <c r="GC255" s="82">
        <f t="shared" si="1963"/>
        <v>0</v>
      </c>
      <c r="GD255" s="82">
        <f t="shared" si="1964"/>
        <v>12</v>
      </c>
      <c r="GE255" s="82">
        <f t="shared" si="1965"/>
        <v>599400</v>
      </c>
      <c r="GF255" s="85"/>
    </row>
    <row r="256" ht="30.0" customHeight="1">
      <c r="A256" s="96">
        <v>7.0</v>
      </c>
      <c r="B256" s="58"/>
      <c r="C256" s="58" t="s">
        <v>287</v>
      </c>
      <c r="D256" s="78" t="s">
        <v>141</v>
      </c>
      <c r="E256" s="86">
        <v>19980.0</v>
      </c>
      <c r="F256" s="80" t="s">
        <v>281</v>
      </c>
      <c r="G256" s="81">
        <v>0.0</v>
      </c>
      <c r="H256" s="82"/>
      <c r="I256" s="82"/>
      <c r="J256" s="82"/>
      <c r="K256" s="82">
        <f t="shared" si="1891"/>
        <v>0</v>
      </c>
      <c r="L256" s="82">
        <f t="shared" si="1892"/>
        <v>0</v>
      </c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>
        <f t="shared" si="1893"/>
        <v>0</v>
      </c>
      <c r="AC256" s="82">
        <f t="shared" si="1894"/>
        <v>0</v>
      </c>
      <c r="AD256" s="82">
        <f t="shared" si="1807"/>
        <v>0</v>
      </c>
      <c r="AE256" s="82">
        <f>AD256*E255</f>
        <v>0</v>
      </c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>
        <f t="shared" si="1813"/>
        <v>0</v>
      </c>
      <c r="AQ256" s="82">
        <f>AP256*E255</f>
        <v>0</v>
      </c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>
        <f t="shared" si="1819"/>
        <v>0</v>
      </c>
      <c r="BD256" s="82">
        <f>BC256*E255</f>
        <v>0</v>
      </c>
      <c r="BE256" s="82"/>
      <c r="BF256" s="82"/>
      <c r="BG256" s="82">
        <f t="shared" si="1823"/>
        <v>0</v>
      </c>
      <c r="BH256" s="82">
        <f>BG256*E255</f>
        <v>0</v>
      </c>
      <c r="BI256" s="82"/>
      <c r="BJ256" s="83"/>
      <c r="BK256" s="82"/>
      <c r="BL256" s="82"/>
      <c r="BM256" s="82"/>
      <c r="BN256" s="82"/>
      <c r="BO256" s="82"/>
      <c r="BP256" s="83"/>
      <c r="BQ256" s="82"/>
      <c r="BR256" s="82"/>
      <c r="BS256" s="83"/>
      <c r="BT256" s="82"/>
      <c r="BU256" s="82"/>
      <c r="BV256" s="82"/>
      <c r="BW256" s="82"/>
      <c r="BX256" s="82"/>
      <c r="BY256" s="82">
        <f t="shared" si="1829"/>
        <v>0</v>
      </c>
      <c r="BZ256" s="82">
        <f>BY256*E255</f>
        <v>0</v>
      </c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>
        <f t="shared" si="1835"/>
        <v>0</v>
      </c>
      <c r="CL256" s="82">
        <f>CK256*E255</f>
        <v>0</v>
      </c>
      <c r="CM256" s="82"/>
      <c r="CN256" s="82"/>
      <c r="CO256" s="82">
        <f t="shared" si="1837"/>
        <v>0</v>
      </c>
      <c r="CP256" s="82">
        <f t="shared" si="1838"/>
        <v>0</v>
      </c>
      <c r="CQ256" s="82"/>
      <c r="CR256" s="82"/>
      <c r="CS256" s="82"/>
      <c r="CT256" s="82"/>
      <c r="CU256" s="82">
        <f t="shared" si="1919"/>
        <v>0</v>
      </c>
      <c r="CV256" s="82">
        <f t="shared" si="1920"/>
        <v>0</v>
      </c>
      <c r="CW256" s="82">
        <f t="shared" si="1841"/>
        <v>0</v>
      </c>
      <c r="CX256" s="82">
        <f t="shared" si="1921"/>
        <v>0</v>
      </c>
      <c r="CY256" s="82">
        <f t="shared" si="1843"/>
        <v>0</v>
      </c>
      <c r="CZ256" s="82">
        <f t="shared" si="1844"/>
        <v>0</v>
      </c>
      <c r="DA256" s="82">
        <f t="shared" si="1845"/>
        <v>0</v>
      </c>
      <c r="DB256" s="82">
        <f t="shared" si="1846"/>
        <v>0</v>
      </c>
      <c r="DC256" s="84">
        <v>166.0</v>
      </c>
      <c r="DD256" s="82"/>
      <c r="DE256" s="82"/>
      <c r="DF256" s="82">
        <f t="shared" si="1922"/>
        <v>0</v>
      </c>
      <c r="DG256" s="82">
        <f t="shared" si="1923"/>
        <v>0</v>
      </c>
      <c r="DH256" s="83">
        <v>5.0</v>
      </c>
      <c r="DI256" s="82"/>
      <c r="DJ256" s="82"/>
      <c r="DK256" s="82"/>
      <c r="DL256" s="82">
        <f t="shared" si="1924"/>
        <v>5</v>
      </c>
      <c r="DM256" s="82">
        <f t="shared" si="1925"/>
        <v>99900</v>
      </c>
      <c r="DN256" s="82">
        <f t="shared" si="1926"/>
        <v>-5</v>
      </c>
      <c r="DO256" s="82">
        <f t="shared" si="1927"/>
        <v>-99900</v>
      </c>
      <c r="DP256" s="82"/>
      <c r="DQ256" s="82"/>
      <c r="DR256" s="82">
        <f t="shared" si="1928"/>
        <v>0</v>
      </c>
      <c r="DS256" s="82">
        <f t="shared" si="1929"/>
        <v>0</v>
      </c>
      <c r="DT256" s="82"/>
      <c r="DU256" s="82"/>
      <c r="DV256" s="82"/>
      <c r="DW256" s="82"/>
      <c r="DX256" s="82">
        <f t="shared" si="1930"/>
        <v>0</v>
      </c>
      <c r="DY256" s="82">
        <f t="shared" si="1931"/>
        <v>0</v>
      </c>
      <c r="DZ256" s="82">
        <f t="shared" si="1932"/>
        <v>-5</v>
      </c>
      <c r="EA256" s="82">
        <f t="shared" si="1933"/>
        <v>-99900</v>
      </c>
      <c r="EB256" s="82"/>
      <c r="EC256" s="82"/>
      <c r="ED256" s="82">
        <f t="shared" si="1934"/>
        <v>0</v>
      </c>
      <c r="EE256" s="82">
        <f t="shared" si="1935"/>
        <v>0</v>
      </c>
      <c r="EF256" s="82"/>
      <c r="EG256" s="82"/>
      <c r="EH256" s="82"/>
      <c r="EI256" s="82"/>
      <c r="EJ256" s="82">
        <f t="shared" si="1936"/>
        <v>0</v>
      </c>
      <c r="EK256" s="82">
        <f t="shared" si="1937"/>
        <v>0</v>
      </c>
      <c r="EL256" s="82">
        <f t="shared" si="1938"/>
        <v>-5</v>
      </c>
      <c r="EM256" s="82">
        <f t="shared" si="1939"/>
        <v>-99900</v>
      </c>
      <c r="EN256" s="82">
        <f t="shared" si="1940"/>
        <v>0</v>
      </c>
      <c r="EO256" s="82">
        <f t="shared" si="1941"/>
        <v>5</v>
      </c>
      <c r="EP256" s="82">
        <f t="shared" si="1942"/>
        <v>-5</v>
      </c>
      <c r="EQ256" s="82">
        <f t="shared" si="1943"/>
        <v>-99900</v>
      </c>
      <c r="ER256" s="82"/>
      <c r="ES256" s="82"/>
      <c r="ET256" s="82">
        <f t="shared" si="1944"/>
        <v>0</v>
      </c>
      <c r="EU256" s="82">
        <f t="shared" si="1945"/>
        <v>0</v>
      </c>
      <c r="EV256" s="82"/>
      <c r="EW256" s="82"/>
      <c r="EX256" s="82"/>
      <c r="EY256" s="82"/>
      <c r="EZ256" s="82">
        <f t="shared" si="1946"/>
        <v>0</v>
      </c>
      <c r="FA256" s="82">
        <f t="shared" si="1947"/>
        <v>0</v>
      </c>
      <c r="FB256" s="82">
        <f t="shared" si="1948"/>
        <v>-5</v>
      </c>
      <c r="FC256" s="82">
        <f t="shared" si="1949"/>
        <v>-99900</v>
      </c>
      <c r="FD256" s="82"/>
      <c r="FE256" s="82"/>
      <c r="FF256" s="82">
        <f t="shared" si="1950"/>
        <v>0</v>
      </c>
      <c r="FG256" s="82">
        <f t="shared" si="1951"/>
        <v>0</v>
      </c>
      <c r="FH256" s="82"/>
      <c r="FI256" s="82"/>
      <c r="FJ256" s="82"/>
      <c r="FK256" s="82"/>
      <c r="FL256" s="82">
        <f t="shared" si="1952"/>
        <v>0</v>
      </c>
      <c r="FM256" s="82">
        <f t="shared" si="1953"/>
        <v>0</v>
      </c>
      <c r="FN256" s="82">
        <f t="shared" si="1954"/>
        <v>-5</v>
      </c>
      <c r="FO256" s="82">
        <f t="shared" si="1955"/>
        <v>-99900</v>
      </c>
      <c r="FP256" s="82"/>
      <c r="FQ256" s="82"/>
      <c r="FR256" s="82">
        <f t="shared" si="1956"/>
        <v>0</v>
      </c>
      <c r="FS256" s="82">
        <f t="shared" si="1957"/>
        <v>0</v>
      </c>
      <c r="FT256" s="82"/>
      <c r="FU256" s="82"/>
      <c r="FV256" s="82"/>
      <c r="FW256" s="82"/>
      <c r="FX256" s="82">
        <f t="shared" si="1958"/>
        <v>0</v>
      </c>
      <c r="FY256" s="82">
        <f t="shared" si="1959"/>
        <v>0</v>
      </c>
      <c r="FZ256" s="82">
        <f t="shared" si="1960"/>
        <v>-5</v>
      </c>
      <c r="GA256" s="82">
        <f t="shared" si="1961"/>
        <v>-99900</v>
      </c>
      <c r="GB256" s="82">
        <f t="shared" si="1962"/>
        <v>0</v>
      </c>
      <c r="GC256" s="82">
        <f t="shared" si="1963"/>
        <v>0</v>
      </c>
      <c r="GD256" s="82">
        <f t="shared" si="1964"/>
        <v>-5</v>
      </c>
      <c r="GE256" s="82">
        <f t="shared" si="1965"/>
        <v>-99900</v>
      </c>
      <c r="GF256" s="85"/>
    </row>
    <row r="257" ht="30.0" customHeight="1">
      <c r="A257" s="96">
        <v>8.0</v>
      </c>
      <c r="B257" s="58"/>
      <c r="C257" s="100" t="s">
        <v>288</v>
      </c>
      <c r="D257" s="89" t="s">
        <v>121</v>
      </c>
      <c r="E257" s="86">
        <v>19980.0</v>
      </c>
      <c r="F257" s="80" t="s">
        <v>280</v>
      </c>
      <c r="G257" s="81">
        <v>68.0</v>
      </c>
      <c r="H257" s="123">
        <v>3396600.0</v>
      </c>
      <c r="I257" s="82"/>
      <c r="J257" s="82"/>
      <c r="K257" s="82">
        <f t="shared" si="1891"/>
        <v>0</v>
      </c>
      <c r="L257" s="82">
        <f t="shared" si="1892"/>
        <v>0</v>
      </c>
      <c r="M257" s="83">
        <v>4.0</v>
      </c>
      <c r="N257" s="82"/>
      <c r="O257" s="83">
        <v>4.0</v>
      </c>
      <c r="P257" s="83">
        <v>4.0</v>
      </c>
      <c r="Q257" s="83">
        <v>4.0</v>
      </c>
      <c r="R257" s="83">
        <v>4.0</v>
      </c>
      <c r="S257" s="83">
        <v>4.0</v>
      </c>
      <c r="T257" s="83">
        <v>4.0</v>
      </c>
      <c r="U257" s="83">
        <v>4.0</v>
      </c>
      <c r="V257" s="83">
        <v>4.0</v>
      </c>
      <c r="W257" s="83">
        <v>4.0</v>
      </c>
      <c r="X257" s="83">
        <v>4.0</v>
      </c>
      <c r="Y257" s="83">
        <v>4.0</v>
      </c>
      <c r="Z257" s="83">
        <v>4.0</v>
      </c>
      <c r="AA257" s="82"/>
      <c r="AB257" s="82">
        <f t="shared" si="1893"/>
        <v>52</v>
      </c>
      <c r="AC257" s="82">
        <f t="shared" si="1894"/>
        <v>1038960</v>
      </c>
      <c r="AD257" s="82">
        <f t="shared" si="1807"/>
        <v>16</v>
      </c>
      <c r="AE257" s="82">
        <f t="shared" ref="AE257:AE258" si="1966">AD257*E257</f>
        <v>319680</v>
      </c>
      <c r="AF257" s="82"/>
      <c r="AG257" s="82"/>
      <c r="AH257" s="82">
        <f t="shared" ref="AH257:AH258" si="1967">SUM(AF257:AG257)</f>
        <v>0</v>
      </c>
      <c r="AI257" s="82">
        <f t="shared" ref="AI257:AI258" si="1968">AH257*E257</f>
        <v>0</v>
      </c>
      <c r="AJ257" s="83">
        <v>4.0</v>
      </c>
      <c r="AK257" s="82"/>
      <c r="AL257" s="82"/>
      <c r="AM257" s="82"/>
      <c r="AN257" s="82">
        <f t="shared" ref="AN257:AN258" si="1969">SUM(AJ257:AM257)</f>
        <v>4</v>
      </c>
      <c r="AO257" s="82">
        <f t="shared" ref="AO257:AO258" si="1970">AN257*E257</f>
        <v>79920</v>
      </c>
      <c r="AP257" s="82">
        <f t="shared" si="1813"/>
        <v>12</v>
      </c>
      <c r="AQ257" s="82">
        <f t="shared" ref="AQ257:AQ258" si="1971">AP257*E257</f>
        <v>239760</v>
      </c>
      <c r="AR257" s="82"/>
      <c r="AS257" s="82"/>
      <c r="AT257" s="82"/>
      <c r="AU257" s="82">
        <f t="shared" ref="AU257:AU258" si="1972">SUM(AS257:AT257)</f>
        <v>0</v>
      </c>
      <c r="AV257" s="82">
        <f t="shared" ref="AV257:AV258" si="1973">AU257*AB257</f>
        <v>0</v>
      </c>
      <c r="AW257" s="82"/>
      <c r="AX257" s="82"/>
      <c r="AY257" s="82"/>
      <c r="AZ257" s="82"/>
      <c r="BA257" s="82">
        <f t="shared" ref="BA257:BA258" si="1974">SUM(AW257:AZ257)</f>
        <v>0</v>
      </c>
      <c r="BB257" s="82">
        <f t="shared" ref="BB257:BB258" si="1975">BA257*AB257</f>
        <v>0</v>
      </c>
      <c r="BC257" s="82">
        <f t="shared" si="1819"/>
        <v>12</v>
      </c>
      <c r="BD257" s="82">
        <f t="shared" ref="BD257:BD258" si="1976">BC257*E257</f>
        <v>239760</v>
      </c>
      <c r="BE257" s="82">
        <f t="shared" ref="BE257:BE258" si="1977">K257+AH257+AU257</f>
        <v>0</v>
      </c>
      <c r="BF257" s="82">
        <f t="shared" ref="BF257:BF258" si="1978">AB257+AN257+BA257</f>
        <v>56</v>
      </c>
      <c r="BG257" s="82">
        <f t="shared" si="1823"/>
        <v>12</v>
      </c>
      <c r="BH257" s="82">
        <f t="shared" ref="BH257:BH258" si="1979">BG257*E257</f>
        <v>239760</v>
      </c>
      <c r="BI257" s="82"/>
      <c r="BJ257" s="83"/>
      <c r="BK257" s="82">
        <f t="shared" ref="BK257:BK258" si="1980">SUM(BI257:BJ257)</f>
        <v>0</v>
      </c>
      <c r="BL257" s="82">
        <f t="shared" ref="BL257:BL258" si="1981">BK257*E257</f>
        <v>0</v>
      </c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>
        <f t="shared" ref="BW257:BW258" si="1982">SUM(BM257:BV257)</f>
        <v>0</v>
      </c>
      <c r="BX257" s="82">
        <f t="shared" ref="BX257:BX258" si="1983">BW257*E257</f>
        <v>0</v>
      </c>
      <c r="BY257" s="82">
        <f t="shared" si="1829"/>
        <v>12</v>
      </c>
      <c r="BZ257" s="82">
        <f t="shared" ref="BZ257:BZ258" si="1984">BY257*E257</f>
        <v>239760</v>
      </c>
      <c r="CA257" s="82"/>
      <c r="CB257" s="82"/>
      <c r="CC257" s="82">
        <f t="shared" ref="CC257:CC258" si="1985">sum(CA257:CB257)</f>
        <v>0</v>
      </c>
      <c r="CD257" s="82">
        <f t="shared" ref="CD257:CD258" si="1986">CC257*E257</f>
        <v>0</v>
      </c>
      <c r="CE257" s="82"/>
      <c r="CF257" s="82"/>
      <c r="CG257" s="82"/>
      <c r="CH257" s="82"/>
      <c r="CI257" s="82">
        <f t="shared" ref="CI257:CI258" si="1987">sum(CE257:CH257)</f>
        <v>0</v>
      </c>
      <c r="CJ257" s="82">
        <f t="shared" ref="CJ257:CJ258" si="1988">CI257*E257</f>
        <v>0</v>
      </c>
      <c r="CK257" s="82">
        <f t="shared" si="1835"/>
        <v>12</v>
      </c>
      <c r="CL257" s="82">
        <f t="shared" ref="CL257:CL258" si="1989">CK257*E257</f>
        <v>239760</v>
      </c>
      <c r="CM257" s="83">
        <v>170.0</v>
      </c>
      <c r="CN257" s="82"/>
      <c r="CO257" s="82">
        <f t="shared" si="1837"/>
        <v>170</v>
      </c>
      <c r="CP257" s="82">
        <f t="shared" si="1838"/>
        <v>3396600</v>
      </c>
      <c r="CQ257" s="82"/>
      <c r="CR257" s="82"/>
      <c r="CS257" s="82"/>
      <c r="CT257" s="82"/>
      <c r="CU257" s="82">
        <f t="shared" si="1919"/>
        <v>0</v>
      </c>
      <c r="CV257" s="82">
        <f t="shared" si="1920"/>
        <v>0</v>
      </c>
      <c r="CW257" s="82">
        <f t="shared" si="1841"/>
        <v>182</v>
      </c>
      <c r="CX257" s="82">
        <f>(CO257*E257)+(CK257*E256)</f>
        <v>3636360</v>
      </c>
      <c r="CY257" s="82">
        <f t="shared" si="1843"/>
        <v>170</v>
      </c>
      <c r="CZ257" s="82">
        <f t="shared" si="1844"/>
        <v>0</v>
      </c>
      <c r="DA257" s="82">
        <f t="shared" si="1845"/>
        <v>182</v>
      </c>
      <c r="DB257" s="82">
        <f t="shared" si="1846"/>
        <v>3636360</v>
      </c>
      <c r="DC257" s="91"/>
      <c r="DD257" s="82"/>
      <c r="DE257" s="82"/>
      <c r="DF257" s="82">
        <f t="shared" si="1922"/>
        <v>0</v>
      </c>
      <c r="DG257" s="82">
        <f t="shared" si="1923"/>
        <v>0</v>
      </c>
      <c r="DH257" s="82"/>
      <c r="DI257" s="82"/>
      <c r="DJ257" s="82"/>
      <c r="DK257" s="82"/>
      <c r="DL257" s="82">
        <f t="shared" si="1924"/>
        <v>0</v>
      </c>
      <c r="DM257" s="82">
        <f t="shared" si="1925"/>
        <v>0</v>
      </c>
      <c r="DN257" s="82">
        <f t="shared" si="1926"/>
        <v>182</v>
      </c>
      <c r="DO257" s="82">
        <f t="shared" si="1927"/>
        <v>3636360</v>
      </c>
      <c r="DP257" s="82"/>
      <c r="DQ257" s="82"/>
      <c r="DR257" s="82">
        <f t="shared" si="1928"/>
        <v>0</v>
      </c>
      <c r="DS257" s="82">
        <f t="shared" si="1929"/>
        <v>0</v>
      </c>
      <c r="DT257" s="82"/>
      <c r="DU257" s="82"/>
      <c r="DV257" s="82"/>
      <c r="DW257" s="82"/>
      <c r="DX257" s="82">
        <f t="shared" si="1930"/>
        <v>0</v>
      </c>
      <c r="DY257" s="82">
        <f t="shared" si="1931"/>
        <v>0</v>
      </c>
      <c r="DZ257" s="82">
        <f t="shared" si="1932"/>
        <v>182</v>
      </c>
      <c r="EA257" s="82">
        <f t="shared" si="1933"/>
        <v>3636360</v>
      </c>
      <c r="EB257" s="82"/>
      <c r="EC257" s="82"/>
      <c r="ED257" s="82">
        <f t="shared" si="1934"/>
        <v>0</v>
      </c>
      <c r="EE257" s="82">
        <f t="shared" si="1935"/>
        <v>0</v>
      </c>
      <c r="EF257" s="82"/>
      <c r="EG257" s="82"/>
      <c r="EH257" s="82"/>
      <c r="EI257" s="82"/>
      <c r="EJ257" s="82">
        <f t="shared" si="1936"/>
        <v>0</v>
      </c>
      <c r="EK257" s="82">
        <f t="shared" si="1937"/>
        <v>0</v>
      </c>
      <c r="EL257" s="82">
        <f t="shared" si="1938"/>
        <v>182</v>
      </c>
      <c r="EM257" s="82">
        <f t="shared" si="1939"/>
        <v>3636360</v>
      </c>
      <c r="EN257" s="82">
        <f t="shared" si="1940"/>
        <v>0</v>
      </c>
      <c r="EO257" s="82">
        <f t="shared" si="1941"/>
        <v>0</v>
      </c>
      <c r="EP257" s="82">
        <f t="shared" si="1942"/>
        <v>182</v>
      </c>
      <c r="EQ257" s="82">
        <f t="shared" si="1943"/>
        <v>3636360</v>
      </c>
      <c r="ER257" s="82"/>
      <c r="ES257" s="82"/>
      <c r="ET257" s="82">
        <f t="shared" si="1944"/>
        <v>0</v>
      </c>
      <c r="EU257" s="82">
        <f t="shared" si="1945"/>
        <v>0</v>
      </c>
      <c r="EV257" s="82"/>
      <c r="EW257" s="82"/>
      <c r="EX257" s="82"/>
      <c r="EY257" s="82"/>
      <c r="EZ257" s="82">
        <f t="shared" si="1946"/>
        <v>0</v>
      </c>
      <c r="FA257" s="82">
        <f t="shared" si="1947"/>
        <v>0</v>
      </c>
      <c r="FB257" s="82">
        <f t="shared" si="1948"/>
        <v>182</v>
      </c>
      <c r="FC257" s="82">
        <f t="shared" si="1949"/>
        <v>3636360</v>
      </c>
      <c r="FD257" s="82"/>
      <c r="FE257" s="82"/>
      <c r="FF257" s="82">
        <f t="shared" si="1950"/>
        <v>0</v>
      </c>
      <c r="FG257" s="82">
        <f t="shared" si="1951"/>
        <v>0</v>
      </c>
      <c r="FH257" s="82"/>
      <c r="FI257" s="82"/>
      <c r="FJ257" s="82"/>
      <c r="FK257" s="82"/>
      <c r="FL257" s="82">
        <f t="shared" si="1952"/>
        <v>0</v>
      </c>
      <c r="FM257" s="82">
        <f t="shared" si="1953"/>
        <v>0</v>
      </c>
      <c r="FN257" s="82">
        <f t="shared" si="1954"/>
        <v>182</v>
      </c>
      <c r="FO257" s="82">
        <f t="shared" si="1955"/>
        <v>3636360</v>
      </c>
      <c r="FP257" s="82"/>
      <c r="FQ257" s="82"/>
      <c r="FR257" s="82">
        <f t="shared" si="1956"/>
        <v>0</v>
      </c>
      <c r="FS257" s="82">
        <f t="shared" si="1957"/>
        <v>0</v>
      </c>
      <c r="FT257" s="82"/>
      <c r="FU257" s="82"/>
      <c r="FV257" s="82"/>
      <c r="FW257" s="82"/>
      <c r="FX257" s="82">
        <f t="shared" si="1958"/>
        <v>0</v>
      </c>
      <c r="FY257" s="82">
        <f t="shared" si="1959"/>
        <v>0</v>
      </c>
      <c r="FZ257" s="82">
        <f t="shared" si="1960"/>
        <v>182</v>
      </c>
      <c r="GA257" s="82">
        <f t="shared" si="1961"/>
        <v>3636360</v>
      </c>
      <c r="GB257" s="82">
        <f t="shared" si="1962"/>
        <v>0</v>
      </c>
      <c r="GC257" s="82">
        <f t="shared" si="1963"/>
        <v>0</v>
      </c>
      <c r="GD257" s="82">
        <f t="shared" si="1964"/>
        <v>182</v>
      </c>
      <c r="GE257" s="82">
        <f t="shared" si="1965"/>
        <v>3636360</v>
      </c>
      <c r="GF257" s="85"/>
    </row>
    <row r="258" ht="30.0" customHeight="1">
      <c r="A258" s="96">
        <v>9.0</v>
      </c>
      <c r="B258" s="100"/>
      <c r="C258" s="100" t="s">
        <v>289</v>
      </c>
      <c r="D258" s="78" t="s">
        <v>96</v>
      </c>
      <c r="E258" s="124">
        <v>5999.55</v>
      </c>
      <c r="F258" s="125" t="s">
        <v>280</v>
      </c>
      <c r="G258" s="81">
        <v>170.0</v>
      </c>
      <c r="H258" s="82">
        <v>1019923.5</v>
      </c>
      <c r="I258" s="82"/>
      <c r="J258" s="82"/>
      <c r="K258" s="82">
        <f t="shared" si="1891"/>
        <v>0</v>
      </c>
      <c r="L258" s="82">
        <f t="shared" si="1892"/>
        <v>0</v>
      </c>
      <c r="M258" s="82"/>
      <c r="N258" s="82"/>
      <c r="O258" s="83">
        <v>5.0</v>
      </c>
      <c r="P258" s="83">
        <v>10.0</v>
      </c>
      <c r="Q258" s="83">
        <v>10.0</v>
      </c>
      <c r="R258" s="82"/>
      <c r="S258" s="82"/>
      <c r="T258" s="82"/>
      <c r="U258" s="83">
        <v>5.0</v>
      </c>
      <c r="V258" s="82"/>
      <c r="W258" s="82"/>
      <c r="X258" s="83">
        <v>3.0</v>
      </c>
      <c r="Y258" s="82"/>
      <c r="Z258" s="82"/>
      <c r="AA258" s="82"/>
      <c r="AB258" s="82">
        <f t="shared" si="1893"/>
        <v>33</v>
      </c>
      <c r="AC258" s="82">
        <f t="shared" si="1894"/>
        <v>197985.15</v>
      </c>
      <c r="AD258" s="82">
        <f t="shared" si="1807"/>
        <v>137</v>
      </c>
      <c r="AE258" s="82">
        <f t="shared" si="1966"/>
        <v>821938.35</v>
      </c>
      <c r="AF258" s="82"/>
      <c r="AG258" s="82"/>
      <c r="AH258" s="82">
        <f t="shared" si="1967"/>
        <v>0</v>
      </c>
      <c r="AI258" s="82">
        <f t="shared" si="1968"/>
        <v>0</v>
      </c>
      <c r="AJ258" s="82"/>
      <c r="AK258" s="82"/>
      <c r="AL258" s="82"/>
      <c r="AM258" s="82"/>
      <c r="AN258" s="82">
        <f t="shared" si="1969"/>
        <v>0</v>
      </c>
      <c r="AO258" s="82">
        <f t="shared" si="1970"/>
        <v>0</v>
      </c>
      <c r="AP258" s="82">
        <f t="shared" si="1813"/>
        <v>137</v>
      </c>
      <c r="AQ258" s="82">
        <f t="shared" si="1971"/>
        <v>821938.35</v>
      </c>
      <c r="AR258" s="82"/>
      <c r="AS258" s="82"/>
      <c r="AT258" s="82"/>
      <c r="AU258" s="82">
        <f t="shared" si="1972"/>
        <v>0</v>
      </c>
      <c r="AV258" s="82">
        <f t="shared" si="1973"/>
        <v>0</v>
      </c>
      <c r="AW258" s="82"/>
      <c r="AX258" s="82"/>
      <c r="AY258" s="82"/>
      <c r="AZ258" s="82"/>
      <c r="BA258" s="82">
        <f t="shared" si="1974"/>
        <v>0</v>
      </c>
      <c r="BB258" s="82">
        <f t="shared" si="1975"/>
        <v>0</v>
      </c>
      <c r="BC258" s="82">
        <f t="shared" si="1819"/>
        <v>137</v>
      </c>
      <c r="BD258" s="82">
        <f t="shared" si="1976"/>
        <v>821938.35</v>
      </c>
      <c r="BE258" s="82">
        <f t="shared" si="1977"/>
        <v>0</v>
      </c>
      <c r="BF258" s="82">
        <f t="shared" si="1978"/>
        <v>33</v>
      </c>
      <c r="BG258" s="82">
        <f t="shared" si="1823"/>
        <v>137</v>
      </c>
      <c r="BH258" s="82">
        <f t="shared" si="1979"/>
        <v>821938.35</v>
      </c>
      <c r="BI258" s="82"/>
      <c r="BJ258" s="83"/>
      <c r="BK258" s="82">
        <f t="shared" si="1980"/>
        <v>0</v>
      </c>
      <c r="BL258" s="82">
        <f t="shared" si="1981"/>
        <v>0</v>
      </c>
      <c r="BM258" s="82"/>
      <c r="BN258" s="83">
        <v>5.0</v>
      </c>
      <c r="BO258" s="82"/>
      <c r="BP258" s="82"/>
      <c r="BQ258" s="83">
        <v>5.0</v>
      </c>
      <c r="BR258" s="82"/>
      <c r="BS258" s="83">
        <v>15.0</v>
      </c>
      <c r="BT258" s="82"/>
      <c r="BU258" s="82"/>
      <c r="BV258" s="82"/>
      <c r="BW258" s="82">
        <f t="shared" si="1982"/>
        <v>25</v>
      </c>
      <c r="BX258" s="82">
        <f t="shared" si="1983"/>
        <v>149988.75</v>
      </c>
      <c r="BY258" s="82">
        <f t="shared" si="1829"/>
        <v>112</v>
      </c>
      <c r="BZ258" s="82">
        <f t="shared" si="1984"/>
        <v>671949.6</v>
      </c>
      <c r="CA258" s="82"/>
      <c r="CB258" s="82"/>
      <c r="CC258" s="82">
        <f t="shared" si="1985"/>
        <v>0</v>
      </c>
      <c r="CD258" s="82">
        <f t="shared" si="1986"/>
        <v>0</v>
      </c>
      <c r="CE258" s="83">
        <v>10.0</v>
      </c>
      <c r="CF258" s="82"/>
      <c r="CG258" s="82"/>
      <c r="CH258" s="82"/>
      <c r="CI258" s="82">
        <f t="shared" si="1987"/>
        <v>10</v>
      </c>
      <c r="CJ258" s="82">
        <f t="shared" si="1988"/>
        <v>59995.5</v>
      </c>
      <c r="CK258" s="82">
        <f t="shared" si="1835"/>
        <v>102</v>
      </c>
      <c r="CL258" s="82">
        <f t="shared" si="1989"/>
        <v>611954.1</v>
      </c>
      <c r="CM258" s="82"/>
      <c r="CN258" s="82"/>
      <c r="CO258" s="82">
        <f t="shared" si="1837"/>
        <v>0</v>
      </c>
      <c r="CP258" s="82">
        <f t="shared" si="1838"/>
        <v>0</v>
      </c>
      <c r="CQ258" s="82"/>
      <c r="CR258" s="82"/>
      <c r="CS258" s="82"/>
      <c r="CT258" s="82"/>
      <c r="CU258" s="82">
        <f t="shared" si="1919"/>
        <v>0</v>
      </c>
      <c r="CV258" s="82">
        <f t="shared" si="1920"/>
        <v>0</v>
      </c>
      <c r="CW258" s="82">
        <f t="shared" si="1841"/>
        <v>102</v>
      </c>
      <c r="CX258" s="82">
        <f>CW258*E258</f>
        <v>611954.1</v>
      </c>
      <c r="CY258" s="82">
        <f t="shared" si="1843"/>
        <v>0</v>
      </c>
      <c r="CZ258" s="82">
        <f t="shared" si="1844"/>
        <v>35</v>
      </c>
      <c r="DA258" s="82">
        <f t="shared" si="1845"/>
        <v>102</v>
      </c>
      <c r="DB258" s="82">
        <f t="shared" si="1846"/>
        <v>611954.1</v>
      </c>
      <c r="DC258" s="91"/>
      <c r="DD258" s="82"/>
      <c r="DE258" s="82"/>
      <c r="DF258" s="82">
        <f t="shared" si="1922"/>
        <v>0</v>
      </c>
      <c r="DG258" s="82">
        <f t="shared" si="1923"/>
        <v>0</v>
      </c>
      <c r="DH258" s="82"/>
      <c r="DI258" s="82"/>
      <c r="DJ258" s="82"/>
      <c r="DK258" s="82"/>
      <c r="DL258" s="82">
        <f t="shared" si="1924"/>
        <v>0</v>
      </c>
      <c r="DM258" s="82">
        <f t="shared" si="1925"/>
        <v>0</v>
      </c>
      <c r="DN258" s="82">
        <f t="shared" si="1926"/>
        <v>102</v>
      </c>
      <c r="DO258" s="82">
        <f t="shared" si="1927"/>
        <v>611954.1</v>
      </c>
      <c r="DP258" s="82"/>
      <c r="DQ258" s="82"/>
      <c r="DR258" s="82">
        <f t="shared" si="1928"/>
        <v>0</v>
      </c>
      <c r="DS258" s="82">
        <f t="shared" si="1929"/>
        <v>0</v>
      </c>
      <c r="DT258" s="82"/>
      <c r="DU258" s="82"/>
      <c r="DV258" s="82"/>
      <c r="DW258" s="82"/>
      <c r="DX258" s="82">
        <f t="shared" si="1930"/>
        <v>0</v>
      </c>
      <c r="DY258" s="82">
        <f t="shared" si="1931"/>
        <v>0</v>
      </c>
      <c r="DZ258" s="82">
        <f t="shared" si="1932"/>
        <v>102</v>
      </c>
      <c r="EA258" s="82">
        <f t="shared" si="1933"/>
        <v>611954.1</v>
      </c>
      <c r="EB258" s="82"/>
      <c r="EC258" s="82"/>
      <c r="ED258" s="82">
        <f t="shared" si="1934"/>
        <v>0</v>
      </c>
      <c r="EE258" s="82">
        <f t="shared" si="1935"/>
        <v>0</v>
      </c>
      <c r="EF258" s="82"/>
      <c r="EG258" s="82"/>
      <c r="EH258" s="82"/>
      <c r="EI258" s="82"/>
      <c r="EJ258" s="82">
        <f t="shared" si="1936"/>
        <v>0</v>
      </c>
      <c r="EK258" s="82">
        <f t="shared" si="1937"/>
        <v>0</v>
      </c>
      <c r="EL258" s="82">
        <f t="shared" si="1938"/>
        <v>102</v>
      </c>
      <c r="EM258" s="82">
        <f t="shared" si="1939"/>
        <v>611954.1</v>
      </c>
      <c r="EN258" s="82">
        <f t="shared" si="1940"/>
        <v>0</v>
      </c>
      <c r="EO258" s="82">
        <f t="shared" si="1941"/>
        <v>0</v>
      </c>
      <c r="EP258" s="82">
        <f t="shared" si="1942"/>
        <v>102</v>
      </c>
      <c r="EQ258" s="82">
        <f t="shared" si="1943"/>
        <v>611954.1</v>
      </c>
      <c r="ER258" s="82"/>
      <c r="ES258" s="82"/>
      <c r="ET258" s="82">
        <f t="shared" si="1944"/>
        <v>0</v>
      </c>
      <c r="EU258" s="82">
        <f t="shared" si="1945"/>
        <v>0</v>
      </c>
      <c r="EV258" s="82"/>
      <c r="EW258" s="82"/>
      <c r="EX258" s="82"/>
      <c r="EY258" s="82"/>
      <c r="EZ258" s="82">
        <f t="shared" si="1946"/>
        <v>0</v>
      </c>
      <c r="FA258" s="82">
        <f t="shared" si="1947"/>
        <v>0</v>
      </c>
      <c r="FB258" s="82">
        <f t="shared" si="1948"/>
        <v>102</v>
      </c>
      <c r="FC258" s="82">
        <f t="shared" si="1949"/>
        <v>611954.1</v>
      </c>
      <c r="FD258" s="82"/>
      <c r="FE258" s="82"/>
      <c r="FF258" s="82">
        <f t="shared" si="1950"/>
        <v>0</v>
      </c>
      <c r="FG258" s="82">
        <f t="shared" si="1951"/>
        <v>0</v>
      </c>
      <c r="FH258" s="82"/>
      <c r="FI258" s="82"/>
      <c r="FJ258" s="82"/>
      <c r="FK258" s="82"/>
      <c r="FL258" s="82">
        <f t="shared" si="1952"/>
        <v>0</v>
      </c>
      <c r="FM258" s="82">
        <f t="shared" si="1953"/>
        <v>0</v>
      </c>
      <c r="FN258" s="82">
        <f t="shared" si="1954"/>
        <v>102</v>
      </c>
      <c r="FO258" s="82">
        <f t="shared" si="1955"/>
        <v>611954.1</v>
      </c>
      <c r="FP258" s="82"/>
      <c r="FQ258" s="82"/>
      <c r="FR258" s="82">
        <f t="shared" si="1956"/>
        <v>0</v>
      </c>
      <c r="FS258" s="82">
        <f t="shared" si="1957"/>
        <v>0</v>
      </c>
      <c r="FT258" s="82"/>
      <c r="FU258" s="82"/>
      <c r="FV258" s="82"/>
      <c r="FW258" s="82"/>
      <c r="FX258" s="82">
        <f t="shared" si="1958"/>
        <v>0</v>
      </c>
      <c r="FY258" s="82">
        <f t="shared" si="1959"/>
        <v>0</v>
      </c>
      <c r="FZ258" s="82">
        <f t="shared" si="1960"/>
        <v>102</v>
      </c>
      <c r="GA258" s="82">
        <f t="shared" si="1961"/>
        <v>611954.1</v>
      </c>
      <c r="GB258" s="82">
        <f t="shared" si="1962"/>
        <v>0</v>
      </c>
      <c r="GC258" s="82">
        <f t="shared" si="1963"/>
        <v>0</v>
      </c>
      <c r="GD258" s="82">
        <f t="shared" si="1964"/>
        <v>102</v>
      </c>
      <c r="GE258" s="82">
        <f t="shared" si="1965"/>
        <v>611954.1</v>
      </c>
      <c r="GF258" s="85"/>
    </row>
    <row r="259" ht="30.0" customHeight="1">
      <c r="A259" s="96"/>
      <c r="B259" s="58"/>
      <c r="C259" s="58"/>
      <c r="D259" s="78"/>
      <c r="E259" s="86">
        <v>7770.0</v>
      </c>
      <c r="F259" s="126" t="s">
        <v>281</v>
      </c>
      <c r="G259" s="90">
        <v>102.0</v>
      </c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>
        <f t="shared" si="1807"/>
        <v>102</v>
      </c>
      <c r="AE259" s="127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>
        <f t="shared" si="1813"/>
        <v>102</v>
      </c>
      <c r="AQ259" s="82">
        <f>AP259*E258</f>
        <v>611954.1</v>
      </c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>
        <f t="shared" si="1819"/>
        <v>102</v>
      </c>
      <c r="BD259" s="82">
        <f>BC259*E258</f>
        <v>611954.1</v>
      </c>
      <c r="BE259" s="82"/>
      <c r="BF259" s="82"/>
      <c r="BG259" s="82">
        <f t="shared" si="1823"/>
        <v>102</v>
      </c>
      <c r="BH259" s="82"/>
      <c r="BI259" s="82"/>
      <c r="BJ259" s="83"/>
      <c r="BK259" s="82"/>
      <c r="BL259" s="82"/>
      <c r="BM259" s="82"/>
      <c r="BN259" s="82"/>
      <c r="BO259" s="82"/>
      <c r="BP259" s="83"/>
      <c r="BQ259" s="82"/>
      <c r="BR259" s="82"/>
      <c r="BS259" s="83"/>
      <c r="BT259" s="82"/>
      <c r="BU259" s="82"/>
      <c r="BV259" s="82"/>
      <c r="BW259" s="82"/>
      <c r="BX259" s="82"/>
      <c r="BY259" s="82">
        <f t="shared" si="1829"/>
        <v>102</v>
      </c>
      <c r="BZ259" s="82">
        <f>BY259*E258</f>
        <v>611954.1</v>
      </c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>
        <f t="shared" si="1835"/>
        <v>102</v>
      </c>
      <c r="CL259" s="82">
        <f>CK259*E258</f>
        <v>611954.1</v>
      </c>
      <c r="CM259" s="83">
        <v>100.0</v>
      </c>
      <c r="CN259" s="82"/>
      <c r="CO259" s="82">
        <f t="shared" si="1837"/>
        <v>100</v>
      </c>
      <c r="CP259" s="82">
        <f t="shared" si="1838"/>
        <v>777000</v>
      </c>
      <c r="CQ259" s="82"/>
      <c r="CR259" s="82"/>
      <c r="CS259" s="82"/>
      <c r="CT259" s="82"/>
      <c r="CU259" s="82"/>
      <c r="CV259" s="82"/>
      <c r="CW259" s="82">
        <f t="shared" si="1841"/>
        <v>202</v>
      </c>
      <c r="CX259" s="82">
        <f>(CO259*E259)+(CK259*E258)</f>
        <v>1388954.1</v>
      </c>
      <c r="CY259" s="82">
        <f t="shared" si="1843"/>
        <v>100</v>
      </c>
      <c r="CZ259" s="82">
        <f t="shared" si="1844"/>
        <v>0</v>
      </c>
      <c r="DA259" s="82">
        <f t="shared" si="1845"/>
        <v>202</v>
      </c>
      <c r="DB259" s="82">
        <f t="shared" si="1846"/>
        <v>1569540</v>
      </c>
      <c r="DC259" s="91"/>
      <c r="DD259" s="82"/>
      <c r="DE259" s="82"/>
      <c r="DF259" s="82"/>
      <c r="DG259" s="82"/>
      <c r="DH259" s="82"/>
      <c r="DI259" s="82"/>
      <c r="DJ259" s="82"/>
      <c r="DK259" s="82"/>
      <c r="DL259" s="82"/>
      <c r="DM259" s="82"/>
      <c r="DN259" s="82"/>
      <c r="DO259" s="82"/>
      <c r="DP259" s="82"/>
      <c r="DQ259" s="82"/>
      <c r="DR259" s="82"/>
      <c r="DS259" s="82"/>
      <c r="DT259" s="82"/>
      <c r="DU259" s="82"/>
      <c r="DV259" s="82"/>
      <c r="DW259" s="82"/>
      <c r="DX259" s="82"/>
      <c r="DY259" s="82"/>
      <c r="DZ259" s="82"/>
      <c r="EA259" s="82"/>
      <c r="EB259" s="82"/>
      <c r="EC259" s="82"/>
      <c r="ED259" s="82"/>
      <c r="EE259" s="82"/>
      <c r="EF259" s="82"/>
      <c r="EG259" s="82"/>
      <c r="EH259" s="82"/>
      <c r="EI259" s="82"/>
      <c r="EJ259" s="82"/>
      <c r="EK259" s="82"/>
      <c r="EL259" s="82"/>
      <c r="EM259" s="82"/>
      <c r="EN259" s="82"/>
      <c r="EO259" s="82"/>
      <c r="EP259" s="82"/>
      <c r="EQ259" s="82"/>
      <c r="ER259" s="82"/>
      <c r="ES259" s="82"/>
      <c r="ET259" s="82"/>
      <c r="EU259" s="82"/>
      <c r="EV259" s="82"/>
      <c r="EW259" s="82"/>
      <c r="EX259" s="82"/>
      <c r="EY259" s="82"/>
      <c r="EZ259" s="82"/>
      <c r="FA259" s="82"/>
      <c r="FB259" s="82"/>
      <c r="FC259" s="82"/>
      <c r="FD259" s="82"/>
      <c r="FE259" s="82"/>
      <c r="FF259" s="82"/>
      <c r="FG259" s="82"/>
      <c r="FH259" s="82"/>
      <c r="FI259" s="82"/>
      <c r="FJ259" s="82"/>
      <c r="FK259" s="82"/>
      <c r="FL259" s="82"/>
      <c r="FM259" s="82"/>
      <c r="FN259" s="82"/>
      <c r="FO259" s="82"/>
      <c r="FP259" s="82"/>
      <c r="FQ259" s="82"/>
      <c r="FR259" s="82"/>
      <c r="FS259" s="82"/>
      <c r="FT259" s="82"/>
      <c r="FU259" s="82"/>
      <c r="FV259" s="82"/>
      <c r="FW259" s="82"/>
      <c r="FX259" s="82"/>
      <c r="FY259" s="82"/>
      <c r="FZ259" s="82"/>
      <c r="GA259" s="82"/>
      <c r="GB259" s="82"/>
      <c r="GC259" s="82"/>
      <c r="GD259" s="82"/>
      <c r="GE259" s="82"/>
      <c r="GF259" s="85"/>
    </row>
    <row r="260" ht="30.0" customHeight="1">
      <c r="A260" s="96">
        <v>10.0</v>
      </c>
      <c r="B260" s="58"/>
      <c r="C260" s="58" t="s">
        <v>290</v>
      </c>
      <c r="D260" s="78" t="s">
        <v>96</v>
      </c>
      <c r="E260" s="79"/>
      <c r="F260" s="61"/>
      <c r="G260" s="81">
        <v>0.0</v>
      </c>
      <c r="H260" s="82">
        <v>0.0</v>
      </c>
      <c r="I260" s="82"/>
      <c r="J260" s="82"/>
      <c r="K260" s="82">
        <f t="shared" ref="K260:K261" si="1990">SUM(I260:J260)</f>
        <v>0</v>
      </c>
      <c r="L260" s="82">
        <f t="shared" ref="L260:L261" si="1991">K260*E260</f>
        <v>0</v>
      </c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>
        <f t="shared" ref="AB260:AB261" si="1992">SUM(M260:AA260)</f>
        <v>0</v>
      </c>
      <c r="AC260" s="82">
        <f t="shared" ref="AC260:AC261" si="1993">AB260*E260</f>
        <v>0</v>
      </c>
      <c r="AD260" s="82">
        <f t="shared" si="1807"/>
        <v>0</v>
      </c>
      <c r="AE260" s="82">
        <f t="shared" ref="AE260:AE261" si="1994">AD260*E260</f>
        <v>0</v>
      </c>
      <c r="AF260" s="82"/>
      <c r="AG260" s="82"/>
      <c r="AH260" s="82">
        <f t="shared" ref="AH260:AH261" si="1995">SUM(AF260:AG260)</f>
        <v>0</v>
      </c>
      <c r="AI260" s="82">
        <f t="shared" ref="AI260:AI261" si="1996">AH260*E260</f>
        <v>0</v>
      </c>
      <c r="AJ260" s="82"/>
      <c r="AK260" s="82"/>
      <c r="AL260" s="82"/>
      <c r="AM260" s="82"/>
      <c r="AN260" s="82">
        <f t="shared" ref="AN260:AN261" si="1997">SUM(AJ260:AM260)</f>
        <v>0</v>
      </c>
      <c r="AO260" s="82">
        <f t="shared" ref="AO260:AO261" si="1998">AN260*E260</f>
        <v>0</v>
      </c>
      <c r="AP260" s="82">
        <f t="shared" si="1813"/>
        <v>0</v>
      </c>
      <c r="AQ260" s="82">
        <f t="shared" ref="AQ260:AQ261" si="1999">AP260*E260</f>
        <v>0</v>
      </c>
      <c r="AR260" s="82"/>
      <c r="AS260" s="82"/>
      <c r="AT260" s="82"/>
      <c r="AU260" s="82">
        <f t="shared" ref="AU260:AU261" si="2000">SUM(AS260:AT260)</f>
        <v>0</v>
      </c>
      <c r="AV260" s="82">
        <f t="shared" ref="AV260:AV261" si="2001">AU260*AB260</f>
        <v>0</v>
      </c>
      <c r="AW260" s="82"/>
      <c r="AX260" s="82"/>
      <c r="AY260" s="82"/>
      <c r="AZ260" s="82"/>
      <c r="BA260" s="82">
        <f t="shared" ref="BA260:BA261" si="2002">SUM(AW260:AZ260)</f>
        <v>0</v>
      </c>
      <c r="BB260" s="82">
        <f t="shared" ref="BB260:BB261" si="2003">BA260*AB260</f>
        <v>0</v>
      </c>
      <c r="BC260" s="82">
        <f t="shared" si="1819"/>
        <v>0</v>
      </c>
      <c r="BD260" s="82">
        <f t="shared" ref="BD260:BD261" si="2004">BC260*E260</f>
        <v>0</v>
      </c>
      <c r="BE260" s="82">
        <f t="shared" ref="BE260:BE261" si="2005">K260+AH260+AU260</f>
        <v>0</v>
      </c>
      <c r="BF260" s="82">
        <f t="shared" ref="BF260:BF261" si="2006">AB260+AN260+BA260</f>
        <v>0</v>
      </c>
      <c r="BG260" s="82">
        <f t="shared" si="1823"/>
        <v>0</v>
      </c>
      <c r="BH260" s="82">
        <f t="shared" ref="BH260:BH261" si="2007">BG260*E260</f>
        <v>0</v>
      </c>
      <c r="BI260" s="82"/>
      <c r="BJ260" s="83"/>
      <c r="BK260" s="82">
        <f t="shared" ref="BK260:BK261" si="2008">SUM(BI260:BJ260)</f>
        <v>0</v>
      </c>
      <c r="BL260" s="82">
        <f t="shared" ref="BL260:BL261" si="2009">BK260*E260</f>
        <v>0</v>
      </c>
      <c r="BM260" s="82"/>
      <c r="BN260" s="82"/>
      <c r="BO260" s="82"/>
      <c r="BP260" s="82"/>
      <c r="BQ260" s="82"/>
      <c r="BR260" s="82"/>
      <c r="BS260" s="82"/>
      <c r="BT260" s="82"/>
      <c r="BU260" s="82"/>
      <c r="BV260" s="82"/>
      <c r="BW260" s="82">
        <f t="shared" ref="BW260:BW261" si="2010">SUM(BM260:BV260)</f>
        <v>0</v>
      </c>
      <c r="BX260" s="82">
        <f t="shared" ref="BX260:BX261" si="2011">BW260*E260</f>
        <v>0</v>
      </c>
      <c r="BY260" s="82">
        <f t="shared" si="1829"/>
        <v>0</v>
      </c>
      <c r="BZ260" s="82">
        <f t="shared" ref="BZ260:BZ261" si="2012">BY260*E260</f>
        <v>0</v>
      </c>
      <c r="CA260" s="82"/>
      <c r="CB260" s="82"/>
      <c r="CC260" s="82">
        <f t="shared" ref="CC260:CC261" si="2013">sum(CA260:CB260)</f>
        <v>0</v>
      </c>
      <c r="CD260" s="82">
        <f t="shared" ref="CD260:CD261" si="2014">CC260*E260</f>
        <v>0</v>
      </c>
      <c r="CE260" s="82"/>
      <c r="CF260" s="82"/>
      <c r="CG260" s="82"/>
      <c r="CH260" s="82"/>
      <c r="CI260" s="82">
        <f t="shared" ref="CI260:CI261" si="2015">sum(CE260:CH260)</f>
        <v>0</v>
      </c>
      <c r="CJ260" s="82">
        <f t="shared" ref="CJ260:CJ261" si="2016">CI260*E260</f>
        <v>0</v>
      </c>
      <c r="CK260" s="82">
        <f t="shared" si="1835"/>
        <v>0</v>
      </c>
      <c r="CL260" s="82">
        <f t="shared" ref="CL260:CL261" si="2017">CK260*E260</f>
        <v>0</v>
      </c>
      <c r="CM260" s="82"/>
      <c r="CN260" s="82"/>
      <c r="CO260" s="82">
        <f t="shared" si="1837"/>
        <v>0</v>
      </c>
      <c r="CP260" s="82">
        <f t="shared" si="1838"/>
        <v>0</v>
      </c>
      <c r="CQ260" s="82"/>
      <c r="CR260" s="82"/>
      <c r="CS260" s="82"/>
      <c r="CT260" s="82"/>
      <c r="CU260" s="82">
        <f t="shared" ref="CU260:CU261" si="2018">sum(CQ260:CT260)</f>
        <v>0</v>
      </c>
      <c r="CV260" s="82">
        <f t="shared" ref="CV260:CV261" si="2019">CU260*E260</f>
        <v>0</v>
      </c>
      <c r="CW260" s="82">
        <f t="shared" si="1841"/>
        <v>0</v>
      </c>
      <c r="CX260" s="82">
        <f t="shared" ref="CX260:CX261" si="2020">CW260*E260</f>
        <v>0</v>
      </c>
      <c r="CY260" s="82">
        <f t="shared" si="1843"/>
        <v>0</v>
      </c>
      <c r="CZ260" s="82">
        <f t="shared" si="1844"/>
        <v>0</v>
      </c>
      <c r="DA260" s="82">
        <f t="shared" si="1845"/>
        <v>0</v>
      </c>
      <c r="DB260" s="82">
        <f t="shared" si="1846"/>
        <v>0</v>
      </c>
      <c r="DC260" s="91"/>
      <c r="DD260" s="82"/>
      <c r="DE260" s="82"/>
      <c r="DF260" s="82">
        <f t="shared" ref="DF260:DF261" si="2021">sum(DD260:DE260)</f>
        <v>0</v>
      </c>
      <c r="DG260" s="82">
        <f t="shared" ref="DG260:DG261" si="2022">DF260*E260</f>
        <v>0</v>
      </c>
      <c r="DH260" s="82"/>
      <c r="DI260" s="82"/>
      <c r="DJ260" s="82"/>
      <c r="DK260" s="82"/>
      <c r="DL260" s="82">
        <f t="shared" ref="DL260:DL261" si="2023">sum(DH260:DK260)</f>
        <v>0</v>
      </c>
      <c r="DM260" s="82">
        <f t="shared" ref="DM260:DM261" si="2024">DL260*E260</f>
        <v>0</v>
      </c>
      <c r="DN260" s="82">
        <f t="shared" ref="DN260:DN261" si="2025">DA260+DF260-DL260</f>
        <v>0</v>
      </c>
      <c r="DO260" s="82">
        <f t="shared" ref="DO260:DO261" si="2026">DN260*E260</f>
        <v>0</v>
      </c>
      <c r="DP260" s="82"/>
      <c r="DQ260" s="82"/>
      <c r="DR260" s="82">
        <f t="shared" ref="DR260:DR261" si="2027">sum(DP260:DQ260)</f>
        <v>0</v>
      </c>
      <c r="DS260" s="82">
        <f t="shared" ref="DS260:DS261" si="2028">DR260*AB260</f>
        <v>0</v>
      </c>
      <c r="DT260" s="82"/>
      <c r="DU260" s="82"/>
      <c r="DV260" s="82"/>
      <c r="DW260" s="82"/>
      <c r="DX260" s="82">
        <f t="shared" ref="DX260:DX261" si="2029">sum(DT260:DW260)</f>
        <v>0</v>
      </c>
      <c r="DY260" s="82">
        <f t="shared" ref="DY260:DY261" si="2030">DX260*AB260</f>
        <v>0</v>
      </c>
      <c r="DZ260" s="82">
        <f t="shared" ref="DZ260:DZ261" si="2031">DN260+DR260-DX260</f>
        <v>0</v>
      </c>
      <c r="EA260" s="82">
        <f t="shared" ref="EA260:EA261" si="2032">DZ260*E260</f>
        <v>0</v>
      </c>
      <c r="EB260" s="82"/>
      <c r="EC260" s="82"/>
      <c r="ED260" s="82">
        <f t="shared" ref="ED260:ED261" si="2033">sum(EB260:EC260)</f>
        <v>0</v>
      </c>
      <c r="EE260" s="82">
        <f t="shared" ref="EE260:EE261" si="2034">ED260*AN260</f>
        <v>0</v>
      </c>
      <c r="EF260" s="82"/>
      <c r="EG260" s="82"/>
      <c r="EH260" s="82"/>
      <c r="EI260" s="82"/>
      <c r="EJ260" s="82">
        <f t="shared" ref="EJ260:EJ261" si="2035">sum(EF260:EI260)</f>
        <v>0</v>
      </c>
      <c r="EK260" s="82">
        <f t="shared" ref="EK260:EK261" si="2036">EJ260*AN260</f>
        <v>0</v>
      </c>
      <c r="EL260" s="82">
        <f t="shared" ref="EL260:EL261" si="2037">DZ260+ED260-EJ260</f>
        <v>0</v>
      </c>
      <c r="EM260" s="82">
        <f t="shared" ref="EM260:EM261" si="2038">EL260*E260</f>
        <v>0</v>
      </c>
      <c r="EN260" s="82">
        <f t="shared" ref="EN260:EN261" si="2039">DF260+DR260+ED260</f>
        <v>0</v>
      </c>
      <c r="EO260" s="82">
        <f t="shared" ref="EO260:EO261" si="2040">DL260+DX260+EJ260</f>
        <v>0</v>
      </c>
      <c r="EP260" s="82">
        <f t="shared" ref="EP260:EP261" si="2041">DA260+EN260-EO260</f>
        <v>0</v>
      </c>
      <c r="EQ260" s="82">
        <f t="shared" ref="EQ260:EQ261" si="2042">EP260*E260</f>
        <v>0</v>
      </c>
      <c r="ER260" s="82"/>
      <c r="ES260" s="82"/>
      <c r="ET260" s="82">
        <f t="shared" ref="ET260:ET261" si="2043">sum(ER260:ES260)</f>
        <v>0</v>
      </c>
      <c r="EU260" s="82">
        <f t="shared" ref="EU260:EU261" si="2044">ET260*BE260</f>
        <v>0</v>
      </c>
      <c r="EV260" s="82"/>
      <c r="EW260" s="82"/>
      <c r="EX260" s="82"/>
      <c r="EY260" s="82"/>
      <c r="EZ260" s="82">
        <f t="shared" ref="EZ260:EZ261" si="2045">sum(EV260:EY260)</f>
        <v>0</v>
      </c>
      <c r="FA260" s="82">
        <f t="shared" ref="FA260:FA261" si="2046">EZ260*BE260</f>
        <v>0</v>
      </c>
      <c r="FB260" s="82">
        <f t="shared" ref="FB260:FB261" si="2047">EP260+ET260-EZ260</f>
        <v>0</v>
      </c>
      <c r="FC260" s="82">
        <f t="shared" ref="FC260:FC261" si="2048">FB260*E260</f>
        <v>0</v>
      </c>
      <c r="FD260" s="82"/>
      <c r="FE260" s="82"/>
      <c r="FF260" s="82">
        <f t="shared" ref="FF260:FF261" si="2049">sum(FD260:FE260)</f>
        <v>0</v>
      </c>
      <c r="FG260" s="82">
        <f t="shared" ref="FG260:FG261" si="2050">FF260*BW260</f>
        <v>0</v>
      </c>
      <c r="FH260" s="82"/>
      <c r="FI260" s="82"/>
      <c r="FJ260" s="82"/>
      <c r="FK260" s="82"/>
      <c r="FL260" s="82">
        <f t="shared" ref="FL260:FL261" si="2051">sum(FH260:FK260)</f>
        <v>0</v>
      </c>
      <c r="FM260" s="82">
        <f t="shared" ref="FM260:FM261" si="2052">FL260*BW260</f>
        <v>0</v>
      </c>
      <c r="FN260" s="82">
        <f t="shared" ref="FN260:FN261" si="2053">FB260+FF260-FL260</f>
        <v>0</v>
      </c>
      <c r="FO260" s="82">
        <f t="shared" ref="FO260:FO261" si="2054">FN260*E260</f>
        <v>0</v>
      </c>
      <c r="FP260" s="82"/>
      <c r="FQ260" s="82"/>
      <c r="FR260" s="82">
        <f t="shared" ref="FR260:FR261" si="2055">sum(FP260:FQ260)</f>
        <v>0</v>
      </c>
      <c r="FS260" s="82">
        <f t="shared" ref="FS260:FS261" si="2056">FR260*CI260</f>
        <v>0</v>
      </c>
      <c r="FT260" s="82"/>
      <c r="FU260" s="82"/>
      <c r="FV260" s="82"/>
      <c r="FW260" s="82"/>
      <c r="FX260" s="82">
        <f t="shared" ref="FX260:FX261" si="2057">sum(FT260:FW260)</f>
        <v>0</v>
      </c>
      <c r="FY260" s="82">
        <f t="shared" ref="FY260:FY261" si="2058">FX260*CI260</f>
        <v>0</v>
      </c>
      <c r="FZ260" s="82">
        <f t="shared" ref="FZ260:FZ261" si="2059">FN260+FR260-FX260</f>
        <v>0</v>
      </c>
      <c r="GA260" s="82">
        <f t="shared" ref="GA260:GA261" si="2060">FZ260*E260</f>
        <v>0</v>
      </c>
      <c r="GB260" s="82">
        <f t="shared" ref="GB260:GB261" si="2061">ET260+FF260+FR260</f>
        <v>0</v>
      </c>
      <c r="GC260" s="82">
        <f t="shared" ref="GC260:GC261" si="2062">EZ260+FL260+FX260</f>
        <v>0</v>
      </c>
      <c r="GD260" s="82">
        <f t="shared" ref="GD260:GD261" si="2063">EP260+GB260-GC260</f>
        <v>0</v>
      </c>
      <c r="GE260" s="82">
        <f t="shared" ref="GE260:GE261" si="2064">GD260*E260</f>
        <v>0</v>
      </c>
      <c r="GF260" s="85"/>
    </row>
    <row r="261" ht="30.0" customHeight="1">
      <c r="A261" s="96">
        <v>11.0</v>
      </c>
      <c r="B261" s="58"/>
      <c r="C261" s="100" t="s">
        <v>291</v>
      </c>
      <c r="D261" s="78" t="s">
        <v>292</v>
      </c>
      <c r="E261" s="86">
        <v>36036.0</v>
      </c>
      <c r="F261" s="80" t="s">
        <v>284</v>
      </c>
      <c r="G261" s="81">
        <v>15.0</v>
      </c>
      <c r="H261" s="82">
        <v>540540.0</v>
      </c>
      <c r="I261" s="82"/>
      <c r="J261" s="82"/>
      <c r="K261" s="82">
        <f t="shared" si="1990"/>
        <v>0</v>
      </c>
      <c r="L261" s="82">
        <f t="shared" si="1991"/>
        <v>0</v>
      </c>
      <c r="M261" s="83">
        <v>1.0</v>
      </c>
      <c r="N261" s="83">
        <v>1.0</v>
      </c>
      <c r="O261" s="83">
        <v>1.0</v>
      </c>
      <c r="P261" s="82"/>
      <c r="Q261" s="83">
        <v>1.0</v>
      </c>
      <c r="R261" s="82"/>
      <c r="S261" s="82"/>
      <c r="T261" s="82"/>
      <c r="U261" s="83">
        <v>1.0</v>
      </c>
      <c r="V261" s="83">
        <v>1.0</v>
      </c>
      <c r="W261" s="82"/>
      <c r="X261" s="82"/>
      <c r="Y261" s="82"/>
      <c r="Z261" s="82"/>
      <c r="AA261" s="82"/>
      <c r="AB261" s="82">
        <f t="shared" si="1992"/>
        <v>6</v>
      </c>
      <c r="AC261" s="82">
        <f t="shared" si="1993"/>
        <v>216216</v>
      </c>
      <c r="AD261" s="82">
        <f t="shared" si="1807"/>
        <v>9</v>
      </c>
      <c r="AE261" s="82">
        <f t="shared" si="1994"/>
        <v>324324</v>
      </c>
      <c r="AF261" s="82"/>
      <c r="AG261" s="82"/>
      <c r="AH261" s="82">
        <f t="shared" si="1995"/>
        <v>0</v>
      </c>
      <c r="AI261" s="82">
        <f t="shared" si="1996"/>
        <v>0</v>
      </c>
      <c r="AJ261" s="82"/>
      <c r="AK261" s="82"/>
      <c r="AL261" s="82"/>
      <c r="AM261" s="82"/>
      <c r="AN261" s="82">
        <f t="shared" si="1997"/>
        <v>0</v>
      </c>
      <c r="AO261" s="82">
        <f t="shared" si="1998"/>
        <v>0</v>
      </c>
      <c r="AP261" s="82">
        <f t="shared" si="1813"/>
        <v>9</v>
      </c>
      <c r="AQ261" s="82">
        <f t="shared" si="1999"/>
        <v>324324</v>
      </c>
      <c r="AR261" s="82"/>
      <c r="AS261" s="82"/>
      <c r="AT261" s="82"/>
      <c r="AU261" s="82">
        <f t="shared" si="2000"/>
        <v>0</v>
      </c>
      <c r="AV261" s="82">
        <f t="shared" si="2001"/>
        <v>0</v>
      </c>
      <c r="AW261" s="82"/>
      <c r="AX261" s="82"/>
      <c r="AY261" s="82"/>
      <c r="AZ261" s="82"/>
      <c r="BA261" s="82">
        <f t="shared" si="2002"/>
        <v>0</v>
      </c>
      <c r="BB261" s="82">
        <f t="shared" si="2003"/>
        <v>0</v>
      </c>
      <c r="BC261" s="82">
        <f t="shared" si="1819"/>
        <v>9</v>
      </c>
      <c r="BD261" s="82">
        <f t="shared" si="2004"/>
        <v>324324</v>
      </c>
      <c r="BE261" s="82">
        <f t="shared" si="2005"/>
        <v>0</v>
      </c>
      <c r="BF261" s="82">
        <f t="shared" si="2006"/>
        <v>6</v>
      </c>
      <c r="BG261" s="82">
        <f t="shared" si="1823"/>
        <v>9</v>
      </c>
      <c r="BH261" s="82">
        <f t="shared" si="2007"/>
        <v>324324</v>
      </c>
      <c r="BI261" s="82"/>
      <c r="BJ261" s="83"/>
      <c r="BK261" s="82">
        <f t="shared" si="2008"/>
        <v>0</v>
      </c>
      <c r="BL261" s="82">
        <f t="shared" si="2009"/>
        <v>0</v>
      </c>
      <c r="BM261" s="83">
        <v>1.0</v>
      </c>
      <c r="BN261" s="83">
        <v>1.0</v>
      </c>
      <c r="BO261" s="83">
        <v>1.0</v>
      </c>
      <c r="BP261" s="83">
        <v>1.0</v>
      </c>
      <c r="BQ261" s="83">
        <v>1.0</v>
      </c>
      <c r="BR261" s="83">
        <v>1.0</v>
      </c>
      <c r="BS261" s="82"/>
      <c r="BT261" s="83">
        <v>2.0</v>
      </c>
      <c r="BU261" s="83"/>
      <c r="BV261" s="83">
        <v>1.0</v>
      </c>
      <c r="BW261" s="82">
        <f t="shared" si="2010"/>
        <v>9</v>
      </c>
      <c r="BX261" s="82">
        <f t="shared" si="2011"/>
        <v>324324</v>
      </c>
      <c r="BY261" s="82">
        <f t="shared" si="1829"/>
        <v>0</v>
      </c>
      <c r="BZ261" s="82">
        <f t="shared" si="2012"/>
        <v>0</v>
      </c>
      <c r="CA261" s="82"/>
      <c r="CB261" s="82"/>
      <c r="CC261" s="82">
        <f t="shared" si="2013"/>
        <v>0</v>
      </c>
      <c r="CD261" s="82">
        <f t="shared" si="2014"/>
        <v>0</v>
      </c>
      <c r="CE261" s="82"/>
      <c r="CF261" s="82"/>
      <c r="CG261" s="82"/>
      <c r="CH261" s="82"/>
      <c r="CI261" s="82">
        <f t="shared" si="2015"/>
        <v>0</v>
      </c>
      <c r="CJ261" s="82">
        <f t="shared" si="2016"/>
        <v>0</v>
      </c>
      <c r="CK261" s="82">
        <f t="shared" si="1835"/>
        <v>0</v>
      </c>
      <c r="CL261" s="82">
        <f t="shared" si="2017"/>
        <v>0</v>
      </c>
      <c r="CM261" s="82"/>
      <c r="CN261" s="82"/>
      <c r="CO261" s="82">
        <f t="shared" si="1837"/>
        <v>0</v>
      </c>
      <c r="CP261" s="82">
        <f t="shared" si="1838"/>
        <v>0</v>
      </c>
      <c r="CQ261" s="82"/>
      <c r="CR261" s="82"/>
      <c r="CS261" s="82"/>
      <c r="CT261" s="82"/>
      <c r="CU261" s="82">
        <f t="shared" si="2018"/>
        <v>0</v>
      </c>
      <c r="CV261" s="82">
        <f t="shared" si="2019"/>
        <v>0</v>
      </c>
      <c r="CW261" s="82">
        <f t="shared" si="1841"/>
        <v>0</v>
      </c>
      <c r="CX261" s="82">
        <f t="shared" si="2020"/>
        <v>0</v>
      </c>
      <c r="CY261" s="82">
        <f t="shared" si="1843"/>
        <v>0</v>
      </c>
      <c r="CZ261" s="82">
        <f t="shared" si="1844"/>
        <v>9</v>
      </c>
      <c r="DA261" s="82">
        <f t="shared" si="1845"/>
        <v>0</v>
      </c>
      <c r="DB261" s="82">
        <f t="shared" si="1846"/>
        <v>0</v>
      </c>
      <c r="DC261" s="91"/>
      <c r="DD261" s="82"/>
      <c r="DE261" s="82"/>
      <c r="DF261" s="82">
        <f t="shared" si="2021"/>
        <v>0</v>
      </c>
      <c r="DG261" s="82">
        <f t="shared" si="2022"/>
        <v>0</v>
      </c>
      <c r="DH261" s="82"/>
      <c r="DI261" s="82"/>
      <c r="DJ261" s="82"/>
      <c r="DK261" s="82"/>
      <c r="DL261" s="82">
        <f t="shared" si="2023"/>
        <v>0</v>
      </c>
      <c r="DM261" s="82">
        <f t="shared" si="2024"/>
        <v>0</v>
      </c>
      <c r="DN261" s="82">
        <f t="shared" si="2025"/>
        <v>0</v>
      </c>
      <c r="DO261" s="82">
        <f t="shared" si="2026"/>
        <v>0</v>
      </c>
      <c r="DP261" s="82"/>
      <c r="DQ261" s="82"/>
      <c r="DR261" s="82">
        <f t="shared" si="2027"/>
        <v>0</v>
      </c>
      <c r="DS261" s="82">
        <f t="shared" si="2028"/>
        <v>0</v>
      </c>
      <c r="DT261" s="82"/>
      <c r="DU261" s="82"/>
      <c r="DV261" s="82"/>
      <c r="DW261" s="82"/>
      <c r="DX261" s="82">
        <f t="shared" si="2029"/>
        <v>0</v>
      </c>
      <c r="DY261" s="82">
        <f t="shared" si="2030"/>
        <v>0</v>
      </c>
      <c r="DZ261" s="82">
        <f t="shared" si="2031"/>
        <v>0</v>
      </c>
      <c r="EA261" s="82">
        <f t="shared" si="2032"/>
        <v>0</v>
      </c>
      <c r="EB261" s="82"/>
      <c r="EC261" s="82"/>
      <c r="ED261" s="82">
        <f t="shared" si="2033"/>
        <v>0</v>
      </c>
      <c r="EE261" s="82">
        <f t="shared" si="2034"/>
        <v>0</v>
      </c>
      <c r="EF261" s="82"/>
      <c r="EG261" s="82"/>
      <c r="EH261" s="82"/>
      <c r="EI261" s="82"/>
      <c r="EJ261" s="82">
        <f t="shared" si="2035"/>
        <v>0</v>
      </c>
      <c r="EK261" s="82">
        <f t="shared" si="2036"/>
        <v>0</v>
      </c>
      <c r="EL261" s="82">
        <f t="shared" si="2037"/>
        <v>0</v>
      </c>
      <c r="EM261" s="82">
        <f t="shared" si="2038"/>
        <v>0</v>
      </c>
      <c r="EN261" s="82">
        <f t="shared" si="2039"/>
        <v>0</v>
      </c>
      <c r="EO261" s="82">
        <f t="shared" si="2040"/>
        <v>0</v>
      </c>
      <c r="EP261" s="82">
        <f t="shared" si="2041"/>
        <v>0</v>
      </c>
      <c r="EQ261" s="82">
        <f t="shared" si="2042"/>
        <v>0</v>
      </c>
      <c r="ER261" s="82"/>
      <c r="ES261" s="82"/>
      <c r="ET261" s="82">
        <f t="shared" si="2043"/>
        <v>0</v>
      </c>
      <c r="EU261" s="82">
        <f t="shared" si="2044"/>
        <v>0</v>
      </c>
      <c r="EV261" s="82"/>
      <c r="EW261" s="82"/>
      <c r="EX261" s="82"/>
      <c r="EY261" s="82"/>
      <c r="EZ261" s="82">
        <f t="shared" si="2045"/>
        <v>0</v>
      </c>
      <c r="FA261" s="82">
        <f t="shared" si="2046"/>
        <v>0</v>
      </c>
      <c r="FB261" s="82">
        <f t="shared" si="2047"/>
        <v>0</v>
      </c>
      <c r="FC261" s="82">
        <f t="shared" si="2048"/>
        <v>0</v>
      </c>
      <c r="FD261" s="82"/>
      <c r="FE261" s="82"/>
      <c r="FF261" s="82">
        <f t="shared" si="2049"/>
        <v>0</v>
      </c>
      <c r="FG261" s="82">
        <f t="shared" si="2050"/>
        <v>0</v>
      </c>
      <c r="FH261" s="82"/>
      <c r="FI261" s="82"/>
      <c r="FJ261" s="82"/>
      <c r="FK261" s="82"/>
      <c r="FL261" s="82">
        <f t="shared" si="2051"/>
        <v>0</v>
      </c>
      <c r="FM261" s="82">
        <f t="shared" si="2052"/>
        <v>0</v>
      </c>
      <c r="FN261" s="82">
        <f t="shared" si="2053"/>
        <v>0</v>
      </c>
      <c r="FO261" s="82">
        <f t="shared" si="2054"/>
        <v>0</v>
      </c>
      <c r="FP261" s="82"/>
      <c r="FQ261" s="82"/>
      <c r="FR261" s="82">
        <f t="shared" si="2055"/>
        <v>0</v>
      </c>
      <c r="FS261" s="82">
        <f t="shared" si="2056"/>
        <v>0</v>
      </c>
      <c r="FT261" s="82"/>
      <c r="FU261" s="82"/>
      <c r="FV261" s="82"/>
      <c r="FW261" s="82"/>
      <c r="FX261" s="82">
        <f t="shared" si="2057"/>
        <v>0</v>
      </c>
      <c r="FY261" s="82">
        <f t="shared" si="2058"/>
        <v>0</v>
      </c>
      <c r="FZ261" s="82">
        <f t="shared" si="2059"/>
        <v>0</v>
      </c>
      <c r="GA261" s="82">
        <f t="shared" si="2060"/>
        <v>0</v>
      </c>
      <c r="GB261" s="82">
        <f t="shared" si="2061"/>
        <v>0</v>
      </c>
      <c r="GC261" s="82">
        <f t="shared" si="2062"/>
        <v>0</v>
      </c>
      <c r="GD261" s="82">
        <f t="shared" si="2063"/>
        <v>0</v>
      </c>
      <c r="GE261" s="82">
        <f t="shared" si="2064"/>
        <v>0</v>
      </c>
      <c r="GF261" s="85"/>
    </row>
    <row r="262" ht="30.0" customHeight="1">
      <c r="A262" s="96"/>
      <c r="B262" s="58"/>
      <c r="C262" s="58"/>
      <c r="D262" s="78" t="s">
        <v>292</v>
      </c>
      <c r="E262" s="86">
        <v>52170.0</v>
      </c>
      <c r="F262" s="80" t="s">
        <v>281</v>
      </c>
      <c r="G262" s="90">
        <v>0.0</v>
      </c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>
        <f t="shared" si="1807"/>
        <v>0</v>
      </c>
      <c r="AE262" s="82">
        <f>AD262*E261</f>
        <v>0</v>
      </c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>
        <f t="shared" si="1813"/>
        <v>0</v>
      </c>
      <c r="AQ262" s="82">
        <f>AP262*E261</f>
        <v>0</v>
      </c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>
        <f t="shared" si="1819"/>
        <v>0</v>
      </c>
      <c r="BD262" s="82">
        <f>BC262*E261</f>
        <v>0</v>
      </c>
      <c r="BE262" s="82"/>
      <c r="BF262" s="82"/>
      <c r="BG262" s="82">
        <f t="shared" si="1823"/>
        <v>0</v>
      </c>
      <c r="BH262" s="82">
        <f>BG262*E261</f>
        <v>0</v>
      </c>
      <c r="BI262" s="82"/>
      <c r="BJ262" s="83"/>
      <c r="BK262" s="82"/>
      <c r="BL262" s="82"/>
      <c r="BM262" s="82"/>
      <c r="BN262" s="82"/>
      <c r="BO262" s="82"/>
      <c r="BP262" s="83"/>
      <c r="BQ262" s="82"/>
      <c r="BR262" s="82"/>
      <c r="BS262" s="83"/>
      <c r="BT262" s="82"/>
      <c r="BU262" s="82"/>
      <c r="BV262" s="82"/>
      <c r="BW262" s="82"/>
      <c r="BX262" s="82"/>
      <c r="BY262" s="82">
        <f t="shared" si="1829"/>
        <v>0</v>
      </c>
      <c r="BZ262" s="82">
        <f>BY262*E261</f>
        <v>0</v>
      </c>
      <c r="CA262" s="82"/>
      <c r="CB262" s="82"/>
      <c r="CC262" s="82"/>
      <c r="CD262" s="82"/>
      <c r="CE262" s="82"/>
      <c r="CF262" s="82"/>
      <c r="CG262" s="82"/>
      <c r="CH262" s="82"/>
      <c r="CI262" s="82"/>
      <c r="CJ262" s="82"/>
      <c r="CK262" s="82">
        <f t="shared" si="1835"/>
        <v>0</v>
      </c>
      <c r="CL262" s="82">
        <f>CK262*E261</f>
        <v>0</v>
      </c>
      <c r="CM262" s="83">
        <v>48.0</v>
      </c>
      <c r="CN262" s="82"/>
      <c r="CO262" s="82">
        <f t="shared" si="1837"/>
        <v>48</v>
      </c>
      <c r="CP262" s="82">
        <f t="shared" si="1838"/>
        <v>2504160</v>
      </c>
      <c r="CQ262" s="83">
        <v>1.0</v>
      </c>
      <c r="CR262" s="82"/>
      <c r="CS262" s="82"/>
      <c r="CT262" s="82"/>
      <c r="CU262" s="82"/>
      <c r="CV262" s="82"/>
      <c r="CW262" s="82">
        <f t="shared" si="1841"/>
        <v>48</v>
      </c>
      <c r="CX262" s="82">
        <f>(CO262*E262)+(CK262*E261)</f>
        <v>2504160</v>
      </c>
      <c r="CY262" s="82">
        <f t="shared" si="1843"/>
        <v>48</v>
      </c>
      <c r="CZ262" s="82">
        <f t="shared" si="1844"/>
        <v>0</v>
      </c>
      <c r="DA262" s="82">
        <f t="shared" si="1845"/>
        <v>48</v>
      </c>
      <c r="DB262" s="82">
        <f t="shared" si="1846"/>
        <v>2504160</v>
      </c>
      <c r="DC262" s="91"/>
      <c r="DD262" s="82"/>
      <c r="DE262" s="82"/>
      <c r="DF262" s="82"/>
      <c r="DG262" s="82"/>
      <c r="DH262" s="82"/>
      <c r="DI262" s="82"/>
      <c r="DJ262" s="82"/>
      <c r="DK262" s="82"/>
      <c r="DL262" s="82"/>
      <c r="DM262" s="82"/>
      <c r="DN262" s="82"/>
      <c r="DO262" s="82"/>
      <c r="DP262" s="82"/>
      <c r="DQ262" s="82"/>
      <c r="DR262" s="82"/>
      <c r="DS262" s="82"/>
      <c r="DT262" s="82"/>
      <c r="DU262" s="82"/>
      <c r="DV262" s="82"/>
      <c r="DW262" s="82"/>
      <c r="DX262" s="82"/>
      <c r="DY262" s="82"/>
      <c r="DZ262" s="82"/>
      <c r="EA262" s="82"/>
      <c r="EB262" s="82"/>
      <c r="EC262" s="82"/>
      <c r="ED262" s="82"/>
      <c r="EE262" s="82"/>
      <c r="EF262" s="82"/>
      <c r="EG262" s="82"/>
      <c r="EH262" s="82"/>
      <c r="EI262" s="82"/>
      <c r="EJ262" s="82"/>
      <c r="EK262" s="82"/>
      <c r="EL262" s="82"/>
      <c r="EM262" s="82"/>
      <c r="EN262" s="82"/>
      <c r="EO262" s="82"/>
      <c r="EP262" s="82"/>
      <c r="EQ262" s="82"/>
      <c r="ER262" s="82"/>
      <c r="ES262" s="82"/>
      <c r="ET262" s="82"/>
      <c r="EU262" s="82"/>
      <c r="EV262" s="82"/>
      <c r="EW262" s="82"/>
      <c r="EX262" s="82"/>
      <c r="EY262" s="82"/>
      <c r="EZ262" s="82"/>
      <c r="FA262" s="82"/>
      <c r="FB262" s="82"/>
      <c r="FC262" s="82"/>
      <c r="FD262" s="82"/>
      <c r="FE262" s="82"/>
      <c r="FF262" s="82"/>
      <c r="FG262" s="82"/>
      <c r="FH262" s="82"/>
      <c r="FI262" s="82"/>
      <c r="FJ262" s="82"/>
      <c r="FK262" s="82"/>
      <c r="FL262" s="82"/>
      <c r="FM262" s="82"/>
      <c r="FN262" s="82"/>
      <c r="FO262" s="82"/>
      <c r="FP262" s="82"/>
      <c r="FQ262" s="82"/>
      <c r="FR262" s="82"/>
      <c r="FS262" s="82"/>
      <c r="FT262" s="82"/>
      <c r="FU262" s="82"/>
      <c r="FV262" s="82"/>
      <c r="FW262" s="82"/>
      <c r="FX262" s="82"/>
      <c r="FY262" s="82"/>
      <c r="FZ262" s="82"/>
      <c r="GA262" s="82"/>
      <c r="GB262" s="82"/>
      <c r="GC262" s="82"/>
      <c r="GD262" s="82"/>
      <c r="GE262" s="82"/>
      <c r="GF262" s="85"/>
    </row>
    <row r="263" ht="30.0" customHeight="1">
      <c r="A263" s="96">
        <v>12.0</v>
      </c>
      <c r="B263" s="58"/>
      <c r="C263" s="58" t="s">
        <v>293</v>
      </c>
      <c r="D263" s="78" t="s">
        <v>96</v>
      </c>
      <c r="E263" s="79"/>
      <c r="F263" s="61"/>
      <c r="G263" s="81">
        <v>0.0</v>
      </c>
      <c r="H263" s="82">
        <v>0.0</v>
      </c>
      <c r="I263" s="82"/>
      <c r="J263" s="82"/>
      <c r="K263" s="82">
        <f t="shared" ref="K263:K267" si="2065">SUM(I263:J263)</f>
        <v>0</v>
      </c>
      <c r="L263" s="82">
        <f t="shared" ref="L263:L267" si="2066">K263*E263</f>
        <v>0</v>
      </c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>
        <f t="shared" ref="AB263:AB267" si="2067">SUM(M263:AA263)</f>
        <v>0</v>
      </c>
      <c r="AC263" s="82">
        <f t="shared" ref="AC263:AC267" si="2068">AB263*E263</f>
        <v>0</v>
      </c>
      <c r="AD263" s="82">
        <f t="shared" si="1807"/>
        <v>0</v>
      </c>
      <c r="AE263" s="82">
        <f t="shared" ref="AE263:AE267" si="2069">AD263*E263</f>
        <v>0</v>
      </c>
      <c r="AF263" s="82"/>
      <c r="AG263" s="82"/>
      <c r="AH263" s="82">
        <f t="shared" ref="AH263:AH267" si="2070">SUM(AF263:AG263)</f>
        <v>0</v>
      </c>
      <c r="AI263" s="82">
        <f t="shared" ref="AI263:AI267" si="2071">AH263*E263</f>
        <v>0</v>
      </c>
      <c r="AJ263" s="82"/>
      <c r="AK263" s="82"/>
      <c r="AL263" s="82"/>
      <c r="AM263" s="82"/>
      <c r="AN263" s="82">
        <f t="shared" ref="AN263:AN267" si="2072">SUM(AJ263:AM263)</f>
        <v>0</v>
      </c>
      <c r="AO263" s="82">
        <f t="shared" ref="AO263:AO267" si="2073">AN263*E263</f>
        <v>0</v>
      </c>
      <c r="AP263" s="82">
        <f t="shared" si="1813"/>
        <v>0</v>
      </c>
      <c r="AQ263" s="82">
        <f t="shared" ref="AQ263:AQ267" si="2074">AP263*E263</f>
        <v>0</v>
      </c>
      <c r="AR263" s="82"/>
      <c r="AS263" s="82"/>
      <c r="AT263" s="82"/>
      <c r="AU263" s="82">
        <f t="shared" ref="AU263:AU267" si="2075">SUM(AS263:AT263)</f>
        <v>0</v>
      </c>
      <c r="AV263" s="82">
        <f t="shared" ref="AV263:AV267" si="2076">AU263*AB263</f>
        <v>0</v>
      </c>
      <c r="AW263" s="82"/>
      <c r="AX263" s="82"/>
      <c r="AY263" s="82"/>
      <c r="AZ263" s="82"/>
      <c r="BA263" s="82">
        <f t="shared" ref="BA263:BA267" si="2077">SUM(AW263:AZ263)</f>
        <v>0</v>
      </c>
      <c r="BB263" s="82">
        <f t="shared" ref="BB263:BB267" si="2078">BA263*AB263</f>
        <v>0</v>
      </c>
      <c r="BC263" s="82">
        <f t="shared" si="1819"/>
        <v>0</v>
      </c>
      <c r="BD263" s="82">
        <f t="shared" ref="BD263:BD267" si="2079">BC263*E263</f>
        <v>0</v>
      </c>
      <c r="BE263" s="82">
        <f t="shared" ref="BE263:BE267" si="2080">K263+AH263+AU263</f>
        <v>0</v>
      </c>
      <c r="BF263" s="82">
        <f t="shared" ref="BF263:BF267" si="2081">AB263+AN263+BA263</f>
        <v>0</v>
      </c>
      <c r="BG263" s="82">
        <f t="shared" si="1823"/>
        <v>0</v>
      </c>
      <c r="BH263" s="82">
        <f t="shared" ref="BH263:BH267" si="2082">BG263*E263</f>
        <v>0</v>
      </c>
      <c r="BI263" s="82"/>
      <c r="BJ263" s="83"/>
      <c r="BK263" s="82">
        <f t="shared" ref="BK263:BK267" si="2083">SUM(BI263:BJ263)</f>
        <v>0</v>
      </c>
      <c r="BL263" s="82">
        <f t="shared" ref="BL263:BL267" si="2084">BK263*E263</f>
        <v>0</v>
      </c>
      <c r="BM263" s="82"/>
      <c r="BN263" s="82"/>
      <c r="BO263" s="82"/>
      <c r="BP263" s="82"/>
      <c r="BQ263" s="82"/>
      <c r="BR263" s="82"/>
      <c r="BS263" s="82"/>
      <c r="BT263" s="82"/>
      <c r="BU263" s="82"/>
      <c r="BV263" s="82"/>
      <c r="BW263" s="82">
        <f t="shared" ref="BW263:BW267" si="2085">SUM(BM263:BV263)</f>
        <v>0</v>
      </c>
      <c r="BX263" s="82">
        <f t="shared" ref="BX263:BX267" si="2086">BW263*E263</f>
        <v>0</v>
      </c>
      <c r="BY263" s="82">
        <f t="shared" si="1829"/>
        <v>0</v>
      </c>
      <c r="BZ263" s="82">
        <f t="shared" ref="BZ263:BZ267" si="2087">BY263*E263</f>
        <v>0</v>
      </c>
      <c r="CA263" s="82"/>
      <c r="CB263" s="82"/>
      <c r="CC263" s="82">
        <f t="shared" ref="CC263:CC267" si="2088">sum(CA263:CB263)</f>
        <v>0</v>
      </c>
      <c r="CD263" s="82">
        <f t="shared" ref="CD263:CD267" si="2089">CC263*E263</f>
        <v>0</v>
      </c>
      <c r="CE263" s="82"/>
      <c r="CF263" s="82"/>
      <c r="CG263" s="82"/>
      <c r="CH263" s="82"/>
      <c r="CI263" s="82">
        <f t="shared" ref="CI263:CI267" si="2090">sum(CE263:CH263)</f>
        <v>0</v>
      </c>
      <c r="CJ263" s="82">
        <f t="shared" ref="CJ263:CJ267" si="2091">CI263*E263</f>
        <v>0</v>
      </c>
      <c r="CK263" s="82">
        <f t="shared" si="1835"/>
        <v>0</v>
      </c>
      <c r="CL263" s="82">
        <f t="shared" ref="CL263:CL267" si="2092">CK263*E263</f>
        <v>0</v>
      </c>
      <c r="CM263" s="82"/>
      <c r="CN263" s="82"/>
      <c r="CO263" s="82">
        <f t="shared" si="1837"/>
        <v>0</v>
      </c>
      <c r="CP263" s="82">
        <f t="shared" si="1838"/>
        <v>0</v>
      </c>
      <c r="CQ263" s="82"/>
      <c r="CR263" s="82"/>
      <c r="CS263" s="82"/>
      <c r="CT263" s="82"/>
      <c r="CU263" s="82">
        <f t="shared" ref="CU263:CU267" si="2093">sum(CQ263:CT263)</f>
        <v>0</v>
      </c>
      <c r="CV263" s="82">
        <f t="shared" ref="CV263:CV267" si="2094">CU263*E263</f>
        <v>0</v>
      </c>
      <c r="CW263" s="82">
        <f t="shared" si="1841"/>
        <v>0</v>
      </c>
      <c r="CX263" s="82">
        <f t="shared" ref="CX263:CX267" si="2095">CW263*E263</f>
        <v>0</v>
      </c>
      <c r="CY263" s="82">
        <f t="shared" si="1843"/>
        <v>0</v>
      </c>
      <c r="CZ263" s="82">
        <f t="shared" si="1844"/>
        <v>0</v>
      </c>
      <c r="DA263" s="82">
        <f t="shared" si="1845"/>
        <v>0</v>
      </c>
      <c r="DB263" s="82">
        <f t="shared" si="1846"/>
        <v>0</v>
      </c>
      <c r="DC263" s="91"/>
      <c r="DD263" s="82"/>
      <c r="DE263" s="82"/>
      <c r="DF263" s="82">
        <f t="shared" ref="DF263:DF267" si="2096">sum(DD263:DE263)</f>
        <v>0</v>
      </c>
      <c r="DG263" s="82">
        <f t="shared" ref="DG263:DG267" si="2097">DF263*E263</f>
        <v>0</v>
      </c>
      <c r="DH263" s="82"/>
      <c r="DI263" s="82"/>
      <c r="DJ263" s="82"/>
      <c r="DK263" s="82"/>
      <c r="DL263" s="82">
        <f t="shared" ref="DL263:DL267" si="2098">sum(DH263:DK263)</f>
        <v>0</v>
      </c>
      <c r="DM263" s="82">
        <f t="shared" ref="DM263:DM267" si="2099">DL263*E263</f>
        <v>0</v>
      </c>
      <c r="DN263" s="82">
        <f t="shared" ref="DN263:DN267" si="2100">DA263+DF263-DL263</f>
        <v>0</v>
      </c>
      <c r="DO263" s="82">
        <f t="shared" ref="DO263:DO267" si="2101">DN263*E263</f>
        <v>0</v>
      </c>
      <c r="DP263" s="82"/>
      <c r="DQ263" s="82"/>
      <c r="DR263" s="82">
        <f t="shared" ref="DR263:DR267" si="2102">sum(DP263:DQ263)</f>
        <v>0</v>
      </c>
      <c r="DS263" s="82">
        <f t="shared" ref="DS263:DS267" si="2103">DR263*AB263</f>
        <v>0</v>
      </c>
      <c r="DT263" s="82"/>
      <c r="DU263" s="82"/>
      <c r="DV263" s="82"/>
      <c r="DW263" s="82"/>
      <c r="DX263" s="82">
        <f t="shared" ref="DX263:DX267" si="2104">sum(DT263:DW263)</f>
        <v>0</v>
      </c>
      <c r="DY263" s="82">
        <f t="shared" ref="DY263:DY267" si="2105">DX263*AB263</f>
        <v>0</v>
      </c>
      <c r="DZ263" s="82">
        <f t="shared" ref="DZ263:DZ267" si="2106">DN263+DR263-DX263</f>
        <v>0</v>
      </c>
      <c r="EA263" s="82">
        <f t="shared" ref="EA263:EA267" si="2107">DZ263*E263</f>
        <v>0</v>
      </c>
      <c r="EB263" s="82"/>
      <c r="EC263" s="82"/>
      <c r="ED263" s="82">
        <f t="shared" ref="ED263:ED267" si="2108">sum(EB263:EC263)</f>
        <v>0</v>
      </c>
      <c r="EE263" s="82">
        <f t="shared" ref="EE263:EE267" si="2109">ED263*AN263</f>
        <v>0</v>
      </c>
      <c r="EF263" s="82"/>
      <c r="EG263" s="82"/>
      <c r="EH263" s="82"/>
      <c r="EI263" s="82"/>
      <c r="EJ263" s="82">
        <f t="shared" ref="EJ263:EJ267" si="2110">sum(EF263:EI263)</f>
        <v>0</v>
      </c>
      <c r="EK263" s="82">
        <f t="shared" ref="EK263:EK267" si="2111">EJ263*AN263</f>
        <v>0</v>
      </c>
      <c r="EL263" s="82">
        <f t="shared" ref="EL263:EL267" si="2112">DZ263+ED263-EJ263</f>
        <v>0</v>
      </c>
      <c r="EM263" s="82">
        <f t="shared" ref="EM263:EM267" si="2113">EL263*E263</f>
        <v>0</v>
      </c>
      <c r="EN263" s="82">
        <f t="shared" ref="EN263:EN267" si="2114">DF263+DR263+ED263</f>
        <v>0</v>
      </c>
      <c r="EO263" s="82">
        <f t="shared" ref="EO263:EO267" si="2115">DL263+DX263+EJ263</f>
        <v>0</v>
      </c>
      <c r="EP263" s="82">
        <f t="shared" ref="EP263:EP267" si="2116">DA263+EN263-EO263</f>
        <v>0</v>
      </c>
      <c r="EQ263" s="82">
        <f t="shared" ref="EQ263:EQ267" si="2117">EP263*E263</f>
        <v>0</v>
      </c>
      <c r="ER263" s="82"/>
      <c r="ES263" s="82"/>
      <c r="ET263" s="82">
        <f t="shared" ref="ET263:ET267" si="2118">sum(ER263:ES263)</f>
        <v>0</v>
      </c>
      <c r="EU263" s="82">
        <f t="shared" ref="EU263:EU267" si="2119">ET263*BE263</f>
        <v>0</v>
      </c>
      <c r="EV263" s="82"/>
      <c r="EW263" s="82"/>
      <c r="EX263" s="82"/>
      <c r="EY263" s="82"/>
      <c r="EZ263" s="82">
        <f t="shared" ref="EZ263:EZ267" si="2120">sum(EV263:EY263)</f>
        <v>0</v>
      </c>
      <c r="FA263" s="82">
        <f t="shared" ref="FA263:FA267" si="2121">EZ263*BE263</f>
        <v>0</v>
      </c>
      <c r="FB263" s="82">
        <f t="shared" ref="FB263:FB267" si="2122">EP263+ET263-EZ263</f>
        <v>0</v>
      </c>
      <c r="FC263" s="82">
        <f t="shared" ref="FC263:FC267" si="2123">FB263*E263</f>
        <v>0</v>
      </c>
      <c r="FD263" s="82"/>
      <c r="FE263" s="82"/>
      <c r="FF263" s="82">
        <f t="shared" ref="FF263:FF267" si="2124">sum(FD263:FE263)</f>
        <v>0</v>
      </c>
      <c r="FG263" s="82">
        <f t="shared" ref="FG263:FG267" si="2125">FF263*BW263</f>
        <v>0</v>
      </c>
      <c r="FH263" s="82"/>
      <c r="FI263" s="82"/>
      <c r="FJ263" s="82"/>
      <c r="FK263" s="82"/>
      <c r="FL263" s="82">
        <f t="shared" ref="FL263:FL267" si="2126">sum(FH263:FK263)</f>
        <v>0</v>
      </c>
      <c r="FM263" s="82">
        <f t="shared" ref="FM263:FM267" si="2127">FL263*BW263</f>
        <v>0</v>
      </c>
      <c r="FN263" s="82">
        <f t="shared" ref="FN263:FN267" si="2128">FB263+FF263-FL263</f>
        <v>0</v>
      </c>
      <c r="FO263" s="82">
        <f t="shared" ref="FO263:FO267" si="2129">FN263*E263</f>
        <v>0</v>
      </c>
      <c r="FP263" s="82"/>
      <c r="FQ263" s="82"/>
      <c r="FR263" s="82">
        <f t="shared" ref="FR263:FR267" si="2130">sum(FP263:FQ263)</f>
        <v>0</v>
      </c>
      <c r="FS263" s="82">
        <f t="shared" ref="FS263:FS267" si="2131">FR263*CI263</f>
        <v>0</v>
      </c>
      <c r="FT263" s="82"/>
      <c r="FU263" s="82"/>
      <c r="FV263" s="82"/>
      <c r="FW263" s="82"/>
      <c r="FX263" s="82">
        <f t="shared" ref="FX263:FX267" si="2132">sum(FT263:FW263)</f>
        <v>0</v>
      </c>
      <c r="FY263" s="82">
        <f t="shared" ref="FY263:FY267" si="2133">FX263*CI263</f>
        <v>0</v>
      </c>
      <c r="FZ263" s="82">
        <f t="shared" ref="FZ263:FZ267" si="2134">FN263+FR263-FX263</f>
        <v>0</v>
      </c>
      <c r="GA263" s="82">
        <f t="shared" ref="GA263:GA267" si="2135">FZ263*E263</f>
        <v>0</v>
      </c>
      <c r="GB263" s="82">
        <f t="shared" ref="GB263:GB267" si="2136">ET263+FF263+FR263</f>
        <v>0</v>
      </c>
      <c r="GC263" s="82">
        <f t="shared" ref="GC263:GC267" si="2137">EZ263+FL263+FX263</f>
        <v>0</v>
      </c>
      <c r="GD263" s="82">
        <f t="shared" ref="GD263:GD267" si="2138">EP263+GB263-GC263</f>
        <v>0</v>
      </c>
      <c r="GE263" s="82">
        <f t="shared" ref="GE263:GE267" si="2139">GD263*E263</f>
        <v>0</v>
      </c>
      <c r="GF263" s="85"/>
    </row>
    <row r="264" ht="30.0" customHeight="1">
      <c r="A264" s="96">
        <v>13.0</v>
      </c>
      <c r="B264" s="58"/>
      <c r="C264" s="58" t="s">
        <v>294</v>
      </c>
      <c r="D264" s="78" t="s">
        <v>121</v>
      </c>
      <c r="E264" s="79">
        <v>133200.0</v>
      </c>
      <c r="F264" s="61" t="s">
        <v>92</v>
      </c>
      <c r="G264" s="81">
        <v>9.0</v>
      </c>
      <c r="H264" s="82">
        <v>1198800.0</v>
      </c>
      <c r="I264" s="82"/>
      <c r="J264" s="82"/>
      <c r="K264" s="82">
        <f t="shared" si="2065"/>
        <v>0</v>
      </c>
      <c r="L264" s="82">
        <f t="shared" si="2066"/>
        <v>0</v>
      </c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>
        <f t="shared" si="2067"/>
        <v>0</v>
      </c>
      <c r="AC264" s="82">
        <f t="shared" si="2068"/>
        <v>0</v>
      </c>
      <c r="AD264" s="82">
        <f t="shared" si="1807"/>
        <v>9</v>
      </c>
      <c r="AE264" s="82">
        <f t="shared" si="2069"/>
        <v>1198800</v>
      </c>
      <c r="AF264" s="82"/>
      <c r="AG264" s="82"/>
      <c r="AH264" s="82">
        <f t="shared" si="2070"/>
        <v>0</v>
      </c>
      <c r="AI264" s="82">
        <f t="shared" si="2071"/>
        <v>0</v>
      </c>
      <c r="AJ264" s="82"/>
      <c r="AK264" s="82"/>
      <c r="AL264" s="82"/>
      <c r="AM264" s="82"/>
      <c r="AN264" s="82">
        <f t="shared" si="2072"/>
        <v>0</v>
      </c>
      <c r="AO264" s="82">
        <f t="shared" si="2073"/>
        <v>0</v>
      </c>
      <c r="AP264" s="82">
        <f t="shared" si="1813"/>
        <v>9</v>
      </c>
      <c r="AQ264" s="82">
        <f t="shared" si="2074"/>
        <v>1198800</v>
      </c>
      <c r="AR264" s="82"/>
      <c r="AS264" s="82"/>
      <c r="AT264" s="82"/>
      <c r="AU264" s="82">
        <f t="shared" si="2075"/>
        <v>0</v>
      </c>
      <c r="AV264" s="82">
        <f t="shared" si="2076"/>
        <v>0</v>
      </c>
      <c r="AW264" s="82"/>
      <c r="AX264" s="82"/>
      <c r="AY264" s="82"/>
      <c r="AZ264" s="82"/>
      <c r="BA264" s="82">
        <f t="shared" si="2077"/>
        <v>0</v>
      </c>
      <c r="BB264" s="82">
        <f t="shared" si="2078"/>
        <v>0</v>
      </c>
      <c r="BC264" s="82">
        <f t="shared" si="1819"/>
        <v>9</v>
      </c>
      <c r="BD264" s="82">
        <f t="shared" si="2079"/>
        <v>1198800</v>
      </c>
      <c r="BE264" s="82">
        <f t="shared" si="2080"/>
        <v>0</v>
      </c>
      <c r="BF264" s="82">
        <f t="shared" si="2081"/>
        <v>0</v>
      </c>
      <c r="BG264" s="82">
        <f t="shared" si="1823"/>
        <v>9</v>
      </c>
      <c r="BH264" s="82">
        <f t="shared" si="2082"/>
        <v>1198800</v>
      </c>
      <c r="BI264" s="82"/>
      <c r="BJ264" s="83"/>
      <c r="BK264" s="82">
        <f t="shared" si="2083"/>
        <v>0</v>
      </c>
      <c r="BL264" s="82">
        <f t="shared" si="2084"/>
        <v>0</v>
      </c>
      <c r="BM264" s="82"/>
      <c r="BN264" s="82"/>
      <c r="BO264" s="82"/>
      <c r="BP264" s="82"/>
      <c r="BQ264" s="82"/>
      <c r="BR264" s="82"/>
      <c r="BS264" s="82"/>
      <c r="BT264" s="82"/>
      <c r="BU264" s="82"/>
      <c r="BV264" s="82"/>
      <c r="BW264" s="82">
        <f t="shared" si="2085"/>
        <v>0</v>
      </c>
      <c r="BX264" s="82">
        <f t="shared" si="2086"/>
        <v>0</v>
      </c>
      <c r="BY264" s="82">
        <f t="shared" si="1829"/>
        <v>9</v>
      </c>
      <c r="BZ264" s="82">
        <f t="shared" si="2087"/>
        <v>1198800</v>
      </c>
      <c r="CA264" s="82"/>
      <c r="CB264" s="82"/>
      <c r="CC264" s="82">
        <f t="shared" si="2088"/>
        <v>0</v>
      </c>
      <c r="CD264" s="82">
        <f t="shared" si="2089"/>
        <v>0</v>
      </c>
      <c r="CE264" s="82"/>
      <c r="CF264" s="82"/>
      <c r="CG264" s="82"/>
      <c r="CH264" s="82"/>
      <c r="CI264" s="82">
        <f t="shared" si="2090"/>
        <v>0</v>
      </c>
      <c r="CJ264" s="82">
        <f t="shared" si="2091"/>
        <v>0</v>
      </c>
      <c r="CK264" s="82">
        <f t="shared" si="1835"/>
        <v>9</v>
      </c>
      <c r="CL264" s="82">
        <f t="shared" si="2092"/>
        <v>1198800</v>
      </c>
      <c r="CM264" s="82"/>
      <c r="CN264" s="82"/>
      <c r="CO264" s="82">
        <f t="shared" si="1837"/>
        <v>0</v>
      </c>
      <c r="CP264" s="82">
        <f t="shared" si="1838"/>
        <v>0</v>
      </c>
      <c r="CQ264" s="82"/>
      <c r="CR264" s="82"/>
      <c r="CS264" s="82"/>
      <c r="CT264" s="82"/>
      <c r="CU264" s="82">
        <f t="shared" si="2093"/>
        <v>0</v>
      </c>
      <c r="CV264" s="82">
        <f t="shared" si="2094"/>
        <v>0</v>
      </c>
      <c r="CW264" s="82">
        <f t="shared" si="1841"/>
        <v>9</v>
      </c>
      <c r="CX264" s="82">
        <f t="shared" si="2095"/>
        <v>1198800</v>
      </c>
      <c r="CY264" s="82">
        <f t="shared" si="1843"/>
        <v>0</v>
      </c>
      <c r="CZ264" s="82">
        <f t="shared" si="1844"/>
        <v>0</v>
      </c>
      <c r="DA264" s="82">
        <f t="shared" si="1845"/>
        <v>9</v>
      </c>
      <c r="DB264" s="82">
        <f t="shared" si="1846"/>
        <v>1198800</v>
      </c>
      <c r="DC264" s="91"/>
      <c r="DD264" s="82"/>
      <c r="DE264" s="82"/>
      <c r="DF264" s="82">
        <f t="shared" si="2096"/>
        <v>0</v>
      </c>
      <c r="DG264" s="82">
        <f t="shared" si="2097"/>
        <v>0</v>
      </c>
      <c r="DH264" s="82"/>
      <c r="DI264" s="82"/>
      <c r="DJ264" s="82"/>
      <c r="DK264" s="82"/>
      <c r="DL264" s="82">
        <f t="shared" si="2098"/>
        <v>0</v>
      </c>
      <c r="DM264" s="82">
        <f t="shared" si="2099"/>
        <v>0</v>
      </c>
      <c r="DN264" s="82">
        <f t="shared" si="2100"/>
        <v>9</v>
      </c>
      <c r="DO264" s="82">
        <f t="shared" si="2101"/>
        <v>1198800</v>
      </c>
      <c r="DP264" s="82"/>
      <c r="DQ264" s="82"/>
      <c r="DR264" s="82">
        <f t="shared" si="2102"/>
        <v>0</v>
      </c>
      <c r="DS264" s="82">
        <f t="shared" si="2103"/>
        <v>0</v>
      </c>
      <c r="DT264" s="82"/>
      <c r="DU264" s="82"/>
      <c r="DV264" s="82"/>
      <c r="DW264" s="82"/>
      <c r="DX264" s="82">
        <f t="shared" si="2104"/>
        <v>0</v>
      </c>
      <c r="DY264" s="82">
        <f t="shared" si="2105"/>
        <v>0</v>
      </c>
      <c r="DZ264" s="82">
        <f t="shared" si="2106"/>
        <v>9</v>
      </c>
      <c r="EA264" s="82">
        <f t="shared" si="2107"/>
        <v>1198800</v>
      </c>
      <c r="EB264" s="82"/>
      <c r="EC264" s="82"/>
      <c r="ED264" s="82">
        <f t="shared" si="2108"/>
        <v>0</v>
      </c>
      <c r="EE264" s="82">
        <f t="shared" si="2109"/>
        <v>0</v>
      </c>
      <c r="EF264" s="82"/>
      <c r="EG264" s="82"/>
      <c r="EH264" s="82"/>
      <c r="EI264" s="82"/>
      <c r="EJ264" s="82">
        <f t="shared" si="2110"/>
        <v>0</v>
      </c>
      <c r="EK264" s="82">
        <f t="shared" si="2111"/>
        <v>0</v>
      </c>
      <c r="EL264" s="82">
        <f t="shared" si="2112"/>
        <v>9</v>
      </c>
      <c r="EM264" s="82">
        <f t="shared" si="2113"/>
        <v>1198800</v>
      </c>
      <c r="EN264" s="82">
        <f t="shared" si="2114"/>
        <v>0</v>
      </c>
      <c r="EO264" s="82">
        <f t="shared" si="2115"/>
        <v>0</v>
      </c>
      <c r="EP264" s="82">
        <f t="shared" si="2116"/>
        <v>9</v>
      </c>
      <c r="EQ264" s="82">
        <f t="shared" si="2117"/>
        <v>1198800</v>
      </c>
      <c r="ER264" s="82"/>
      <c r="ES264" s="82"/>
      <c r="ET264" s="82">
        <f t="shared" si="2118"/>
        <v>0</v>
      </c>
      <c r="EU264" s="82">
        <f t="shared" si="2119"/>
        <v>0</v>
      </c>
      <c r="EV264" s="82"/>
      <c r="EW264" s="82"/>
      <c r="EX264" s="82"/>
      <c r="EY264" s="82"/>
      <c r="EZ264" s="82">
        <f t="shared" si="2120"/>
        <v>0</v>
      </c>
      <c r="FA264" s="82">
        <f t="shared" si="2121"/>
        <v>0</v>
      </c>
      <c r="FB264" s="82">
        <f t="shared" si="2122"/>
        <v>9</v>
      </c>
      <c r="FC264" s="82">
        <f t="shared" si="2123"/>
        <v>1198800</v>
      </c>
      <c r="FD264" s="82"/>
      <c r="FE264" s="82"/>
      <c r="FF264" s="82">
        <f t="shared" si="2124"/>
        <v>0</v>
      </c>
      <c r="FG264" s="82">
        <f t="shared" si="2125"/>
        <v>0</v>
      </c>
      <c r="FH264" s="82"/>
      <c r="FI264" s="82"/>
      <c r="FJ264" s="82"/>
      <c r="FK264" s="82"/>
      <c r="FL264" s="82">
        <f t="shared" si="2126"/>
        <v>0</v>
      </c>
      <c r="FM264" s="82">
        <f t="shared" si="2127"/>
        <v>0</v>
      </c>
      <c r="FN264" s="82">
        <f t="shared" si="2128"/>
        <v>9</v>
      </c>
      <c r="FO264" s="82">
        <f t="shared" si="2129"/>
        <v>1198800</v>
      </c>
      <c r="FP264" s="82"/>
      <c r="FQ264" s="82"/>
      <c r="FR264" s="82">
        <f t="shared" si="2130"/>
        <v>0</v>
      </c>
      <c r="FS264" s="82">
        <f t="shared" si="2131"/>
        <v>0</v>
      </c>
      <c r="FT264" s="82"/>
      <c r="FU264" s="82"/>
      <c r="FV264" s="82"/>
      <c r="FW264" s="82"/>
      <c r="FX264" s="82">
        <f t="shared" si="2132"/>
        <v>0</v>
      </c>
      <c r="FY264" s="82">
        <f t="shared" si="2133"/>
        <v>0</v>
      </c>
      <c r="FZ264" s="82">
        <f t="shared" si="2134"/>
        <v>9</v>
      </c>
      <c r="GA264" s="82">
        <f t="shared" si="2135"/>
        <v>1198800</v>
      </c>
      <c r="GB264" s="82">
        <f t="shared" si="2136"/>
        <v>0</v>
      </c>
      <c r="GC264" s="82">
        <f t="shared" si="2137"/>
        <v>0</v>
      </c>
      <c r="GD264" s="82">
        <f t="shared" si="2138"/>
        <v>9</v>
      </c>
      <c r="GE264" s="82">
        <f t="shared" si="2139"/>
        <v>1198800</v>
      </c>
      <c r="GF264" s="85"/>
    </row>
    <row r="265" ht="30.0" customHeight="1">
      <c r="A265" s="96">
        <v>14.0</v>
      </c>
      <c r="B265" s="58"/>
      <c r="C265" s="58" t="s">
        <v>295</v>
      </c>
      <c r="D265" s="92" t="s">
        <v>292</v>
      </c>
      <c r="E265" s="86">
        <v>36036.0</v>
      </c>
      <c r="F265" s="80" t="s">
        <v>284</v>
      </c>
      <c r="G265" s="81">
        <v>5.0</v>
      </c>
      <c r="H265" s="82">
        <v>180180.0</v>
      </c>
      <c r="I265" s="82"/>
      <c r="J265" s="82"/>
      <c r="K265" s="82">
        <f t="shared" si="2065"/>
        <v>0</v>
      </c>
      <c r="L265" s="82">
        <f t="shared" si="2066"/>
        <v>0</v>
      </c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>
        <f t="shared" si="2067"/>
        <v>0</v>
      </c>
      <c r="AC265" s="82">
        <f t="shared" si="2068"/>
        <v>0</v>
      </c>
      <c r="AD265" s="82">
        <f t="shared" si="1807"/>
        <v>5</v>
      </c>
      <c r="AE265" s="82">
        <f t="shared" si="2069"/>
        <v>180180</v>
      </c>
      <c r="AF265" s="82"/>
      <c r="AG265" s="82"/>
      <c r="AH265" s="82">
        <f t="shared" si="2070"/>
        <v>0</v>
      </c>
      <c r="AI265" s="82">
        <f t="shared" si="2071"/>
        <v>0</v>
      </c>
      <c r="AJ265" s="82"/>
      <c r="AK265" s="82"/>
      <c r="AL265" s="82"/>
      <c r="AM265" s="82"/>
      <c r="AN265" s="82">
        <f t="shared" si="2072"/>
        <v>0</v>
      </c>
      <c r="AO265" s="82">
        <f t="shared" si="2073"/>
        <v>0</v>
      </c>
      <c r="AP265" s="82">
        <f t="shared" si="1813"/>
        <v>5</v>
      </c>
      <c r="AQ265" s="82">
        <f t="shared" si="2074"/>
        <v>180180</v>
      </c>
      <c r="AR265" s="82"/>
      <c r="AS265" s="82"/>
      <c r="AT265" s="82"/>
      <c r="AU265" s="82">
        <f t="shared" si="2075"/>
        <v>0</v>
      </c>
      <c r="AV265" s="82">
        <f t="shared" si="2076"/>
        <v>0</v>
      </c>
      <c r="AW265" s="82"/>
      <c r="AX265" s="82"/>
      <c r="AY265" s="82"/>
      <c r="AZ265" s="82"/>
      <c r="BA265" s="82">
        <f t="shared" si="2077"/>
        <v>0</v>
      </c>
      <c r="BB265" s="82">
        <f t="shared" si="2078"/>
        <v>0</v>
      </c>
      <c r="BC265" s="82">
        <f t="shared" si="1819"/>
        <v>5</v>
      </c>
      <c r="BD265" s="82">
        <f t="shared" si="2079"/>
        <v>180180</v>
      </c>
      <c r="BE265" s="82">
        <f t="shared" si="2080"/>
        <v>0</v>
      </c>
      <c r="BF265" s="82">
        <f t="shared" si="2081"/>
        <v>0</v>
      </c>
      <c r="BG265" s="82">
        <f t="shared" si="1823"/>
        <v>5</v>
      </c>
      <c r="BH265" s="82">
        <f t="shared" si="2082"/>
        <v>180180</v>
      </c>
      <c r="BI265" s="82"/>
      <c r="BJ265" s="83"/>
      <c r="BK265" s="82">
        <f t="shared" si="2083"/>
        <v>0</v>
      </c>
      <c r="BL265" s="82">
        <f t="shared" si="2084"/>
        <v>0</v>
      </c>
      <c r="BM265" s="82"/>
      <c r="BN265" s="82"/>
      <c r="BO265" s="82"/>
      <c r="BP265" s="82"/>
      <c r="BQ265" s="82"/>
      <c r="BR265" s="82"/>
      <c r="BS265" s="82"/>
      <c r="BT265" s="82"/>
      <c r="BU265" s="82"/>
      <c r="BV265" s="82"/>
      <c r="BW265" s="82">
        <f t="shared" si="2085"/>
        <v>0</v>
      </c>
      <c r="BX265" s="82">
        <f t="shared" si="2086"/>
        <v>0</v>
      </c>
      <c r="BY265" s="82">
        <f t="shared" si="1829"/>
        <v>5</v>
      </c>
      <c r="BZ265" s="82">
        <f t="shared" si="2087"/>
        <v>180180</v>
      </c>
      <c r="CA265" s="82"/>
      <c r="CB265" s="82"/>
      <c r="CC265" s="82">
        <f t="shared" si="2088"/>
        <v>0</v>
      </c>
      <c r="CD265" s="82">
        <f t="shared" si="2089"/>
        <v>0</v>
      </c>
      <c r="CE265" s="82"/>
      <c r="CF265" s="82"/>
      <c r="CG265" s="82"/>
      <c r="CH265" s="82"/>
      <c r="CI265" s="82">
        <f t="shared" si="2090"/>
        <v>0</v>
      </c>
      <c r="CJ265" s="82">
        <f t="shared" si="2091"/>
        <v>0</v>
      </c>
      <c r="CK265" s="82">
        <f t="shared" si="1835"/>
        <v>5</v>
      </c>
      <c r="CL265" s="82">
        <f t="shared" si="2092"/>
        <v>180180</v>
      </c>
      <c r="CM265" s="82"/>
      <c r="CN265" s="82"/>
      <c r="CO265" s="82">
        <f t="shared" si="1837"/>
        <v>0</v>
      </c>
      <c r="CP265" s="82">
        <f t="shared" si="1838"/>
        <v>0</v>
      </c>
      <c r="CQ265" s="82"/>
      <c r="CR265" s="82"/>
      <c r="CS265" s="82"/>
      <c r="CT265" s="82"/>
      <c r="CU265" s="82">
        <f t="shared" si="2093"/>
        <v>0</v>
      </c>
      <c r="CV265" s="82">
        <f t="shared" si="2094"/>
        <v>0</v>
      </c>
      <c r="CW265" s="82">
        <f t="shared" si="1841"/>
        <v>5</v>
      </c>
      <c r="CX265" s="82">
        <f t="shared" si="2095"/>
        <v>180180</v>
      </c>
      <c r="CY265" s="82">
        <f t="shared" si="1843"/>
        <v>0</v>
      </c>
      <c r="CZ265" s="82">
        <f t="shared" si="1844"/>
        <v>0</v>
      </c>
      <c r="DA265" s="82">
        <f t="shared" si="1845"/>
        <v>5</v>
      </c>
      <c r="DB265" s="82">
        <f t="shared" si="1846"/>
        <v>180180</v>
      </c>
      <c r="DC265" s="91"/>
      <c r="DD265" s="82"/>
      <c r="DE265" s="82"/>
      <c r="DF265" s="82">
        <f t="shared" si="2096"/>
        <v>0</v>
      </c>
      <c r="DG265" s="82">
        <f t="shared" si="2097"/>
        <v>0</v>
      </c>
      <c r="DH265" s="82"/>
      <c r="DI265" s="82"/>
      <c r="DJ265" s="82"/>
      <c r="DK265" s="82"/>
      <c r="DL265" s="82">
        <f t="shared" si="2098"/>
        <v>0</v>
      </c>
      <c r="DM265" s="82">
        <f t="shared" si="2099"/>
        <v>0</v>
      </c>
      <c r="DN265" s="82">
        <f t="shared" si="2100"/>
        <v>5</v>
      </c>
      <c r="DO265" s="82">
        <f t="shared" si="2101"/>
        <v>180180</v>
      </c>
      <c r="DP265" s="82"/>
      <c r="DQ265" s="82"/>
      <c r="DR265" s="82">
        <f t="shared" si="2102"/>
        <v>0</v>
      </c>
      <c r="DS265" s="82">
        <f t="shared" si="2103"/>
        <v>0</v>
      </c>
      <c r="DT265" s="82"/>
      <c r="DU265" s="82"/>
      <c r="DV265" s="82"/>
      <c r="DW265" s="82"/>
      <c r="DX265" s="82">
        <f t="shared" si="2104"/>
        <v>0</v>
      </c>
      <c r="DY265" s="82">
        <f t="shared" si="2105"/>
        <v>0</v>
      </c>
      <c r="DZ265" s="82">
        <f t="shared" si="2106"/>
        <v>5</v>
      </c>
      <c r="EA265" s="82">
        <f t="shared" si="2107"/>
        <v>180180</v>
      </c>
      <c r="EB265" s="82"/>
      <c r="EC265" s="82"/>
      <c r="ED265" s="82">
        <f t="shared" si="2108"/>
        <v>0</v>
      </c>
      <c r="EE265" s="82">
        <f t="shared" si="2109"/>
        <v>0</v>
      </c>
      <c r="EF265" s="82"/>
      <c r="EG265" s="82"/>
      <c r="EH265" s="82"/>
      <c r="EI265" s="82"/>
      <c r="EJ265" s="82">
        <f t="shared" si="2110"/>
        <v>0</v>
      </c>
      <c r="EK265" s="82">
        <f t="shared" si="2111"/>
        <v>0</v>
      </c>
      <c r="EL265" s="82">
        <f t="shared" si="2112"/>
        <v>5</v>
      </c>
      <c r="EM265" s="82">
        <f t="shared" si="2113"/>
        <v>180180</v>
      </c>
      <c r="EN265" s="82">
        <f t="shared" si="2114"/>
        <v>0</v>
      </c>
      <c r="EO265" s="82">
        <f t="shared" si="2115"/>
        <v>0</v>
      </c>
      <c r="EP265" s="82">
        <f t="shared" si="2116"/>
        <v>5</v>
      </c>
      <c r="EQ265" s="82">
        <f t="shared" si="2117"/>
        <v>180180</v>
      </c>
      <c r="ER265" s="82"/>
      <c r="ES265" s="82"/>
      <c r="ET265" s="82">
        <f t="shared" si="2118"/>
        <v>0</v>
      </c>
      <c r="EU265" s="82">
        <f t="shared" si="2119"/>
        <v>0</v>
      </c>
      <c r="EV265" s="82"/>
      <c r="EW265" s="82"/>
      <c r="EX265" s="82"/>
      <c r="EY265" s="82"/>
      <c r="EZ265" s="82">
        <f t="shared" si="2120"/>
        <v>0</v>
      </c>
      <c r="FA265" s="82">
        <f t="shared" si="2121"/>
        <v>0</v>
      </c>
      <c r="FB265" s="82">
        <f t="shared" si="2122"/>
        <v>5</v>
      </c>
      <c r="FC265" s="82">
        <f t="shared" si="2123"/>
        <v>180180</v>
      </c>
      <c r="FD265" s="82"/>
      <c r="FE265" s="82"/>
      <c r="FF265" s="82">
        <f t="shared" si="2124"/>
        <v>0</v>
      </c>
      <c r="FG265" s="82">
        <f t="shared" si="2125"/>
        <v>0</v>
      </c>
      <c r="FH265" s="82"/>
      <c r="FI265" s="82"/>
      <c r="FJ265" s="82"/>
      <c r="FK265" s="82"/>
      <c r="FL265" s="82">
        <f t="shared" si="2126"/>
        <v>0</v>
      </c>
      <c r="FM265" s="82">
        <f t="shared" si="2127"/>
        <v>0</v>
      </c>
      <c r="FN265" s="82">
        <f t="shared" si="2128"/>
        <v>5</v>
      </c>
      <c r="FO265" s="82">
        <f t="shared" si="2129"/>
        <v>180180</v>
      </c>
      <c r="FP265" s="82"/>
      <c r="FQ265" s="82"/>
      <c r="FR265" s="82">
        <f t="shared" si="2130"/>
        <v>0</v>
      </c>
      <c r="FS265" s="82">
        <f t="shared" si="2131"/>
        <v>0</v>
      </c>
      <c r="FT265" s="82"/>
      <c r="FU265" s="82"/>
      <c r="FV265" s="82"/>
      <c r="FW265" s="82"/>
      <c r="FX265" s="82">
        <f t="shared" si="2132"/>
        <v>0</v>
      </c>
      <c r="FY265" s="82">
        <f t="shared" si="2133"/>
        <v>0</v>
      </c>
      <c r="FZ265" s="82">
        <f t="shared" si="2134"/>
        <v>5</v>
      </c>
      <c r="GA265" s="82">
        <f t="shared" si="2135"/>
        <v>180180</v>
      </c>
      <c r="GB265" s="82">
        <f t="shared" si="2136"/>
        <v>0</v>
      </c>
      <c r="GC265" s="82">
        <f t="shared" si="2137"/>
        <v>0</v>
      </c>
      <c r="GD265" s="82">
        <f t="shared" si="2138"/>
        <v>5</v>
      </c>
      <c r="GE265" s="82">
        <f t="shared" si="2139"/>
        <v>180180</v>
      </c>
      <c r="GF265" s="85"/>
    </row>
    <row r="266" ht="30.0" customHeight="1">
      <c r="A266" s="76">
        <v>15.0</v>
      </c>
      <c r="B266" s="77"/>
      <c r="C266" s="77" t="s">
        <v>296</v>
      </c>
      <c r="D266" s="78" t="s">
        <v>91</v>
      </c>
      <c r="E266" s="86">
        <v>10811.0</v>
      </c>
      <c r="F266" s="80" t="s">
        <v>284</v>
      </c>
      <c r="G266" s="81">
        <v>182.0</v>
      </c>
      <c r="H266" s="82">
        <v>1967602.0</v>
      </c>
      <c r="I266" s="82"/>
      <c r="J266" s="82"/>
      <c r="K266" s="82">
        <f t="shared" si="2065"/>
        <v>0</v>
      </c>
      <c r="L266" s="82">
        <f t="shared" si="2066"/>
        <v>0</v>
      </c>
      <c r="M266" s="83">
        <v>5.0</v>
      </c>
      <c r="N266" s="83">
        <v>5.0</v>
      </c>
      <c r="O266" s="83">
        <v>5.0</v>
      </c>
      <c r="P266" s="83">
        <v>8.0</v>
      </c>
      <c r="Q266" s="83"/>
      <c r="R266" s="82"/>
      <c r="S266" s="82"/>
      <c r="T266" s="82"/>
      <c r="U266" s="83">
        <v>10.0</v>
      </c>
      <c r="V266" s="83">
        <v>5.0</v>
      </c>
      <c r="W266" s="82"/>
      <c r="X266" s="83">
        <v>5.0</v>
      </c>
      <c r="Y266" s="82"/>
      <c r="Z266" s="83">
        <v>6.0</v>
      </c>
      <c r="AA266" s="82"/>
      <c r="AB266" s="82">
        <f t="shared" si="2067"/>
        <v>49</v>
      </c>
      <c r="AC266" s="82">
        <f t="shared" si="2068"/>
        <v>529739</v>
      </c>
      <c r="AD266" s="82">
        <f t="shared" si="1807"/>
        <v>133</v>
      </c>
      <c r="AE266" s="82">
        <f t="shared" si="2069"/>
        <v>1437863</v>
      </c>
      <c r="AF266" s="82"/>
      <c r="AG266" s="82"/>
      <c r="AH266" s="82">
        <f t="shared" si="2070"/>
        <v>0</v>
      </c>
      <c r="AI266" s="82">
        <f t="shared" si="2071"/>
        <v>0</v>
      </c>
      <c r="AJ266" s="82"/>
      <c r="AK266" s="82"/>
      <c r="AL266" s="82"/>
      <c r="AM266" s="82"/>
      <c r="AN266" s="82">
        <f t="shared" si="2072"/>
        <v>0</v>
      </c>
      <c r="AO266" s="82">
        <f t="shared" si="2073"/>
        <v>0</v>
      </c>
      <c r="AP266" s="82">
        <f t="shared" si="1813"/>
        <v>133</v>
      </c>
      <c r="AQ266" s="82">
        <f t="shared" si="2074"/>
        <v>1437863</v>
      </c>
      <c r="AR266" s="82"/>
      <c r="AS266" s="82"/>
      <c r="AT266" s="82"/>
      <c r="AU266" s="82">
        <f t="shared" si="2075"/>
        <v>0</v>
      </c>
      <c r="AV266" s="82">
        <f t="shared" si="2076"/>
        <v>0</v>
      </c>
      <c r="AW266" s="82"/>
      <c r="AX266" s="82"/>
      <c r="AY266" s="82"/>
      <c r="AZ266" s="82"/>
      <c r="BA266" s="82">
        <f t="shared" si="2077"/>
        <v>0</v>
      </c>
      <c r="BB266" s="82">
        <f t="shared" si="2078"/>
        <v>0</v>
      </c>
      <c r="BC266" s="82">
        <f t="shared" si="1819"/>
        <v>133</v>
      </c>
      <c r="BD266" s="82">
        <f t="shared" si="2079"/>
        <v>1437863</v>
      </c>
      <c r="BE266" s="82">
        <f t="shared" si="2080"/>
        <v>0</v>
      </c>
      <c r="BF266" s="82">
        <f t="shared" si="2081"/>
        <v>49</v>
      </c>
      <c r="BG266" s="82">
        <f t="shared" si="1823"/>
        <v>133</v>
      </c>
      <c r="BH266" s="82">
        <f t="shared" si="2082"/>
        <v>1437863</v>
      </c>
      <c r="BI266" s="82"/>
      <c r="BJ266" s="83"/>
      <c r="BK266" s="82">
        <f t="shared" si="2083"/>
        <v>0</v>
      </c>
      <c r="BL266" s="82">
        <f t="shared" si="2084"/>
        <v>0</v>
      </c>
      <c r="BM266" s="82"/>
      <c r="BN266" s="82"/>
      <c r="BO266" s="83">
        <v>5.0</v>
      </c>
      <c r="BP266" s="82"/>
      <c r="BQ266" s="82"/>
      <c r="BR266" s="83">
        <v>5.0</v>
      </c>
      <c r="BS266" s="83">
        <v>40.0</v>
      </c>
      <c r="BT266" s="83"/>
      <c r="BU266" s="83"/>
      <c r="BV266" s="83">
        <v>6.0</v>
      </c>
      <c r="BW266" s="82">
        <f t="shared" si="2085"/>
        <v>56</v>
      </c>
      <c r="BX266" s="82">
        <f t="shared" si="2086"/>
        <v>605416</v>
      </c>
      <c r="BY266" s="82">
        <f t="shared" si="1829"/>
        <v>77</v>
      </c>
      <c r="BZ266" s="82">
        <f t="shared" si="2087"/>
        <v>832447</v>
      </c>
      <c r="CA266" s="82"/>
      <c r="CB266" s="82"/>
      <c r="CC266" s="82">
        <f t="shared" si="2088"/>
        <v>0</v>
      </c>
      <c r="CD266" s="82">
        <f t="shared" si="2089"/>
        <v>0</v>
      </c>
      <c r="CE266" s="83">
        <v>10.0</v>
      </c>
      <c r="CF266" s="82"/>
      <c r="CG266" s="82"/>
      <c r="CH266" s="82"/>
      <c r="CI266" s="82">
        <f t="shared" si="2090"/>
        <v>10</v>
      </c>
      <c r="CJ266" s="82">
        <f t="shared" si="2091"/>
        <v>108110</v>
      </c>
      <c r="CK266" s="82">
        <f t="shared" si="1835"/>
        <v>67</v>
      </c>
      <c r="CL266" s="82">
        <f t="shared" si="2092"/>
        <v>724337</v>
      </c>
      <c r="CM266" s="82"/>
      <c r="CN266" s="82"/>
      <c r="CO266" s="82">
        <f t="shared" si="1837"/>
        <v>0</v>
      </c>
      <c r="CP266" s="82">
        <f t="shared" si="1838"/>
        <v>0</v>
      </c>
      <c r="CQ266" s="82"/>
      <c r="CR266" s="82"/>
      <c r="CS266" s="82"/>
      <c r="CT266" s="82"/>
      <c r="CU266" s="82">
        <f t="shared" si="2093"/>
        <v>0</v>
      </c>
      <c r="CV266" s="82">
        <f t="shared" si="2094"/>
        <v>0</v>
      </c>
      <c r="CW266" s="82">
        <f t="shared" si="1841"/>
        <v>67</v>
      </c>
      <c r="CX266" s="82">
        <f t="shared" si="2095"/>
        <v>724337</v>
      </c>
      <c r="CY266" s="82">
        <f t="shared" si="1843"/>
        <v>0</v>
      </c>
      <c r="CZ266" s="82">
        <f t="shared" si="1844"/>
        <v>66</v>
      </c>
      <c r="DA266" s="82">
        <f t="shared" si="1845"/>
        <v>67</v>
      </c>
      <c r="DB266" s="82">
        <f t="shared" si="1846"/>
        <v>724337</v>
      </c>
      <c r="DC266" s="91"/>
      <c r="DD266" s="82"/>
      <c r="DE266" s="82"/>
      <c r="DF266" s="82">
        <f t="shared" si="2096"/>
        <v>0</v>
      </c>
      <c r="DG266" s="82">
        <f t="shared" si="2097"/>
        <v>0</v>
      </c>
      <c r="DH266" s="82"/>
      <c r="DI266" s="82"/>
      <c r="DJ266" s="82"/>
      <c r="DK266" s="82"/>
      <c r="DL266" s="82">
        <f t="shared" si="2098"/>
        <v>0</v>
      </c>
      <c r="DM266" s="82">
        <f t="shared" si="2099"/>
        <v>0</v>
      </c>
      <c r="DN266" s="82">
        <f t="shared" si="2100"/>
        <v>67</v>
      </c>
      <c r="DO266" s="82">
        <f t="shared" si="2101"/>
        <v>724337</v>
      </c>
      <c r="DP266" s="82"/>
      <c r="DQ266" s="82"/>
      <c r="DR266" s="82">
        <f t="shared" si="2102"/>
        <v>0</v>
      </c>
      <c r="DS266" s="82">
        <f t="shared" si="2103"/>
        <v>0</v>
      </c>
      <c r="DT266" s="82"/>
      <c r="DU266" s="82"/>
      <c r="DV266" s="82"/>
      <c r="DW266" s="82"/>
      <c r="DX266" s="82">
        <f t="shared" si="2104"/>
        <v>0</v>
      </c>
      <c r="DY266" s="82">
        <f t="shared" si="2105"/>
        <v>0</v>
      </c>
      <c r="DZ266" s="82">
        <f t="shared" si="2106"/>
        <v>67</v>
      </c>
      <c r="EA266" s="82">
        <f t="shared" si="2107"/>
        <v>724337</v>
      </c>
      <c r="EB266" s="82"/>
      <c r="EC266" s="82"/>
      <c r="ED266" s="82">
        <f t="shared" si="2108"/>
        <v>0</v>
      </c>
      <c r="EE266" s="82">
        <f t="shared" si="2109"/>
        <v>0</v>
      </c>
      <c r="EF266" s="82"/>
      <c r="EG266" s="82"/>
      <c r="EH266" s="82"/>
      <c r="EI266" s="82"/>
      <c r="EJ266" s="82">
        <f t="shared" si="2110"/>
        <v>0</v>
      </c>
      <c r="EK266" s="82">
        <f t="shared" si="2111"/>
        <v>0</v>
      </c>
      <c r="EL266" s="82">
        <f t="shared" si="2112"/>
        <v>67</v>
      </c>
      <c r="EM266" s="82">
        <f t="shared" si="2113"/>
        <v>724337</v>
      </c>
      <c r="EN266" s="82">
        <f t="shared" si="2114"/>
        <v>0</v>
      </c>
      <c r="EO266" s="82">
        <f t="shared" si="2115"/>
        <v>0</v>
      </c>
      <c r="EP266" s="82">
        <f t="shared" si="2116"/>
        <v>67</v>
      </c>
      <c r="EQ266" s="82">
        <f t="shared" si="2117"/>
        <v>724337</v>
      </c>
      <c r="ER266" s="82"/>
      <c r="ES266" s="82"/>
      <c r="ET266" s="82">
        <f t="shared" si="2118"/>
        <v>0</v>
      </c>
      <c r="EU266" s="82">
        <f t="shared" si="2119"/>
        <v>0</v>
      </c>
      <c r="EV266" s="82"/>
      <c r="EW266" s="82"/>
      <c r="EX266" s="82"/>
      <c r="EY266" s="82"/>
      <c r="EZ266" s="82">
        <f t="shared" si="2120"/>
        <v>0</v>
      </c>
      <c r="FA266" s="82">
        <f t="shared" si="2121"/>
        <v>0</v>
      </c>
      <c r="FB266" s="82">
        <f t="shared" si="2122"/>
        <v>67</v>
      </c>
      <c r="FC266" s="82">
        <f t="shared" si="2123"/>
        <v>724337</v>
      </c>
      <c r="FD266" s="82"/>
      <c r="FE266" s="82"/>
      <c r="FF266" s="82">
        <f t="shared" si="2124"/>
        <v>0</v>
      </c>
      <c r="FG266" s="82">
        <f t="shared" si="2125"/>
        <v>0</v>
      </c>
      <c r="FH266" s="82"/>
      <c r="FI266" s="82"/>
      <c r="FJ266" s="82"/>
      <c r="FK266" s="82"/>
      <c r="FL266" s="82">
        <f t="shared" si="2126"/>
        <v>0</v>
      </c>
      <c r="FM266" s="82">
        <f t="shared" si="2127"/>
        <v>0</v>
      </c>
      <c r="FN266" s="82">
        <f t="shared" si="2128"/>
        <v>67</v>
      </c>
      <c r="FO266" s="82">
        <f t="shared" si="2129"/>
        <v>724337</v>
      </c>
      <c r="FP266" s="82"/>
      <c r="FQ266" s="82"/>
      <c r="FR266" s="82">
        <f t="shared" si="2130"/>
        <v>0</v>
      </c>
      <c r="FS266" s="82">
        <f t="shared" si="2131"/>
        <v>0</v>
      </c>
      <c r="FT266" s="82"/>
      <c r="FU266" s="82"/>
      <c r="FV266" s="82"/>
      <c r="FW266" s="82"/>
      <c r="FX266" s="82">
        <f t="shared" si="2132"/>
        <v>0</v>
      </c>
      <c r="FY266" s="82">
        <f t="shared" si="2133"/>
        <v>0</v>
      </c>
      <c r="FZ266" s="82">
        <f t="shared" si="2134"/>
        <v>67</v>
      </c>
      <c r="GA266" s="82">
        <f t="shared" si="2135"/>
        <v>724337</v>
      </c>
      <c r="GB266" s="82">
        <f t="shared" si="2136"/>
        <v>0</v>
      </c>
      <c r="GC266" s="82">
        <f t="shared" si="2137"/>
        <v>0</v>
      </c>
      <c r="GD266" s="82">
        <f t="shared" si="2138"/>
        <v>67</v>
      </c>
      <c r="GE266" s="82">
        <f t="shared" si="2139"/>
        <v>724337</v>
      </c>
      <c r="GF266" s="85"/>
    </row>
    <row r="267" ht="30.0" customHeight="1">
      <c r="A267" s="50"/>
      <c r="B267" s="50"/>
      <c r="C267" s="50"/>
      <c r="D267" s="128" t="s">
        <v>91</v>
      </c>
      <c r="E267" s="124">
        <v>10811.4</v>
      </c>
      <c r="F267" s="125" t="s">
        <v>280</v>
      </c>
      <c r="G267" s="129">
        <v>340.0</v>
      </c>
      <c r="H267" s="82">
        <v>3675876.0</v>
      </c>
      <c r="I267" s="82"/>
      <c r="J267" s="82"/>
      <c r="K267" s="82">
        <f t="shared" si="2065"/>
        <v>0</v>
      </c>
      <c r="L267" s="82">
        <f t="shared" si="2066"/>
        <v>0</v>
      </c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>
        <f t="shared" si="2067"/>
        <v>0</v>
      </c>
      <c r="AC267" s="82">
        <f t="shared" si="2068"/>
        <v>0</v>
      </c>
      <c r="AD267" s="82">
        <f t="shared" si="1807"/>
        <v>340</v>
      </c>
      <c r="AE267" s="82">
        <f t="shared" si="2069"/>
        <v>3675876</v>
      </c>
      <c r="AF267" s="82"/>
      <c r="AG267" s="82"/>
      <c r="AH267" s="82">
        <f t="shared" si="2070"/>
        <v>0</v>
      </c>
      <c r="AI267" s="82">
        <f t="shared" si="2071"/>
        <v>0</v>
      </c>
      <c r="AJ267" s="82"/>
      <c r="AK267" s="82"/>
      <c r="AL267" s="82"/>
      <c r="AM267" s="82"/>
      <c r="AN267" s="82">
        <f t="shared" si="2072"/>
        <v>0</v>
      </c>
      <c r="AO267" s="82">
        <f t="shared" si="2073"/>
        <v>0</v>
      </c>
      <c r="AP267" s="82">
        <f t="shared" si="1813"/>
        <v>340</v>
      </c>
      <c r="AQ267" s="82">
        <f t="shared" si="2074"/>
        <v>3675876</v>
      </c>
      <c r="AR267" s="82"/>
      <c r="AS267" s="82"/>
      <c r="AT267" s="82"/>
      <c r="AU267" s="82">
        <f t="shared" si="2075"/>
        <v>0</v>
      </c>
      <c r="AV267" s="82">
        <f t="shared" si="2076"/>
        <v>0</v>
      </c>
      <c r="AW267" s="82"/>
      <c r="AX267" s="82"/>
      <c r="AY267" s="82"/>
      <c r="AZ267" s="82"/>
      <c r="BA267" s="82">
        <f t="shared" si="2077"/>
        <v>0</v>
      </c>
      <c r="BB267" s="82">
        <f t="shared" si="2078"/>
        <v>0</v>
      </c>
      <c r="BC267" s="82">
        <f t="shared" si="1819"/>
        <v>340</v>
      </c>
      <c r="BD267" s="82">
        <f t="shared" si="2079"/>
        <v>3675876</v>
      </c>
      <c r="BE267" s="82">
        <f t="shared" si="2080"/>
        <v>0</v>
      </c>
      <c r="BF267" s="82">
        <f t="shared" si="2081"/>
        <v>0</v>
      </c>
      <c r="BG267" s="82">
        <f t="shared" si="1823"/>
        <v>340</v>
      </c>
      <c r="BH267" s="82">
        <f t="shared" si="2082"/>
        <v>3675876</v>
      </c>
      <c r="BI267" s="82"/>
      <c r="BJ267" s="83"/>
      <c r="BK267" s="82">
        <f t="shared" si="2083"/>
        <v>0</v>
      </c>
      <c r="BL267" s="82">
        <f t="shared" si="2084"/>
        <v>0</v>
      </c>
      <c r="BM267" s="82"/>
      <c r="BN267" s="82"/>
      <c r="BO267" s="82"/>
      <c r="BP267" s="82"/>
      <c r="BQ267" s="82"/>
      <c r="BR267" s="82"/>
      <c r="BS267" s="82"/>
      <c r="BT267" s="82"/>
      <c r="BU267" s="82"/>
      <c r="BV267" s="82"/>
      <c r="BW267" s="82">
        <f t="shared" si="2085"/>
        <v>0</v>
      </c>
      <c r="BX267" s="82">
        <f t="shared" si="2086"/>
        <v>0</v>
      </c>
      <c r="BY267" s="82">
        <f t="shared" si="1829"/>
        <v>340</v>
      </c>
      <c r="BZ267" s="82">
        <f t="shared" si="2087"/>
        <v>3675876</v>
      </c>
      <c r="CA267" s="82"/>
      <c r="CB267" s="82"/>
      <c r="CC267" s="82">
        <f t="shared" si="2088"/>
        <v>0</v>
      </c>
      <c r="CD267" s="82">
        <f t="shared" si="2089"/>
        <v>0</v>
      </c>
      <c r="CE267" s="82"/>
      <c r="CF267" s="82"/>
      <c r="CG267" s="82"/>
      <c r="CH267" s="82"/>
      <c r="CI267" s="82">
        <f t="shared" si="2090"/>
        <v>0</v>
      </c>
      <c r="CJ267" s="82">
        <f t="shared" si="2091"/>
        <v>0</v>
      </c>
      <c r="CK267" s="82">
        <f t="shared" si="1835"/>
        <v>340</v>
      </c>
      <c r="CL267" s="82">
        <f t="shared" si="2092"/>
        <v>3675876</v>
      </c>
      <c r="CM267" s="82"/>
      <c r="CN267" s="82"/>
      <c r="CO267" s="82">
        <f t="shared" si="1837"/>
        <v>0</v>
      </c>
      <c r="CP267" s="82">
        <f t="shared" si="1838"/>
        <v>0</v>
      </c>
      <c r="CQ267" s="82"/>
      <c r="CR267" s="82"/>
      <c r="CS267" s="82"/>
      <c r="CT267" s="82"/>
      <c r="CU267" s="82">
        <f t="shared" si="2093"/>
        <v>0</v>
      </c>
      <c r="CV267" s="82">
        <f t="shared" si="2094"/>
        <v>0</v>
      </c>
      <c r="CW267" s="82">
        <f t="shared" si="1841"/>
        <v>340</v>
      </c>
      <c r="CX267" s="82">
        <f t="shared" si="2095"/>
        <v>3675876</v>
      </c>
      <c r="CY267" s="82">
        <f t="shared" si="1843"/>
        <v>0</v>
      </c>
      <c r="CZ267" s="82">
        <f t="shared" si="1844"/>
        <v>0</v>
      </c>
      <c r="DA267" s="82">
        <f t="shared" si="1845"/>
        <v>340</v>
      </c>
      <c r="DB267" s="82">
        <f t="shared" si="1846"/>
        <v>3675876</v>
      </c>
      <c r="DC267" s="91"/>
      <c r="DD267" s="82"/>
      <c r="DE267" s="82"/>
      <c r="DF267" s="82">
        <f t="shared" si="2096"/>
        <v>0</v>
      </c>
      <c r="DG267" s="82">
        <f t="shared" si="2097"/>
        <v>0</v>
      </c>
      <c r="DH267" s="82"/>
      <c r="DI267" s="82"/>
      <c r="DJ267" s="82"/>
      <c r="DK267" s="82"/>
      <c r="DL267" s="82">
        <f t="shared" si="2098"/>
        <v>0</v>
      </c>
      <c r="DM267" s="82">
        <f t="shared" si="2099"/>
        <v>0</v>
      </c>
      <c r="DN267" s="82">
        <f t="shared" si="2100"/>
        <v>340</v>
      </c>
      <c r="DO267" s="82">
        <f t="shared" si="2101"/>
        <v>3675876</v>
      </c>
      <c r="DP267" s="82"/>
      <c r="DQ267" s="82"/>
      <c r="DR267" s="82">
        <f t="shared" si="2102"/>
        <v>0</v>
      </c>
      <c r="DS267" s="82">
        <f t="shared" si="2103"/>
        <v>0</v>
      </c>
      <c r="DT267" s="82"/>
      <c r="DU267" s="82"/>
      <c r="DV267" s="82"/>
      <c r="DW267" s="82"/>
      <c r="DX267" s="82">
        <f t="shared" si="2104"/>
        <v>0</v>
      </c>
      <c r="DY267" s="82">
        <f t="shared" si="2105"/>
        <v>0</v>
      </c>
      <c r="DZ267" s="82">
        <f t="shared" si="2106"/>
        <v>340</v>
      </c>
      <c r="EA267" s="82">
        <f t="shared" si="2107"/>
        <v>3675876</v>
      </c>
      <c r="EB267" s="82"/>
      <c r="EC267" s="82"/>
      <c r="ED267" s="82">
        <f t="shared" si="2108"/>
        <v>0</v>
      </c>
      <c r="EE267" s="82">
        <f t="shared" si="2109"/>
        <v>0</v>
      </c>
      <c r="EF267" s="82"/>
      <c r="EG267" s="82"/>
      <c r="EH267" s="82"/>
      <c r="EI267" s="82"/>
      <c r="EJ267" s="82">
        <f t="shared" si="2110"/>
        <v>0</v>
      </c>
      <c r="EK267" s="82">
        <f t="shared" si="2111"/>
        <v>0</v>
      </c>
      <c r="EL267" s="82">
        <f t="shared" si="2112"/>
        <v>340</v>
      </c>
      <c r="EM267" s="82">
        <f t="shared" si="2113"/>
        <v>3675876</v>
      </c>
      <c r="EN267" s="82">
        <f t="shared" si="2114"/>
        <v>0</v>
      </c>
      <c r="EO267" s="82">
        <f t="shared" si="2115"/>
        <v>0</v>
      </c>
      <c r="EP267" s="82">
        <f t="shared" si="2116"/>
        <v>340</v>
      </c>
      <c r="EQ267" s="82">
        <f t="shared" si="2117"/>
        <v>3675876</v>
      </c>
      <c r="ER267" s="82"/>
      <c r="ES267" s="82"/>
      <c r="ET267" s="82">
        <f t="shared" si="2118"/>
        <v>0</v>
      </c>
      <c r="EU267" s="82">
        <f t="shared" si="2119"/>
        <v>0</v>
      </c>
      <c r="EV267" s="82"/>
      <c r="EW267" s="82"/>
      <c r="EX267" s="82"/>
      <c r="EY267" s="82"/>
      <c r="EZ267" s="82">
        <f t="shared" si="2120"/>
        <v>0</v>
      </c>
      <c r="FA267" s="82">
        <f t="shared" si="2121"/>
        <v>0</v>
      </c>
      <c r="FB267" s="82">
        <f t="shared" si="2122"/>
        <v>340</v>
      </c>
      <c r="FC267" s="82">
        <f t="shared" si="2123"/>
        <v>3675876</v>
      </c>
      <c r="FD267" s="82"/>
      <c r="FE267" s="82"/>
      <c r="FF267" s="82">
        <f t="shared" si="2124"/>
        <v>0</v>
      </c>
      <c r="FG267" s="82">
        <f t="shared" si="2125"/>
        <v>0</v>
      </c>
      <c r="FH267" s="82"/>
      <c r="FI267" s="82"/>
      <c r="FJ267" s="82"/>
      <c r="FK267" s="82"/>
      <c r="FL267" s="82">
        <f t="shared" si="2126"/>
        <v>0</v>
      </c>
      <c r="FM267" s="82">
        <f t="shared" si="2127"/>
        <v>0</v>
      </c>
      <c r="FN267" s="82">
        <f t="shared" si="2128"/>
        <v>340</v>
      </c>
      <c r="FO267" s="82">
        <f t="shared" si="2129"/>
        <v>3675876</v>
      </c>
      <c r="FP267" s="82"/>
      <c r="FQ267" s="82"/>
      <c r="FR267" s="82">
        <f t="shared" si="2130"/>
        <v>0</v>
      </c>
      <c r="FS267" s="82">
        <f t="shared" si="2131"/>
        <v>0</v>
      </c>
      <c r="FT267" s="82"/>
      <c r="FU267" s="82"/>
      <c r="FV267" s="82"/>
      <c r="FW267" s="82"/>
      <c r="FX267" s="82">
        <f t="shared" si="2132"/>
        <v>0</v>
      </c>
      <c r="FY267" s="82">
        <f t="shared" si="2133"/>
        <v>0</v>
      </c>
      <c r="FZ267" s="82">
        <f t="shared" si="2134"/>
        <v>340</v>
      </c>
      <c r="GA267" s="82">
        <f t="shared" si="2135"/>
        <v>3675876</v>
      </c>
      <c r="GB267" s="82">
        <f t="shared" si="2136"/>
        <v>0</v>
      </c>
      <c r="GC267" s="82">
        <f t="shared" si="2137"/>
        <v>0</v>
      </c>
      <c r="GD267" s="82">
        <f t="shared" si="2138"/>
        <v>340</v>
      </c>
      <c r="GE267" s="82">
        <f t="shared" si="2139"/>
        <v>3675876</v>
      </c>
      <c r="GF267" s="85"/>
    </row>
    <row r="268" ht="30.0" customHeight="1">
      <c r="A268" s="96"/>
      <c r="B268" s="58"/>
      <c r="C268" s="58"/>
      <c r="D268" s="78"/>
      <c r="E268" s="130">
        <v>14430.0</v>
      </c>
      <c r="F268" s="80" t="s">
        <v>281</v>
      </c>
      <c r="G268" s="90">
        <v>340.0</v>
      </c>
      <c r="H268" s="82"/>
      <c r="I268" s="82"/>
      <c r="J268" s="82"/>
      <c r="K268" s="82"/>
      <c r="L268" s="82"/>
      <c r="M268" s="82"/>
      <c r="N268" s="82"/>
      <c r="O268" s="82"/>
      <c r="P268" s="82"/>
      <c r="Q268" s="83"/>
      <c r="R268" s="82"/>
      <c r="S268" s="82"/>
      <c r="T268" s="82"/>
      <c r="U268" s="83"/>
      <c r="V268" s="83"/>
      <c r="W268" s="82"/>
      <c r="X268" s="82"/>
      <c r="Y268" s="82"/>
      <c r="Z268" s="83"/>
      <c r="AA268" s="82"/>
      <c r="AB268" s="82"/>
      <c r="AC268" s="82"/>
      <c r="AD268" s="82">
        <f t="shared" si="1807"/>
        <v>340</v>
      </c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>
        <f t="shared" si="1813"/>
        <v>340</v>
      </c>
      <c r="AQ268" s="82">
        <f>AP268*E267</f>
        <v>3675876</v>
      </c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>
        <f t="shared" si="1819"/>
        <v>340</v>
      </c>
      <c r="BD268" s="82">
        <f>BC268*E267</f>
        <v>3675876</v>
      </c>
      <c r="BE268" s="82"/>
      <c r="BF268" s="82"/>
      <c r="BG268" s="82">
        <f t="shared" si="1823"/>
        <v>340</v>
      </c>
      <c r="BH268" s="82"/>
      <c r="BI268" s="82"/>
      <c r="BJ268" s="83"/>
      <c r="BK268" s="82"/>
      <c r="BL268" s="82"/>
      <c r="BM268" s="82"/>
      <c r="BN268" s="82"/>
      <c r="BO268" s="82"/>
      <c r="BP268" s="83"/>
      <c r="BQ268" s="82"/>
      <c r="BR268" s="82"/>
      <c r="BS268" s="83"/>
      <c r="BT268" s="82"/>
      <c r="BU268" s="82"/>
      <c r="BV268" s="82"/>
      <c r="BW268" s="82"/>
      <c r="BX268" s="82"/>
      <c r="BY268" s="82">
        <f t="shared" si="1829"/>
        <v>340</v>
      </c>
      <c r="BZ268" s="82">
        <f>BY268*E267</f>
        <v>3675876</v>
      </c>
      <c r="CA268" s="82"/>
      <c r="CB268" s="82"/>
      <c r="CC268" s="82"/>
      <c r="CD268" s="82"/>
      <c r="CE268" s="82"/>
      <c r="CF268" s="82"/>
      <c r="CG268" s="82"/>
      <c r="CH268" s="82"/>
      <c r="CI268" s="82"/>
      <c r="CJ268" s="82"/>
      <c r="CK268" s="82">
        <f t="shared" si="1835"/>
        <v>340</v>
      </c>
      <c r="CL268" s="82">
        <f>CK268*E267</f>
        <v>3675876</v>
      </c>
      <c r="CM268" s="83">
        <v>100.0</v>
      </c>
      <c r="CN268" s="82"/>
      <c r="CO268" s="82">
        <f t="shared" si="1837"/>
        <v>100</v>
      </c>
      <c r="CP268" s="82">
        <f t="shared" si="1838"/>
        <v>1443000</v>
      </c>
      <c r="CQ268" s="82"/>
      <c r="CR268" s="82"/>
      <c r="CS268" s="82"/>
      <c r="CT268" s="82"/>
      <c r="CU268" s="82"/>
      <c r="CV268" s="82"/>
      <c r="CW268" s="82">
        <f t="shared" si="1841"/>
        <v>440</v>
      </c>
      <c r="CX268" s="82">
        <f>(CO268*E268)+(CK268*E267)</f>
        <v>5118876</v>
      </c>
      <c r="CY268" s="82">
        <f t="shared" si="1843"/>
        <v>100</v>
      </c>
      <c r="CZ268" s="82">
        <f t="shared" si="1844"/>
        <v>0</v>
      </c>
      <c r="DA268" s="82">
        <f t="shared" si="1845"/>
        <v>440</v>
      </c>
      <c r="DB268" s="82">
        <f t="shared" si="1846"/>
        <v>6349200</v>
      </c>
      <c r="DC268" s="91"/>
      <c r="DD268" s="82"/>
      <c r="DE268" s="82"/>
      <c r="DF268" s="82"/>
      <c r="DG268" s="82"/>
      <c r="DH268" s="82"/>
      <c r="DI268" s="82"/>
      <c r="DJ268" s="82"/>
      <c r="DK268" s="82"/>
      <c r="DL268" s="82"/>
      <c r="DM268" s="82"/>
      <c r="DN268" s="82"/>
      <c r="DO268" s="82"/>
      <c r="DP268" s="82"/>
      <c r="DQ268" s="82"/>
      <c r="DR268" s="82"/>
      <c r="DS268" s="82"/>
      <c r="DT268" s="82"/>
      <c r="DU268" s="82"/>
      <c r="DV268" s="82"/>
      <c r="DW268" s="82"/>
      <c r="DX268" s="82"/>
      <c r="DY268" s="82"/>
      <c r="DZ268" s="82"/>
      <c r="EA268" s="82"/>
      <c r="EB268" s="82"/>
      <c r="EC268" s="82"/>
      <c r="ED268" s="82"/>
      <c r="EE268" s="82"/>
      <c r="EF268" s="82"/>
      <c r="EG268" s="82"/>
      <c r="EH268" s="82"/>
      <c r="EI268" s="82"/>
      <c r="EJ268" s="82"/>
      <c r="EK268" s="82"/>
      <c r="EL268" s="82"/>
      <c r="EM268" s="82"/>
      <c r="EN268" s="82"/>
      <c r="EO268" s="82"/>
      <c r="EP268" s="82"/>
      <c r="EQ268" s="82"/>
      <c r="ER268" s="82"/>
      <c r="ES268" s="82"/>
      <c r="ET268" s="82"/>
      <c r="EU268" s="82"/>
      <c r="EV268" s="82"/>
      <c r="EW268" s="82"/>
      <c r="EX268" s="82"/>
      <c r="EY268" s="82"/>
      <c r="EZ268" s="82"/>
      <c r="FA268" s="82"/>
      <c r="FB268" s="82"/>
      <c r="FC268" s="82"/>
      <c r="FD268" s="82"/>
      <c r="FE268" s="82"/>
      <c r="FF268" s="82"/>
      <c r="FG268" s="82"/>
      <c r="FH268" s="82"/>
      <c r="FI268" s="82"/>
      <c r="FJ268" s="82"/>
      <c r="FK268" s="82"/>
      <c r="FL268" s="82"/>
      <c r="FM268" s="82"/>
      <c r="FN268" s="82"/>
      <c r="FO268" s="82"/>
      <c r="FP268" s="82"/>
      <c r="FQ268" s="82"/>
      <c r="FR268" s="82"/>
      <c r="FS268" s="82"/>
      <c r="FT268" s="82"/>
      <c r="FU268" s="82"/>
      <c r="FV268" s="82"/>
      <c r="FW268" s="82"/>
      <c r="FX268" s="82"/>
      <c r="FY268" s="82"/>
      <c r="FZ268" s="82"/>
      <c r="GA268" s="82"/>
      <c r="GB268" s="82"/>
      <c r="GC268" s="82"/>
      <c r="GD268" s="82"/>
      <c r="GE268" s="82"/>
      <c r="GF268" s="85"/>
    </row>
    <row r="269" ht="30.0" customHeight="1">
      <c r="A269" s="96">
        <v>16.0</v>
      </c>
      <c r="B269" s="58"/>
      <c r="C269" s="58" t="s">
        <v>297</v>
      </c>
      <c r="D269" s="78" t="s">
        <v>91</v>
      </c>
      <c r="E269" s="86">
        <v>21622.0</v>
      </c>
      <c r="F269" s="80" t="s">
        <v>284</v>
      </c>
      <c r="G269" s="81">
        <v>23.0</v>
      </c>
      <c r="H269" s="82">
        <v>497306.0</v>
      </c>
      <c r="I269" s="82"/>
      <c r="J269" s="82"/>
      <c r="K269" s="82">
        <f>SUM(I269:J269)</f>
        <v>0</v>
      </c>
      <c r="L269" s="82">
        <f>K269*E269</f>
        <v>0</v>
      </c>
      <c r="M269" s="82"/>
      <c r="N269" s="82"/>
      <c r="O269" s="82"/>
      <c r="P269" s="82"/>
      <c r="Q269" s="83">
        <v>3.0</v>
      </c>
      <c r="R269" s="82"/>
      <c r="S269" s="82"/>
      <c r="T269" s="82"/>
      <c r="U269" s="83">
        <v>5.0</v>
      </c>
      <c r="V269" s="83">
        <v>3.0</v>
      </c>
      <c r="W269" s="82"/>
      <c r="X269" s="82"/>
      <c r="Y269" s="82"/>
      <c r="Z269" s="83">
        <v>2.0</v>
      </c>
      <c r="AA269" s="82"/>
      <c r="AB269" s="82">
        <f>SUM(M269:AA269)</f>
        <v>13</v>
      </c>
      <c r="AC269" s="82">
        <f>AB269*E269</f>
        <v>281086</v>
      </c>
      <c r="AD269" s="82">
        <f t="shared" si="1807"/>
        <v>10</v>
      </c>
      <c r="AE269" s="82">
        <f>AD269*E269</f>
        <v>216220</v>
      </c>
      <c r="AF269" s="82"/>
      <c r="AG269" s="82"/>
      <c r="AH269" s="82">
        <f>SUM(AF269:AG269)</f>
        <v>0</v>
      </c>
      <c r="AI269" s="82">
        <f>AH269*E269</f>
        <v>0</v>
      </c>
      <c r="AJ269" s="82"/>
      <c r="AK269" s="82"/>
      <c r="AL269" s="82"/>
      <c r="AM269" s="82"/>
      <c r="AN269" s="82">
        <f>SUM(AJ269:AM269)</f>
        <v>0</v>
      </c>
      <c r="AO269" s="82">
        <f>AN269*E269</f>
        <v>0</v>
      </c>
      <c r="AP269" s="82">
        <f t="shared" si="1813"/>
        <v>10</v>
      </c>
      <c r="AQ269" s="82">
        <f>AP269*E269</f>
        <v>216220</v>
      </c>
      <c r="AR269" s="82"/>
      <c r="AS269" s="82"/>
      <c r="AT269" s="82"/>
      <c r="AU269" s="82">
        <f>SUM(AS269:AT269)</f>
        <v>0</v>
      </c>
      <c r="AV269" s="82">
        <f>AU269*AB269</f>
        <v>0</v>
      </c>
      <c r="AW269" s="82"/>
      <c r="AX269" s="82"/>
      <c r="AY269" s="82"/>
      <c r="AZ269" s="82"/>
      <c r="BA269" s="82">
        <f>SUM(AW269:AZ269)</f>
        <v>0</v>
      </c>
      <c r="BB269" s="82">
        <f>BA269*AB269</f>
        <v>0</v>
      </c>
      <c r="BC269" s="82">
        <f t="shared" si="1819"/>
        <v>10</v>
      </c>
      <c r="BD269" s="82">
        <f>BC269*E269</f>
        <v>216220</v>
      </c>
      <c r="BE269" s="82">
        <f>K269+AH269+AU269</f>
        <v>0</v>
      </c>
      <c r="BF269" s="82">
        <f>AB269+AN269+BA269</f>
        <v>13</v>
      </c>
      <c r="BG269" s="82">
        <f t="shared" si="1823"/>
        <v>10</v>
      </c>
      <c r="BH269" s="82">
        <f>BG269*E269</f>
        <v>216220</v>
      </c>
      <c r="BI269" s="82"/>
      <c r="BJ269" s="83"/>
      <c r="BK269" s="82">
        <f>SUM(BI269:BJ269)</f>
        <v>0</v>
      </c>
      <c r="BL269" s="82">
        <f>BK269*E269</f>
        <v>0</v>
      </c>
      <c r="BM269" s="82"/>
      <c r="BN269" s="82"/>
      <c r="BO269" s="82"/>
      <c r="BP269" s="82"/>
      <c r="BQ269" s="82"/>
      <c r="BR269" s="83">
        <v>2.0</v>
      </c>
      <c r="BS269" s="83">
        <v>8.0</v>
      </c>
      <c r="BT269" s="82"/>
      <c r="BU269" s="82"/>
      <c r="BV269" s="82"/>
      <c r="BW269" s="82">
        <f>SUM(BM269:BV269)</f>
        <v>10</v>
      </c>
      <c r="BX269" s="82">
        <f>BW269*E269</f>
        <v>216220</v>
      </c>
      <c r="BY269" s="82">
        <f t="shared" si="1829"/>
        <v>0</v>
      </c>
      <c r="BZ269" s="82">
        <f>BY269*E269</f>
        <v>0</v>
      </c>
      <c r="CA269" s="82"/>
      <c r="CB269" s="82"/>
      <c r="CC269" s="82">
        <f>sum(CA269:CB269)</f>
        <v>0</v>
      </c>
      <c r="CD269" s="82">
        <f>CC269*E269</f>
        <v>0</v>
      </c>
      <c r="CE269" s="82"/>
      <c r="CF269" s="82"/>
      <c r="CG269" s="82"/>
      <c r="CH269" s="82"/>
      <c r="CI269" s="82">
        <f>sum(CE269:CH269)</f>
        <v>0</v>
      </c>
      <c r="CJ269" s="82">
        <f>CI269*E269</f>
        <v>0</v>
      </c>
      <c r="CK269" s="82">
        <f t="shared" si="1835"/>
        <v>0</v>
      </c>
      <c r="CL269" s="82">
        <f>CK269*E269</f>
        <v>0</v>
      </c>
      <c r="CM269" s="82"/>
      <c r="CN269" s="82"/>
      <c r="CO269" s="82">
        <f t="shared" si="1837"/>
        <v>0</v>
      </c>
      <c r="CP269" s="82">
        <f t="shared" si="1838"/>
        <v>0</v>
      </c>
      <c r="CQ269" s="82"/>
      <c r="CR269" s="82"/>
      <c r="CS269" s="82"/>
      <c r="CT269" s="82"/>
      <c r="CU269" s="82">
        <f>sum(CQ269:CT269)</f>
        <v>0</v>
      </c>
      <c r="CV269" s="82">
        <f>CU269*E269</f>
        <v>0</v>
      </c>
      <c r="CW269" s="82">
        <f t="shared" si="1841"/>
        <v>0</v>
      </c>
      <c r="CX269" s="82">
        <f>CW269*E269</f>
        <v>0</v>
      </c>
      <c r="CY269" s="82">
        <f t="shared" si="1843"/>
        <v>0</v>
      </c>
      <c r="CZ269" s="82">
        <f t="shared" si="1844"/>
        <v>10</v>
      </c>
      <c r="DA269" s="82">
        <f t="shared" si="1845"/>
        <v>0</v>
      </c>
      <c r="DB269" s="82">
        <f t="shared" si="1846"/>
        <v>0</v>
      </c>
      <c r="DC269" s="91"/>
      <c r="DD269" s="82"/>
      <c r="DE269" s="82"/>
      <c r="DF269" s="82">
        <f>sum(DD269:DE269)</f>
        <v>0</v>
      </c>
      <c r="DG269" s="82">
        <f>DF269*E269</f>
        <v>0</v>
      </c>
      <c r="DH269" s="82"/>
      <c r="DI269" s="82"/>
      <c r="DJ269" s="82"/>
      <c r="DK269" s="82"/>
      <c r="DL269" s="82">
        <f>sum(DH269:DK269)</f>
        <v>0</v>
      </c>
      <c r="DM269" s="82">
        <f>DL269*E269</f>
        <v>0</v>
      </c>
      <c r="DN269" s="82">
        <f>DA269+DF269-DL269</f>
        <v>0</v>
      </c>
      <c r="DO269" s="82">
        <f>DN269*E269</f>
        <v>0</v>
      </c>
      <c r="DP269" s="82"/>
      <c r="DQ269" s="82"/>
      <c r="DR269" s="82">
        <f>sum(DP269:DQ269)</f>
        <v>0</v>
      </c>
      <c r="DS269" s="82">
        <f>DR269*AB269</f>
        <v>0</v>
      </c>
      <c r="DT269" s="82"/>
      <c r="DU269" s="82"/>
      <c r="DV269" s="82"/>
      <c r="DW269" s="82"/>
      <c r="DX269" s="82">
        <f>sum(DT269:DW269)</f>
        <v>0</v>
      </c>
      <c r="DY269" s="82">
        <f>DX269*AB269</f>
        <v>0</v>
      </c>
      <c r="DZ269" s="82">
        <f>DN269+DR269-DX269</f>
        <v>0</v>
      </c>
      <c r="EA269" s="82">
        <f>DZ269*E269</f>
        <v>0</v>
      </c>
      <c r="EB269" s="82"/>
      <c r="EC269" s="82"/>
      <c r="ED269" s="82">
        <f>sum(EB269:EC269)</f>
        <v>0</v>
      </c>
      <c r="EE269" s="82">
        <f>ED269*AN269</f>
        <v>0</v>
      </c>
      <c r="EF269" s="82"/>
      <c r="EG269" s="82"/>
      <c r="EH269" s="82"/>
      <c r="EI269" s="82"/>
      <c r="EJ269" s="82">
        <f>sum(EF269:EI269)</f>
        <v>0</v>
      </c>
      <c r="EK269" s="82">
        <f>EJ269*AN269</f>
        <v>0</v>
      </c>
      <c r="EL269" s="82">
        <f>DZ269+ED269-EJ269</f>
        <v>0</v>
      </c>
      <c r="EM269" s="82">
        <f>EL269*E269</f>
        <v>0</v>
      </c>
      <c r="EN269" s="82">
        <f>DF269+DR269+ED269</f>
        <v>0</v>
      </c>
      <c r="EO269" s="82">
        <f>DL269+DX269+EJ269</f>
        <v>0</v>
      </c>
      <c r="EP269" s="82">
        <f>DA269+EN269-EO269</f>
        <v>0</v>
      </c>
      <c r="EQ269" s="82">
        <f>EP269*E269</f>
        <v>0</v>
      </c>
      <c r="ER269" s="82"/>
      <c r="ES269" s="82"/>
      <c r="ET269" s="82">
        <f>sum(ER269:ES269)</f>
        <v>0</v>
      </c>
      <c r="EU269" s="82">
        <f>ET269*BE269</f>
        <v>0</v>
      </c>
      <c r="EV269" s="82"/>
      <c r="EW269" s="82"/>
      <c r="EX269" s="82"/>
      <c r="EY269" s="82"/>
      <c r="EZ269" s="82">
        <f>sum(EV269:EY269)</f>
        <v>0</v>
      </c>
      <c r="FA269" s="82">
        <f>EZ269*BE269</f>
        <v>0</v>
      </c>
      <c r="FB269" s="82">
        <f>EP269+ET269-EZ269</f>
        <v>0</v>
      </c>
      <c r="FC269" s="82">
        <f>FB269*E269</f>
        <v>0</v>
      </c>
      <c r="FD269" s="82"/>
      <c r="FE269" s="82"/>
      <c r="FF269" s="82">
        <f>sum(FD269:FE269)</f>
        <v>0</v>
      </c>
      <c r="FG269" s="82">
        <f>FF269*BW269</f>
        <v>0</v>
      </c>
      <c r="FH269" s="82"/>
      <c r="FI269" s="82"/>
      <c r="FJ269" s="82"/>
      <c r="FK269" s="82"/>
      <c r="FL269" s="82">
        <f>sum(FH269:FK269)</f>
        <v>0</v>
      </c>
      <c r="FM269" s="82">
        <f>FL269*BW269</f>
        <v>0</v>
      </c>
      <c r="FN269" s="82">
        <f>FB269+FF269-FL269</f>
        <v>0</v>
      </c>
      <c r="FO269" s="82">
        <f>FN269*E269</f>
        <v>0</v>
      </c>
      <c r="FP269" s="82"/>
      <c r="FQ269" s="82"/>
      <c r="FR269" s="82">
        <f>sum(FP269:FQ269)</f>
        <v>0</v>
      </c>
      <c r="FS269" s="82">
        <f>FR269*CI269</f>
        <v>0</v>
      </c>
      <c r="FT269" s="82"/>
      <c r="FU269" s="82"/>
      <c r="FV269" s="82"/>
      <c r="FW269" s="82"/>
      <c r="FX269" s="82">
        <f>sum(FT269:FW269)</f>
        <v>0</v>
      </c>
      <c r="FY269" s="82">
        <f>FX269*CI269</f>
        <v>0</v>
      </c>
      <c r="FZ269" s="82">
        <f>FN269+FR269-FX269</f>
        <v>0</v>
      </c>
      <c r="GA269" s="82">
        <f>FZ269*E269</f>
        <v>0</v>
      </c>
      <c r="GB269" s="82">
        <f>ET269+FF269+FR269</f>
        <v>0</v>
      </c>
      <c r="GC269" s="82">
        <f>EZ269+FL269+FX269</f>
        <v>0</v>
      </c>
      <c r="GD269" s="82">
        <f>EP269+GB269-GC269</f>
        <v>0</v>
      </c>
      <c r="GE269" s="82">
        <f>GD269*E269</f>
        <v>0</v>
      </c>
      <c r="GF269" s="85"/>
    </row>
    <row r="270" ht="30.0" customHeight="1">
      <c r="A270" s="96"/>
      <c r="B270" s="58"/>
      <c r="C270" s="58"/>
      <c r="D270" s="78" t="s">
        <v>91</v>
      </c>
      <c r="E270" s="130">
        <v>31080.0</v>
      </c>
      <c r="F270" s="80" t="s">
        <v>281</v>
      </c>
      <c r="G270" s="90">
        <v>0.0</v>
      </c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>
        <f t="shared" si="1807"/>
        <v>0</v>
      </c>
      <c r="AE270" s="82">
        <f>AD270*E269</f>
        <v>0</v>
      </c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>
        <f t="shared" si="1813"/>
        <v>0</v>
      </c>
      <c r="AQ270" s="82">
        <f>AP270*E269</f>
        <v>0</v>
      </c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>
        <f t="shared" si="1819"/>
        <v>0</v>
      </c>
      <c r="BD270" s="82">
        <f>BC270*E269</f>
        <v>0</v>
      </c>
      <c r="BE270" s="82"/>
      <c r="BF270" s="82"/>
      <c r="BG270" s="82">
        <f t="shared" si="1823"/>
        <v>0</v>
      </c>
      <c r="BH270" s="82">
        <f>BG270*E269</f>
        <v>0</v>
      </c>
      <c r="BI270" s="82"/>
      <c r="BJ270" s="83"/>
      <c r="BK270" s="82"/>
      <c r="BL270" s="82"/>
      <c r="BM270" s="82"/>
      <c r="BN270" s="82"/>
      <c r="BO270" s="82"/>
      <c r="BP270" s="83"/>
      <c r="BQ270" s="82"/>
      <c r="BR270" s="82"/>
      <c r="BS270" s="83"/>
      <c r="BT270" s="82"/>
      <c r="BU270" s="82"/>
      <c r="BV270" s="82"/>
      <c r="BW270" s="82"/>
      <c r="BX270" s="82"/>
      <c r="BY270" s="82">
        <f t="shared" si="1829"/>
        <v>0</v>
      </c>
      <c r="BZ270" s="82">
        <f>BY270*E269</f>
        <v>0</v>
      </c>
      <c r="CA270" s="82"/>
      <c r="CB270" s="82"/>
      <c r="CC270" s="82"/>
      <c r="CD270" s="82"/>
      <c r="CE270" s="82"/>
      <c r="CF270" s="82"/>
      <c r="CG270" s="82"/>
      <c r="CH270" s="82"/>
      <c r="CI270" s="82"/>
      <c r="CJ270" s="82"/>
      <c r="CK270" s="82">
        <f t="shared" si="1835"/>
        <v>0</v>
      </c>
      <c r="CL270" s="82">
        <f>CK270*E269</f>
        <v>0</v>
      </c>
      <c r="CM270" s="83">
        <v>48.0</v>
      </c>
      <c r="CN270" s="82"/>
      <c r="CO270" s="82">
        <f t="shared" si="1837"/>
        <v>48</v>
      </c>
      <c r="CP270" s="82">
        <f t="shared" si="1838"/>
        <v>1491840</v>
      </c>
      <c r="CQ270" s="82"/>
      <c r="CR270" s="82"/>
      <c r="CS270" s="82"/>
      <c r="CT270" s="82"/>
      <c r="CU270" s="82"/>
      <c r="CV270" s="82"/>
      <c r="CW270" s="82">
        <f t="shared" si="1841"/>
        <v>48</v>
      </c>
      <c r="CX270" s="82">
        <f>(CO270*E270)+(CK270*E269)</f>
        <v>1491840</v>
      </c>
      <c r="CY270" s="82">
        <f t="shared" si="1843"/>
        <v>48</v>
      </c>
      <c r="CZ270" s="82">
        <f t="shared" si="1844"/>
        <v>0</v>
      </c>
      <c r="DA270" s="82">
        <f t="shared" si="1845"/>
        <v>48</v>
      </c>
      <c r="DB270" s="82">
        <f t="shared" si="1846"/>
        <v>1491840</v>
      </c>
      <c r="DC270" s="91"/>
      <c r="DD270" s="82"/>
      <c r="DE270" s="82"/>
      <c r="DF270" s="82"/>
      <c r="DG270" s="82"/>
      <c r="DH270" s="82"/>
      <c r="DI270" s="82"/>
      <c r="DJ270" s="82"/>
      <c r="DK270" s="82"/>
      <c r="DL270" s="82"/>
      <c r="DM270" s="82"/>
      <c r="DN270" s="82"/>
      <c r="DO270" s="82"/>
      <c r="DP270" s="82"/>
      <c r="DQ270" s="82"/>
      <c r="DR270" s="82"/>
      <c r="DS270" s="82"/>
      <c r="DT270" s="82"/>
      <c r="DU270" s="82"/>
      <c r="DV270" s="82"/>
      <c r="DW270" s="82"/>
      <c r="DX270" s="82"/>
      <c r="DY270" s="82"/>
      <c r="DZ270" s="82"/>
      <c r="EA270" s="82"/>
      <c r="EB270" s="82"/>
      <c r="EC270" s="82"/>
      <c r="ED270" s="82"/>
      <c r="EE270" s="82"/>
      <c r="EF270" s="82"/>
      <c r="EG270" s="82"/>
      <c r="EH270" s="82"/>
      <c r="EI270" s="82"/>
      <c r="EJ270" s="82"/>
      <c r="EK270" s="82"/>
      <c r="EL270" s="82"/>
      <c r="EM270" s="82"/>
      <c r="EN270" s="82"/>
      <c r="EO270" s="82"/>
      <c r="EP270" s="82"/>
      <c r="EQ270" s="82"/>
      <c r="ER270" s="82"/>
      <c r="ES270" s="82"/>
      <c r="ET270" s="82"/>
      <c r="EU270" s="82"/>
      <c r="EV270" s="82"/>
      <c r="EW270" s="82"/>
      <c r="EX270" s="82"/>
      <c r="EY270" s="82"/>
      <c r="EZ270" s="82"/>
      <c r="FA270" s="82"/>
      <c r="FB270" s="82"/>
      <c r="FC270" s="82"/>
      <c r="FD270" s="82"/>
      <c r="FE270" s="82"/>
      <c r="FF270" s="82"/>
      <c r="FG270" s="82"/>
      <c r="FH270" s="82"/>
      <c r="FI270" s="82"/>
      <c r="FJ270" s="82"/>
      <c r="FK270" s="82"/>
      <c r="FL270" s="82"/>
      <c r="FM270" s="82"/>
      <c r="FN270" s="82"/>
      <c r="FO270" s="82"/>
      <c r="FP270" s="82"/>
      <c r="FQ270" s="82"/>
      <c r="FR270" s="82"/>
      <c r="FS270" s="82"/>
      <c r="FT270" s="82"/>
      <c r="FU270" s="82"/>
      <c r="FV270" s="82"/>
      <c r="FW270" s="82"/>
      <c r="FX270" s="82"/>
      <c r="FY270" s="82"/>
      <c r="FZ270" s="82"/>
      <c r="GA270" s="82"/>
      <c r="GB270" s="82"/>
      <c r="GC270" s="82"/>
      <c r="GD270" s="82"/>
      <c r="GE270" s="82"/>
      <c r="GF270" s="85"/>
    </row>
    <row r="271" ht="30.0" customHeight="1">
      <c r="A271" s="96">
        <v>17.0</v>
      </c>
      <c r="B271" s="58"/>
      <c r="C271" s="58" t="s">
        <v>298</v>
      </c>
      <c r="D271" s="78" t="s">
        <v>121</v>
      </c>
      <c r="E271" s="79"/>
      <c r="F271" s="61"/>
      <c r="G271" s="81">
        <v>0.0</v>
      </c>
      <c r="H271" s="82">
        <v>0.0</v>
      </c>
      <c r="I271" s="82"/>
      <c r="J271" s="82"/>
      <c r="K271" s="82">
        <f t="shared" ref="K271:K276" si="2140">SUM(I271:J271)</f>
        <v>0</v>
      </c>
      <c r="L271" s="82">
        <f t="shared" ref="L271:L276" si="2141">K271*E271</f>
        <v>0</v>
      </c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>
        <f t="shared" ref="AB271:AB276" si="2142">SUM(M271:AA271)</f>
        <v>0</v>
      </c>
      <c r="AC271" s="82">
        <f t="shared" ref="AC271:AC276" si="2143">AB271*E271</f>
        <v>0</v>
      </c>
      <c r="AD271" s="82">
        <f t="shared" si="1807"/>
        <v>0</v>
      </c>
      <c r="AE271" s="82">
        <f t="shared" ref="AE271:AE276" si="2144">AD271*E271</f>
        <v>0</v>
      </c>
      <c r="AF271" s="82"/>
      <c r="AG271" s="82"/>
      <c r="AH271" s="82">
        <f t="shared" ref="AH271:AH276" si="2145">SUM(AF271:AG271)</f>
        <v>0</v>
      </c>
      <c r="AI271" s="82">
        <f t="shared" ref="AI271:AI276" si="2146">AH271*E271</f>
        <v>0</v>
      </c>
      <c r="AJ271" s="82"/>
      <c r="AK271" s="82"/>
      <c r="AL271" s="82"/>
      <c r="AM271" s="82"/>
      <c r="AN271" s="82">
        <f t="shared" ref="AN271:AN276" si="2147">SUM(AJ271:AM271)</f>
        <v>0</v>
      </c>
      <c r="AO271" s="82">
        <f t="shared" ref="AO271:AO276" si="2148">AN271*E271</f>
        <v>0</v>
      </c>
      <c r="AP271" s="82">
        <f t="shared" si="1813"/>
        <v>0</v>
      </c>
      <c r="AQ271" s="82">
        <f t="shared" ref="AQ271:AQ276" si="2149">AP271*E271</f>
        <v>0</v>
      </c>
      <c r="AR271" s="82"/>
      <c r="AS271" s="82"/>
      <c r="AT271" s="82"/>
      <c r="AU271" s="82">
        <f t="shared" ref="AU271:AU276" si="2150">SUM(AS271:AT271)</f>
        <v>0</v>
      </c>
      <c r="AV271" s="82">
        <f t="shared" ref="AV271:AV276" si="2151">AU271*AB271</f>
        <v>0</v>
      </c>
      <c r="AW271" s="82"/>
      <c r="AX271" s="82"/>
      <c r="AY271" s="82"/>
      <c r="AZ271" s="82"/>
      <c r="BA271" s="82">
        <f t="shared" ref="BA271:BA276" si="2152">SUM(AW271:AZ271)</f>
        <v>0</v>
      </c>
      <c r="BB271" s="82">
        <f t="shared" ref="BB271:BB276" si="2153">BA271*AB271</f>
        <v>0</v>
      </c>
      <c r="BC271" s="82">
        <f t="shared" si="1819"/>
        <v>0</v>
      </c>
      <c r="BD271" s="82">
        <f t="shared" ref="BD271:BD276" si="2154">BC271*E271</f>
        <v>0</v>
      </c>
      <c r="BE271" s="82">
        <f t="shared" ref="BE271:BE276" si="2155">K271+AH271+AU271</f>
        <v>0</v>
      </c>
      <c r="BF271" s="82">
        <f t="shared" ref="BF271:BF276" si="2156">AB271+AN271+BA271</f>
        <v>0</v>
      </c>
      <c r="BG271" s="82">
        <f t="shared" si="1823"/>
        <v>0</v>
      </c>
      <c r="BH271" s="82">
        <f t="shared" ref="BH271:BH276" si="2157">BG271*E271</f>
        <v>0</v>
      </c>
      <c r="BI271" s="82"/>
      <c r="BJ271" s="83"/>
      <c r="BK271" s="82">
        <f t="shared" ref="BK271:BK276" si="2158">SUM(BI271:BJ271)</f>
        <v>0</v>
      </c>
      <c r="BL271" s="82">
        <f t="shared" ref="BL271:BL276" si="2159">BK271*E271</f>
        <v>0</v>
      </c>
      <c r="BM271" s="82"/>
      <c r="BN271" s="82"/>
      <c r="BO271" s="82"/>
      <c r="BP271" s="82"/>
      <c r="BQ271" s="82"/>
      <c r="BR271" s="82"/>
      <c r="BS271" s="82"/>
      <c r="BT271" s="82"/>
      <c r="BU271" s="82"/>
      <c r="BV271" s="82"/>
      <c r="BW271" s="82">
        <f t="shared" ref="BW271:BW276" si="2160">SUM(BM271:BV271)</f>
        <v>0</v>
      </c>
      <c r="BX271" s="82">
        <f t="shared" ref="BX271:BX276" si="2161">BW271*E271</f>
        <v>0</v>
      </c>
      <c r="BY271" s="82">
        <f t="shared" si="1829"/>
        <v>0</v>
      </c>
      <c r="BZ271" s="82">
        <f t="shared" ref="BZ271:BZ276" si="2162">BY271*E271</f>
        <v>0</v>
      </c>
      <c r="CA271" s="82"/>
      <c r="CB271" s="82"/>
      <c r="CC271" s="82">
        <f t="shared" ref="CC271:CC276" si="2163">sum(CA271:CB271)</f>
        <v>0</v>
      </c>
      <c r="CD271" s="82">
        <f t="shared" ref="CD271:CD276" si="2164">CC271*E271</f>
        <v>0</v>
      </c>
      <c r="CE271" s="82"/>
      <c r="CF271" s="82"/>
      <c r="CG271" s="82"/>
      <c r="CH271" s="82"/>
      <c r="CI271" s="82">
        <f t="shared" ref="CI271:CI276" si="2165">sum(CE271:CH271)</f>
        <v>0</v>
      </c>
      <c r="CJ271" s="82">
        <f t="shared" ref="CJ271:CJ276" si="2166">CI271*E271</f>
        <v>0</v>
      </c>
      <c r="CK271" s="82">
        <f t="shared" si="1835"/>
        <v>0</v>
      </c>
      <c r="CL271" s="82">
        <f t="shared" ref="CL271:CL276" si="2167">CK271*E271</f>
        <v>0</v>
      </c>
      <c r="CM271" s="82"/>
      <c r="CN271" s="82"/>
      <c r="CO271" s="82">
        <f t="shared" si="1837"/>
        <v>0</v>
      </c>
      <c r="CP271" s="82">
        <f t="shared" si="1838"/>
        <v>0</v>
      </c>
      <c r="CQ271" s="82"/>
      <c r="CR271" s="82"/>
      <c r="CS271" s="82"/>
      <c r="CT271" s="82"/>
      <c r="CU271" s="82">
        <f t="shared" ref="CU271:CU276" si="2168">sum(CQ271:CT271)</f>
        <v>0</v>
      </c>
      <c r="CV271" s="82">
        <f t="shared" ref="CV271:CV276" si="2169">CU271*E271</f>
        <v>0</v>
      </c>
      <c r="CW271" s="82">
        <f t="shared" si="1841"/>
        <v>0</v>
      </c>
      <c r="CX271" s="82">
        <f t="shared" ref="CX271:CX276" si="2170">CW271*E271</f>
        <v>0</v>
      </c>
      <c r="CY271" s="82">
        <f t="shared" si="1843"/>
        <v>0</v>
      </c>
      <c r="CZ271" s="82">
        <f t="shared" si="1844"/>
        <v>0</v>
      </c>
      <c r="DA271" s="82">
        <f t="shared" si="1845"/>
        <v>0</v>
      </c>
      <c r="DB271" s="82">
        <f t="shared" si="1846"/>
        <v>0</v>
      </c>
      <c r="DC271" s="91"/>
      <c r="DD271" s="82"/>
      <c r="DE271" s="82"/>
      <c r="DF271" s="82">
        <f t="shared" ref="DF271:DF276" si="2171">sum(DD271:DE271)</f>
        <v>0</v>
      </c>
      <c r="DG271" s="82">
        <f t="shared" ref="DG271:DG276" si="2172">DF271*E271</f>
        <v>0</v>
      </c>
      <c r="DH271" s="82"/>
      <c r="DI271" s="82"/>
      <c r="DJ271" s="82"/>
      <c r="DK271" s="82"/>
      <c r="DL271" s="82">
        <f t="shared" ref="DL271:DL276" si="2173">sum(DH271:DK271)</f>
        <v>0</v>
      </c>
      <c r="DM271" s="82">
        <f t="shared" ref="DM271:DM276" si="2174">DL271*E271</f>
        <v>0</v>
      </c>
      <c r="DN271" s="82">
        <f t="shared" ref="DN271:DN276" si="2175">DA271+DF271-DL271</f>
        <v>0</v>
      </c>
      <c r="DO271" s="82">
        <f t="shared" ref="DO271:DO276" si="2176">DN271*E271</f>
        <v>0</v>
      </c>
      <c r="DP271" s="82"/>
      <c r="DQ271" s="82"/>
      <c r="DR271" s="82">
        <f t="shared" ref="DR271:DR276" si="2177">sum(DP271:DQ271)</f>
        <v>0</v>
      </c>
      <c r="DS271" s="82">
        <f t="shared" ref="DS271:DS276" si="2178">DR271*AB271</f>
        <v>0</v>
      </c>
      <c r="DT271" s="82"/>
      <c r="DU271" s="82"/>
      <c r="DV271" s="82"/>
      <c r="DW271" s="82"/>
      <c r="DX271" s="82">
        <f t="shared" ref="DX271:DX276" si="2179">sum(DT271:DW271)</f>
        <v>0</v>
      </c>
      <c r="DY271" s="82">
        <f t="shared" ref="DY271:DY276" si="2180">DX271*AB271</f>
        <v>0</v>
      </c>
      <c r="DZ271" s="82">
        <f t="shared" ref="DZ271:DZ276" si="2181">DN271+DR271-DX271</f>
        <v>0</v>
      </c>
      <c r="EA271" s="82">
        <f t="shared" ref="EA271:EA276" si="2182">DZ271*E271</f>
        <v>0</v>
      </c>
      <c r="EB271" s="82"/>
      <c r="EC271" s="82"/>
      <c r="ED271" s="82">
        <f t="shared" ref="ED271:ED276" si="2183">sum(EB271:EC271)</f>
        <v>0</v>
      </c>
      <c r="EE271" s="82">
        <f t="shared" ref="EE271:EE276" si="2184">ED271*AN271</f>
        <v>0</v>
      </c>
      <c r="EF271" s="82"/>
      <c r="EG271" s="82"/>
      <c r="EH271" s="82"/>
      <c r="EI271" s="82"/>
      <c r="EJ271" s="82">
        <f t="shared" ref="EJ271:EJ276" si="2185">sum(EF271:EI271)</f>
        <v>0</v>
      </c>
      <c r="EK271" s="82">
        <f t="shared" ref="EK271:EK276" si="2186">EJ271*AN271</f>
        <v>0</v>
      </c>
      <c r="EL271" s="82">
        <f t="shared" ref="EL271:EL276" si="2187">DZ271+ED271-EJ271</f>
        <v>0</v>
      </c>
      <c r="EM271" s="82">
        <f t="shared" ref="EM271:EM276" si="2188">EL271*E271</f>
        <v>0</v>
      </c>
      <c r="EN271" s="82">
        <f t="shared" ref="EN271:EN276" si="2189">DF271+DR271+ED271</f>
        <v>0</v>
      </c>
      <c r="EO271" s="82">
        <f t="shared" ref="EO271:EO276" si="2190">DL271+DX271+EJ271</f>
        <v>0</v>
      </c>
      <c r="EP271" s="82">
        <f t="shared" ref="EP271:EP276" si="2191">DA271+EN271-EO271</f>
        <v>0</v>
      </c>
      <c r="EQ271" s="82">
        <f t="shared" ref="EQ271:EQ276" si="2192">EP271*E271</f>
        <v>0</v>
      </c>
      <c r="ER271" s="82"/>
      <c r="ES271" s="82"/>
      <c r="ET271" s="82">
        <f t="shared" ref="ET271:ET276" si="2193">sum(ER271:ES271)</f>
        <v>0</v>
      </c>
      <c r="EU271" s="82">
        <f t="shared" ref="EU271:EU276" si="2194">ET271*BE271</f>
        <v>0</v>
      </c>
      <c r="EV271" s="82"/>
      <c r="EW271" s="82"/>
      <c r="EX271" s="82"/>
      <c r="EY271" s="82"/>
      <c r="EZ271" s="82">
        <f t="shared" ref="EZ271:EZ276" si="2195">sum(EV271:EY271)</f>
        <v>0</v>
      </c>
      <c r="FA271" s="82">
        <f t="shared" ref="FA271:FA276" si="2196">EZ271*BE271</f>
        <v>0</v>
      </c>
      <c r="FB271" s="82">
        <f t="shared" ref="FB271:FB276" si="2197">EP271+ET271-EZ271</f>
        <v>0</v>
      </c>
      <c r="FC271" s="82">
        <f t="shared" ref="FC271:FC276" si="2198">FB271*E271</f>
        <v>0</v>
      </c>
      <c r="FD271" s="82"/>
      <c r="FE271" s="82"/>
      <c r="FF271" s="82">
        <f t="shared" ref="FF271:FF276" si="2199">sum(FD271:FE271)</f>
        <v>0</v>
      </c>
      <c r="FG271" s="82">
        <f t="shared" ref="FG271:FG276" si="2200">FF271*BW271</f>
        <v>0</v>
      </c>
      <c r="FH271" s="82"/>
      <c r="FI271" s="82"/>
      <c r="FJ271" s="82"/>
      <c r="FK271" s="82"/>
      <c r="FL271" s="82">
        <f t="shared" ref="FL271:FL276" si="2201">sum(FH271:FK271)</f>
        <v>0</v>
      </c>
      <c r="FM271" s="82">
        <f t="shared" ref="FM271:FM276" si="2202">FL271*BW271</f>
        <v>0</v>
      </c>
      <c r="FN271" s="82">
        <f t="shared" ref="FN271:FN276" si="2203">FB271+FF271-FL271</f>
        <v>0</v>
      </c>
      <c r="FO271" s="82">
        <f t="shared" ref="FO271:FO276" si="2204">FN271*E271</f>
        <v>0</v>
      </c>
      <c r="FP271" s="82"/>
      <c r="FQ271" s="82"/>
      <c r="FR271" s="82">
        <f t="shared" ref="FR271:FR276" si="2205">sum(FP271:FQ271)</f>
        <v>0</v>
      </c>
      <c r="FS271" s="82">
        <f t="shared" ref="FS271:FS276" si="2206">FR271*CI271</f>
        <v>0</v>
      </c>
      <c r="FT271" s="82"/>
      <c r="FU271" s="82"/>
      <c r="FV271" s="82"/>
      <c r="FW271" s="82"/>
      <c r="FX271" s="82">
        <f t="shared" ref="FX271:FX276" si="2207">sum(FT271:FW271)</f>
        <v>0</v>
      </c>
      <c r="FY271" s="82">
        <f t="shared" ref="FY271:FY276" si="2208">FX271*CI271</f>
        <v>0</v>
      </c>
      <c r="FZ271" s="82">
        <f t="shared" ref="FZ271:FZ276" si="2209">FN271+FR271-FX271</f>
        <v>0</v>
      </c>
      <c r="GA271" s="82">
        <f t="shared" ref="GA271:GA276" si="2210">FZ271*E271</f>
        <v>0</v>
      </c>
      <c r="GB271" s="82">
        <f t="shared" ref="GB271:GB276" si="2211">ET271+FF271+FR271</f>
        <v>0</v>
      </c>
      <c r="GC271" s="82">
        <f t="shared" ref="GC271:GC276" si="2212">EZ271+FL271+FX271</f>
        <v>0</v>
      </c>
      <c r="GD271" s="82">
        <f t="shared" ref="GD271:GD276" si="2213">EP271+GB271-GC271</f>
        <v>0</v>
      </c>
      <c r="GE271" s="82">
        <f t="shared" ref="GE271:GE276" si="2214">GD271*E271</f>
        <v>0</v>
      </c>
      <c r="GF271" s="85"/>
    </row>
    <row r="272" ht="30.0" customHeight="1">
      <c r="A272" s="96">
        <v>18.0</v>
      </c>
      <c r="B272" s="58"/>
      <c r="C272" s="58" t="s">
        <v>299</v>
      </c>
      <c r="D272" s="78" t="s">
        <v>91</v>
      </c>
      <c r="E272" s="79">
        <v>20535.0</v>
      </c>
      <c r="F272" s="61" t="s">
        <v>92</v>
      </c>
      <c r="G272" s="81">
        <v>25.0</v>
      </c>
      <c r="H272" s="82">
        <v>513375.0</v>
      </c>
      <c r="I272" s="82"/>
      <c r="J272" s="82"/>
      <c r="K272" s="82">
        <f t="shared" si="2140"/>
        <v>0</v>
      </c>
      <c r="L272" s="82">
        <f t="shared" si="2141"/>
        <v>0</v>
      </c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>
        <f t="shared" si="2142"/>
        <v>0</v>
      </c>
      <c r="AC272" s="82">
        <f t="shared" si="2143"/>
        <v>0</v>
      </c>
      <c r="AD272" s="82">
        <f t="shared" si="1807"/>
        <v>25</v>
      </c>
      <c r="AE272" s="82">
        <f t="shared" si="2144"/>
        <v>513375</v>
      </c>
      <c r="AF272" s="82"/>
      <c r="AG272" s="82"/>
      <c r="AH272" s="82">
        <f t="shared" si="2145"/>
        <v>0</v>
      </c>
      <c r="AI272" s="82">
        <f t="shared" si="2146"/>
        <v>0</v>
      </c>
      <c r="AJ272" s="82"/>
      <c r="AK272" s="82"/>
      <c r="AL272" s="82"/>
      <c r="AM272" s="82"/>
      <c r="AN272" s="82">
        <f t="shared" si="2147"/>
        <v>0</v>
      </c>
      <c r="AO272" s="82">
        <f t="shared" si="2148"/>
        <v>0</v>
      </c>
      <c r="AP272" s="82">
        <f t="shared" si="1813"/>
        <v>25</v>
      </c>
      <c r="AQ272" s="82">
        <f t="shared" si="2149"/>
        <v>513375</v>
      </c>
      <c r="AR272" s="82"/>
      <c r="AS272" s="82"/>
      <c r="AT272" s="82"/>
      <c r="AU272" s="82">
        <f t="shared" si="2150"/>
        <v>0</v>
      </c>
      <c r="AV272" s="82">
        <f t="shared" si="2151"/>
        <v>0</v>
      </c>
      <c r="AW272" s="82"/>
      <c r="AX272" s="82"/>
      <c r="AY272" s="82"/>
      <c r="AZ272" s="82"/>
      <c r="BA272" s="82">
        <f t="shared" si="2152"/>
        <v>0</v>
      </c>
      <c r="BB272" s="82">
        <f t="shared" si="2153"/>
        <v>0</v>
      </c>
      <c r="BC272" s="82">
        <f t="shared" si="1819"/>
        <v>25</v>
      </c>
      <c r="BD272" s="82">
        <f t="shared" si="2154"/>
        <v>513375</v>
      </c>
      <c r="BE272" s="82">
        <f t="shared" si="2155"/>
        <v>0</v>
      </c>
      <c r="BF272" s="82">
        <f t="shared" si="2156"/>
        <v>0</v>
      </c>
      <c r="BG272" s="82">
        <f t="shared" si="1823"/>
        <v>25</v>
      </c>
      <c r="BH272" s="82">
        <f t="shared" si="2157"/>
        <v>513375</v>
      </c>
      <c r="BI272" s="82"/>
      <c r="BJ272" s="83"/>
      <c r="BK272" s="82">
        <f t="shared" si="2158"/>
        <v>0</v>
      </c>
      <c r="BL272" s="82">
        <f t="shared" si="2159"/>
        <v>0</v>
      </c>
      <c r="BM272" s="82"/>
      <c r="BN272" s="82"/>
      <c r="BO272" s="82"/>
      <c r="BP272" s="82"/>
      <c r="BQ272" s="82"/>
      <c r="BR272" s="82"/>
      <c r="BS272" s="82"/>
      <c r="BT272" s="83">
        <v>2.0</v>
      </c>
      <c r="BU272" s="83"/>
      <c r="BV272" s="82"/>
      <c r="BW272" s="82">
        <f t="shared" si="2160"/>
        <v>2</v>
      </c>
      <c r="BX272" s="82">
        <f t="shared" si="2161"/>
        <v>41070</v>
      </c>
      <c r="BY272" s="82">
        <f t="shared" si="1829"/>
        <v>23</v>
      </c>
      <c r="BZ272" s="82">
        <f t="shared" si="2162"/>
        <v>472305</v>
      </c>
      <c r="CA272" s="82"/>
      <c r="CB272" s="82"/>
      <c r="CC272" s="82">
        <f t="shared" si="2163"/>
        <v>0</v>
      </c>
      <c r="CD272" s="82">
        <f t="shared" si="2164"/>
        <v>0</v>
      </c>
      <c r="CE272" s="82"/>
      <c r="CF272" s="82"/>
      <c r="CG272" s="82"/>
      <c r="CH272" s="82"/>
      <c r="CI272" s="82">
        <f t="shared" si="2165"/>
        <v>0</v>
      </c>
      <c r="CJ272" s="82">
        <f t="shared" si="2166"/>
        <v>0</v>
      </c>
      <c r="CK272" s="82">
        <f t="shared" si="1835"/>
        <v>23</v>
      </c>
      <c r="CL272" s="82">
        <f t="shared" si="2167"/>
        <v>472305</v>
      </c>
      <c r="CM272" s="82"/>
      <c r="CN272" s="82"/>
      <c r="CO272" s="82">
        <f t="shared" si="1837"/>
        <v>0</v>
      </c>
      <c r="CP272" s="82">
        <f t="shared" si="1838"/>
        <v>0</v>
      </c>
      <c r="CQ272" s="82"/>
      <c r="CR272" s="83">
        <v>5.0</v>
      </c>
      <c r="CS272" s="82"/>
      <c r="CT272" s="82"/>
      <c r="CU272" s="82">
        <f t="shared" si="2168"/>
        <v>5</v>
      </c>
      <c r="CV272" s="82">
        <f t="shared" si="2169"/>
        <v>102675</v>
      </c>
      <c r="CW272" s="82">
        <f t="shared" si="1841"/>
        <v>18</v>
      </c>
      <c r="CX272" s="82">
        <f t="shared" si="2170"/>
        <v>369630</v>
      </c>
      <c r="CY272" s="82">
        <f t="shared" si="1843"/>
        <v>0</v>
      </c>
      <c r="CZ272" s="82">
        <f t="shared" si="1844"/>
        <v>7</v>
      </c>
      <c r="DA272" s="82">
        <f t="shared" si="1845"/>
        <v>18</v>
      </c>
      <c r="DB272" s="82">
        <f t="shared" si="1846"/>
        <v>369630</v>
      </c>
      <c r="DC272" s="91"/>
      <c r="DD272" s="82"/>
      <c r="DE272" s="82"/>
      <c r="DF272" s="82">
        <f t="shared" si="2171"/>
        <v>0</v>
      </c>
      <c r="DG272" s="82">
        <f t="shared" si="2172"/>
        <v>0</v>
      </c>
      <c r="DH272" s="82"/>
      <c r="DI272" s="82"/>
      <c r="DJ272" s="82"/>
      <c r="DK272" s="82"/>
      <c r="DL272" s="82">
        <f t="shared" si="2173"/>
        <v>0</v>
      </c>
      <c r="DM272" s="82">
        <f t="shared" si="2174"/>
        <v>0</v>
      </c>
      <c r="DN272" s="82">
        <f t="shared" si="2175"/>
        <v>18</v>
      </c>
      <c r="DO272" s="82">
        <f t="shared" si="2176"/>
        <v>369630</v>
      </c>
      <c r="DP272" s="82"/>
      <c r="DQ272" s="82"/>
      <c r="DR272" s="82">
        <f t="shared" si="2177"/>
        <v>0</v>
      </c>
      <c r="DS272" s="82">
        <f t="shared" si="2178"/>
        <v>0</v>
      </c>
      <c r="DT272" s="82"/>
      <c r="DU272" s="82"/>
      <c r="DV272" s="82"/>
      <c r="DW272" s="82"/>
      <c r="DX272" s="82">
        <f t="shared" si="2179"/>
        <v>0</v>
      </c>
      <c r="DY272" s="82">
        <f t="shared" si="2180"/>
        <v>0</v>
      </c>
      <c r="DZ272" s="82">
        <f t="shared" si="2181"/>
        <v>18</v>
      </c>
      <c r="EA272" s="82">
        <f t="shared" si="2182"/>
        <v>369630</v>
      </c>
      <c r="EB272" s="82"/>
      <c r="EC272" s="82"/>
      <c r="ED272" s="82">
        <f t="shared" si="2183"/>
        <v>0</v>
      </c>
      <c r="EE272" s="82">
        <f t="shared" si="2184"/>
        <v>0</v>
      </c>
      <c r="EF272" s="82"/>
      <c r="EG272" s="82"/>
      <c r="EH272" s="82"/>
      <c r="EI272" s="82"/>
      <c r="EJ272" s="82">
        <f t="shared" si="2185"/>
        <v>0</v>
      </c>
      <c r="EK272" s="82">
        <f t="shared" si="2186"/>
        <v>0</v>
      </c>
      <c r="EL272" s="82">
        <f t="shared" si="2187"/>
        <v>18</v>
      </c>
      <c r="EM272" s="82">
        <f t="shared" si="2188"/>
        <v>369630</v>
      </c>
      <c r="EN272" s="82">
        <f t="shared" si="2189"/>
        <v>0</v>
      </c>
      <c r="EO272" s="82">
        <f t="shared" si="2190"/>
        <v>0</v>
      </c>
      <c r="EP272" s="82">
        <f t="shared" si="2191"/>
        <v>18</v>
      </c>
      <c r="EQ272" s="82">
        <f t="shared" si="2192"/>
        <v>369630</v>
      </c>
      <c r="ER272" s="82"/>
      <c r="ES272" s="82"/>
      <c r="ET272" s="82">
        <f t="shared" si="2193"/>
        <v>0</v>
      </c>
      <c r="EU272" s="82">
        <f t="shared" si="2194"/>
        <v>0</v>
      </c>
      <c r="EV272" s="82"/>
      <c r="EW272" s="82"/>
      <c r="EX272" s="82"/>
      <c r="EY272" s="82"/>
      <c r="EZ272" s="82">
        <f t="shared" si="2195"/>
        <v>0</v>
      </c>
      <c r="FA272" s="82">
        <f t="shared" si="2196"/>
        <v>0</v>
      </c>
      <c r="FB272" s="82">
        <f t="shared" si="2197"/>
        <v>18</v>
      </c>
      <c r="FC272" s="82">
        <f t="shared" si="2198"/>
        <v>369630</v>
      </c>
      <c r="FD272" s="82"/>
      <c r="FE272" s="82"/>
      <c r="FF272" s="82">
        <f t="shared" si="2199"/>
        <v>0</v>
      </c>
      <c r="FG272" s="82">
        <f t="shared" si="2200"/>
        <v>0</v>
      </c>
      <c r="FH272" s="82"/>
      <c r="FI272" s="82"/>
      <c r="FJ272" s="82"/>
      <c r="FK272" s="82"/>
      <c r="FL272" s="82">
        <f t="shared" si="2201"/>
        <v>0</v>
      </c>
      <c r="FM272" s="82">
        <f t="shared" si="2202"/>
        <v>0</v>
      </c>
      <c r="FN272" s="82">
        <f t="shared" si="2203"/>
        <v>18</v>
      </c>
      <c r="FO272" s="82">
        <f t="shared" si="2204"/>
        <v>369630</v>
      </c>
      <c r="FP272" s="82"/>
      <c r="FQ272" s="82"/>
      <c r="FR272" s="82">
        <f t="shared" si="2205"/>
        <v>0</v>
      </c>
      <c r="FS272" s="82">
        <f t="shared" si="2206"/>
        <v>0</v>
      </c>
      <c r="FT272" s="82"/>
      <c r="FU272" s="82"/>
      <c r="FV272" s="82"/>
      <c r="FW272" s="82"/>
      <c r="FX272" s="82">
        <f t="shared" si="2207"/>
        <v>0</v>
      </c>
      <c r="FY272" s="82">
        <f t="shared" si="2208"/>
        <v>0</v>
      </c>
      <c r="FZ272" s="82">
        <f t="shared" si="2209"/>
        <v>18</v>
      </c>
      <c r="GA272" s="82">
        <f t="shared" si="2210"/>
        <v>369630</v>
      </c>
      <c r="GB272" s="82">
        <f t="shared" si="2211"/>
        <v>0</v>
      </c>
      <c r="GC272" s="82">
        <f t="shared" si="2212"/>
        <v>0</v>
      </c>
      <c r="GD272" s="82">
        <f t="shared" si="2213"/>
        <v>18</v>
      </c>
      <c r="GE272" s="82">
        <f t="shared" si="2214"/>
        <v>369630</v>
      </c>
      <c r="GF272" s="85"/>
    </row>
    <row r="273" ht="30.0" customHeight="1">
      <c r="A273" s="96">
        <v>19.0</v>
      </c>
      <c r="B273" s="58"/>
      <c r="C273" s="58" t="s">
        <v>300</v>
      </c>
      <c r="D273" s="78" t="s">
        <v>96</v>
      </c>
      <c r="E273" s="79">
        <v>216450.0</v>
      </c>
      <c r="F273" s="61" t="s">
        <v>97</v>
      </c>
      <c r="G273" s="81">
        <v>2.0</v>
      </c>
      <c r="H273" s="82">
        <v>432900.0</v>
      </c>
      <c r="I273" s="82"/>
      <c r="J273" s="82"/>
      <c r="K273" s="82">
        <f t="shared" si="2140"/>
        <v>0</v>
      </c>
      <c r="L273" s="82">
        <f t="shared" si="2141"/>
        <v>0</v>
      </c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>
        <f t="shared" si="2142"/>
        <v>0</v>
      </c>
      <c r="AC273" s="82">
        <f t="shared" si="2143"/>
        <v>0</v>
      </c>
      <c r="AD273" s="82">
        <f t="shared" si="1807"/>
        <v>2</v>
      </c>
      <c r="AE273" s="82">
        <f t="shared" si="2144"/>
        <v>432900</v>
      </c>
      <c r="AF273" s="82"/>
      <c r="AG273" s="82"/>
      <c r="AH273" s="82">
        <f t="shared" si="2145"/>
        <v>0</v>
      </c>
      <c r="AI273" s="82">
        <f t="shared" si="2146"/>
        <v>0</v>
      </c>
      <c r="AJ273" s="82"/>
      <c r="AK273" s="82"/>
      <c r="AL273" s="82"/>
      <c r="AM273" s="82"/>
      <c r="AN273" s="82">
        <f t="shared" si="2147"/>
        <v>0</v>
      </c>
      <c r="AO273" s="82">
        <f t="shared" si="2148"/>
        <v>0</v>
      </c>
      <c r="AP273" s="82">
        <f t="shared" si="1813"/>
        <v>2</v>
      </c>
      <c r="AQ273" s="82">
        <f t="shared" si="2149"/>
        <v>432900</v>
      </c>
      <c r="AR273" s="82"/>
      <c r="AS273" s="82"/>
      <c r="AT273" s="82"/>
      <c r="AU273" s="82">
        <f t="shared" si="2150"/>
        <v>0</v>
      </c>
      <c r="AV273" s="82">
        <f t="shared" si="2151"/>
        <v>0</v>
      </c>
      <c r="AW273" s="82"/>
      <c r="AX273" s="82"/>
      <c r="AY273" s="82"/>
      <c r="AZ273" s="82"/>
      <c r="BA273" s="82">
        <f t="shared" si="2152"/>
        <v>0</v>
      </c>
      <c r="BB273" s="82">
        <f t="shared" si="2153"/>
        <v>0</v>
      </c>
      <c r="BC273" s="82">
        <f t="shared" si="1819"/>
        <v>2</v>
      </c>
      <c r="BD273" s="82">
        <f t="shared" si="2154"/>
        <v>432900</v>
      </c>
      <c r="BE273" s="82">
        <f t="shared" si="2155"/>
        <v>0</v>
      </c>
      <c r="BF273" s="82">
        <f t="shared" si="2156"/>
        <v>0</v>
      </c>
      <c r="BG273" s="82">
        <f t="shared" si="1823"/>
        <v>2</v>
      </c>
      <c r="BH273" s="82">
        <f t="shared" si="2157"/>
        <v>432900</v>
      </c>
      <c r="BI273" s="82"/>
      <c r="BJ273" s="83"/>
      <c r="BK273" s="82">
        <f t="shared" si="2158"/>
        <v>0</v>
      </c>
      <c r="BL273" s="82">
        <f t="shared" si="2159"/>
        <v>0</v>
      </c>
      <c r="BM273" s="82"/>
      <c r="BN273" s="82"/>
      <c r="BO273" s="82"/>
      <c r="BP273" s="82"/>
      <c r="BQ273" s="82"/>
      <c r="BR273" s="82"/>
      <c r="BS273" s="82"/>
      <c r="BT273" s="82"/>
      <c r="BU273" s="82"/>
      <c r="BV273" s="82"/>
      <c r="BW273" s="82">
        <f t="shared" si="2160"/>
        <v>0</v>
      </c>
      <c r="BX273" s="82">
        <f t="shared" si="2161"/>
        <v>0</v>
      </c>
      <c r="BY273" s="82">
        <f t="shared" si="1829"/>
        <v>2</v>
      </c>
      <c r="BZ273" s="82">
        <f t="shared" si="2162"/>
        <v>432900</v>
      </c>
      <c r="CA273" s="82"/>
      <c r="CB273" s="82"/>
      <c r="CC273" s="82">
        <f t="shared" si="2163"/>
        <v>0</v>
      </c>
      <c r="CD273" s="82">
        <f t="shared" si="2164"/>
        <v>0</v>
      </c>
      <c r="CE273" s="82"/>
      <c r="CF273" s="82"/>
      <c r="CG273" s="82"/>
      <c r="CH273" s="82"/>
      <c r="CI273" s="82">
        <f t="shared" si="2165"/>
        <v>0</v>
      </c>
      <c r="CJ273" s="82">
        <f t="shared" si="2166"/>
        <v>0</v>
      </c>
      <c r="CK273" s="82">
        <f t="shared" si="1835"/>
        <v>2</v>
      </c>
      <c r="CL273" s="82">
        <f t="shared" si="2167"/>
        <v>432900</v>
      </c>
      <c r="CM273" s="82"/>
      <c r="CN273" s="82"/>
      <c r="CO273" s="82">
        <f t="shared" si="1837"/>
        <v>0</v>
      </c>
      <c r="CP273" s="82">
        <f t="shared" si="1838"/>
        <v>0</v>
      </c>
      <c r="CQ273" s="82"/>
      <c r="CR273" s="82"/>
      <c r="CS273" s="82"/>
      <c r="CT273" s="82"/>
      <c r="CU273" s="82">
        <f t="shared" si="2168"/>
        <v>0</v>
      </c>
      <c r="CV273" s="82">
        <f t="shared" si="2169"/>
        <v>0</v>
      </c>
      <c r="CW273" s="82">
        <f t="shared" si="1841"/>
        <v>2</v>
      </c>
      <c r="CX273" s="82">
        <f t="shared" si="2170"/>
        <v>432900</v>
      </c>
      <c r="CY273" s="82">
        <f t="shared" si="1843"/>
        <v>0</v>
      </c>
      <c r="CZ273" s="82">
        <f t="shared" si="1844"/>
        <v>0</v>
      </c>
      <c r="DA273" s="82">
        <f t="shared" si="1845"/>
        <v>2</v>
      </c>
      <c r="DB273" s="82">
        <f t="shared" si="1846"/>
        <v>432900</v>
      </c>
      <c r="DC273" s="91"/>
      <c r="DD273" s="82"/>
      <c r="DE273" s="82"/>
      <c r="DF273" s="82">
        <f t="shared" si="2171"/>
        <v>0</v>
      </c>
      <c r="DG273" s="82">
        <f t="shared" si="2172"/>
        <v>0</v>
      </c>
      <c r="DH273" s="82"/>
      <c r="DI273" s="82"/>
      <c r="DJ273" s="82"/>
      <c r="DK273" s="82"/>
      <c r="DL273" s="82">
        <f t="shared" si="2173"/>
        <v>0</v>
      </c>
      <c r="DM273" s="82">
        <f t="shared" si="2174"/>
        <v>0</v>
      </c>
      <c r="DN273" s="82">
        <f t="shared" si="2175"/>
        <v>2</v>
      </c>
      <c r="DO273" s="82">
        <f t="shared" si="2176"/>
        <v>432900</v>
      </c>
      <c r="DP273" s="82"/>
      <c r="DQ273" s="82"/>
      <c r="DR273" s="82">
        <f t="shared" si="2177"/>
        <v>0</v>
      </c>
      <c r="DS273" s="82">
        <f t="shared" si="2178"/>
        <v>0</v>
      </c>
      <c r="DT273" s="82"/>
      <c r="DU273" s="82"/>
      <c r="DV273" s="82"/>
      <c r="DW273" s="82"/>
      <c r="DX273" s="82">
        <f t="shared" si="2179"/>
        <v>0</v>
      </c>
      <c r="DY273" s="82">
        <f t="shared" si="2180"/>
        <v>0</v>
      </c>
      <c r="DZ273" s="82">
        <f t="shared" si="2181"/>
        <v>2</v>
      </c>
      <c r="EA273" s="82">
        <f t="shared" si="2182"/>
        <v>432900</v>
      </c>
      <c r="EB273" s="82"/>
      <c r="EC273" s="82"/>
      <c r="ED273" s="82">
        <f t="shared" si="2183"/>
        <v>0</v>
      </c>
      <c r="EE273" s="82">
        <f t="shared" si="2184"/>
        <v>0</v>
      </c>
      <c r="EF273" s="82"/>
      <c r="EG273" s="82"/>
      <c r="EH273" s="82"/>
      <c r="EI273" s="82"/>
      <c r="EJ273" s="82">
        <f t="shared" si="2185"/>
        <v>0</v>
      </c>
      <c r="EK273" s="82">
        <f t="shared" si="2186"/>
        <v>0</v>
      </c>
      <c r="EL273" s="82">
        <f t="shared" si="2187"/>
        <v>2</v>
      </c>
      <c r="EM273" s="82">
        <f t="shared" si="2188"/>
        <v>432900</v>
      </c>
      <c r="EN273" s="82">
        <f t="shared" si="2189"/>
        <v>0</v>
      </c>
      <c r="EO273" s="82">
        <f t="shared" si="2190"/>
        <v>0</v>
      </c>
      <c r="EP273" s="82">
        <f t="shared" si="2191"/>
        <v>2</v>
      </c>
      <c r="EQ273" s="82">
        <f t="shared" si="2192"/>
        <v>432900</v>
      </c>
      <c r="ER273" s="82"/>
      <c r="ES273" s="82"/>
      <c r="ET273" s="82">
        <f t="shared" si="2193"/>
        <v>0</v>
      </c>
      <c r="EU273" s="82">
        <f t="shared" si="2194"/>
        <v>0</v>
      </c>
      <c r="EV273" s="82"/>
      <c r="EW273" s="82"/>
      <c r="EX273" s="82"/>
      <c r="EY273" s="82"/>
      <c r="EZ273" s="82">
        <f t="shared" si="2195"/>
        <v>0</v>
      </c>
      <c r="FA273" s="82">
        <f t="shared" si="2196"/>
        <v>0</v>
      </c>
      <c r="FB273" s="82">
        <f t="shared" si="2197"/>
        <v>2</v>
      </c>
      <c r="FC273" s="82">
        <f t="shared" si="2198"/>
        <v>432900</v>
      </c>
      <c r="FD273" s="82"/>
      <c r="FE273" s="82"/>
      <c r="FF273" s="82">
        <f t="shared" si="2199"/>
        <v>0</v>
      </c>
      <c r="FG273" s="82">
        <f t="shared" si="2200"/>
        <v>0</v>
      </c>
      <c r="FH273" s="82"/>
      <c r="FI273" s="82"/>
      <c r="FJ273" s="82"/>
      <c r="FK273" s="82"/>
      <c r="FL273" s="82">
        <f t="shared" si="2201"/>
        <v>0</v>
      </c>
      <c r="FM273" s="82">
        <f t="shared" si="2202"/>
        <v>0</v>
      </c>
      <c r="FN273" s="82">
        <f t="shared" si="2203"/>
        <v>2</v>
      </c>
      <c r="FO273" s="82">
        <f t="shared" si="2204"/>
        <v>432900</v>
      </c>
      <c r="FP273" s="82"/>
      <c r="FQ273" s="82"/>
      <c r="FR273" s="82">
        <f t="shared" si="2205"/>
        <v>0</v>
      </c>
      <c r="FS273" s="82">
        <f t="shared" si="2206"/>
        <v>0</v>
      </c>
      <c r="FT273" s="82"/>
      <c r="FU273" s="82"/>
      <c r="FV273" s="82"/>
      <c r="FW273" s="82"/>
      <c r="FX273" s="82">
        <f t="shared" si="2207"/>
        <v>0</v>
      </c>
      <c r="FY273" s="82">
        <f t="shared" si="2208"/>
        <v>0</v>
      </c>
      <c r="FZ273" s="82">
        <f t="shared" si="2209"/>
        <v>2</v>
      </c>
      <c r="GA273" s="82">
        <f t="shared" si="2210"/>
        <v>432900</v>
      </c>
      <c r="GB273" s="82">
        <f t="shared" si="2211"/>
        <v>0</v>
      </c>
      <c r="GC273" s="82">
        <f t="shared" si="2212"/>
        <v>0</v>
      </c>
      <c r="GD273" s="82">
        <f t="shared" si="2213"/>
        <v>2</v>
      </c>
      <c r="GE273" s="82">
        <f t="shared" si="2214"/>
        <v>432900</v>
      </c>
      <c r="GF273" s="85"/>
    </row>
    <row r="274" ht="30.0" customHeight="1">
      <c r="A274" s="76">
        <v>20.0</v>
      </c>
      <c r="B274" s="77"/>
      <c r="C274" s="77" t="s">
        <v>301</v>
      </c>
      <c r="D274" s="78" t="s">
        <v>91</v>
      </c>
      <c r="E274" s="79">
        <v>20000.0</v>
      </c>
      <c r="F274" s="80" t="s">
        <v>144</v>
      </c>
      <c r="G274" s="81">
        <v>13.0</v>
      </c>
      <c r="H274" s="82">
        <v>260000.0</v>
      </c>
      <c r="I274" s="82"/>
      <c r="J274" s="82"/>
      <c r="K274" s="82">
        <f t="shared" si="2140"/>
        <v>0</v>
      </c>
      <c r="L274" s="82">
        <f t="shared" si="2141"/>
        <v>0</v>
      </c>
      <c r="M274" s="82"/>
      <c r="N274" s="83">
        <v>13.0</v>
      </c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>
        <f t="shared" si="2142"/>
        <v>13</v>
      </c>
      <c r="AC274" s="82">
        <f t="shared" si="2143"/>
        <v>260000</v>
      </c>
      <c r="AD274" s="82">
        <f t="shared" si="1807"/>
        <v>0</v>
      </c>
      <c r="AE274" s="82">
        <f t="shared" si="2144"/>
        <v>0</v>
      </c>
      <c r="AF274" s="82"/>
      <c r="AG274" s="82"/>
      <c r="AH274" s="82">
        <f t="shared" si="2145"/>
        <v>0</v>
      </c>
      <c r="AI274" s="82">
        <f t="shared" si="2146"/>
        <v>0</v>
      </c>
      <c r="AJ274" s="82"/>
      <c r="AK274" s="82"/>
      <c r="AL274" s="82"/>
      <c r="AM274" s="82"/>
      <c r="AN274" s="82">
        <f t="shared" si="2147"/>
        <v>0</v>
      </c>
      <c r="AO274" s="82">
        <f t="shared" si="2148"/>
        <v>0</v>
      </c>
      <c r="AP274" s="82">
        <f t="shared" si="1813"/>
        <v>0</v>
      </c>
      <c r="AQ274" s="82">
        <f t="shared" si="2149"/>
        <v>0</v>
      </c>
      <c r="AR274" s="82"/>
      <c r="AS274" s="82"/>
      <c r="AT274" s="82"/>
      <c r="AU274" s="82">
        <f t="shared" si="2150"/>
        <v>0</v>
      </c>
      <c r="AV274" s="82">
        <f t="shared" si="2151"/>
        <v>0</v>
      </c>
      <c r="AW274" s="82"/>
      <c r="AX274" s="82"/>
      <c r="AY274" s="82"/>
      <c r="AZ274" s="82"/>
      <c r="BA274" s="82">
        <f t="shared" si="2152"/>
        <v>0</v>
      </c>
      <c r="BB274" s="82">
        <f t="shared" si="2153"/>
        <v>0</v>
      </c>
      <c r="BC274" s="82">
        <f t="shared" si="1819"/>
        <v>0</v>
      </c>
      <c r="BD274" s="82">
        <f t="shared" si="2154"/>
        <v>0</v>
      </c>
      <c r="BE274" s="82">
        <f t="shared" si="2155"/>
        <v>0</v>
      </c>
      <c r="BF274" s="82">
        <f t="shared" si="2156"/>
        <v>13</v>
      </c>
      <c r="BG274" s="82">
        <f t="shared" si="1823"/>
        <v>0</v>
      </c>
      <c r="BH274" s="82">
        <f t="shared" si="2157"/>
        <v>0</v>
      </c>
      <c r="BI274" s="82"/>
      <c r="BJ274" s="83"/>
      <c r="BK274" s="82">
        <f t="shared" si="2158"/>
        <v>0</v>
      </c>
      <c r="BL274" s="82">
        <f t="shared" si="2159"/>
        <v>0</v>
      </c>
      <c r="BM274" s="82"/>
      <c r="BN274" s="82"/>
      <c r="BO274" s="82"/>
      <c r="BP274" s="82"/>
      <c r="BQ274" s="82"/>
      <c r="BR274" s="82"/>
      <c r="BS274" s="82"/>
      <c r="BT274" s="82"/>
      <c r="BU274" s="82"/>
      <c r="BV274" s="82"/>
      <c r="BW274" s="82">
        <f t="shared" si="2160"/>
        <v>0</v>
      </c>
      <c r="BX274" s="82">
        <f t="shared" si="2161"/>
        <v>0</v>
      </c>
      <c r="BY274" s="82">
        <f t="shared" si="1829"/>
        <v>0</v>
      </c>
      <c r="BZ274" s="82">
        <f t="shared" si="2162"/>
        <v>0</v>
      </c>
      <c r="CA274" s="82"/>
      <c r="CB274" s="82"/>
      <c r="CC274" s="82">
        <f t="shared" si="2163"/>
        <v>0</v>
      </c>
      <c r="CD274" s="82">
        <f t="shared" si="2164"/>
        <v>0</v>
      </c>
      <c r="CE274" s="82"/>
      <c r="CF274" s="82"/>
      <c r="CG274" s="82"/>
      <c r="CH274" s="82"/>
      <c r="CI274" s="82">
        <f t="shared" si="2165"/>
        <v>0</v>
      </c>
      <c r="CJ274" s="82">
        <f t="shared" si="2166"/>
        <v>0</v>
      </c>
      <c r="CK274" s="82">
        <f t="shared" si="1835"/>
        <v>0</v>
      </c>
      <c r="CL274" s="82">
        <f t="shared" si="2167"/>
        <v>0</v>
      </c>
      <c r="CM274" s="82"/>
      <c r="CN274" s="82"/>
      <c r="CO274" s="82">
        <f t="shared" si="1837"/>
        <v>0</v>
      </c>
      <c r="CP274" s="82">
        <f t="shared" si="1838"/>
        <v>0</v>
      </c>
      <c r="CQ274" s="82"/>
      <c r="CR274" s="82"/>
      <c r="CS274" s="82"/>
      <c r="CT274" s="82"/>
      <c r="CU274" s="82">
        <f t="shared" si="2168"/>
        <v>0</v>
      </c>
      <c r="CV274" s="82">
        <f t="shared" si="2169"/>
        <v>0</v>
      </c>
      <c r="CW274" s="82">
        <f t="shared" si="1841"/>
        <v>0</v>
      </c>
      <c r="CX274" s="82">
        <f t="shared" si="2170"/>
        <v>0</v>
      </c>
      <c r="CY274" s="82">
        <f t="shared" si="1843"/>
        <v>0</v>
      </c>
      <c r="CZ274" s="82">
        <f t="shared" si="1844"/>
        <v>0</v>
      </c>
      <c r="DA274" s="82">
        <f t="shared" si="1845"/>
        <v>0</v>
      </c>
      <c r="DB274" s="82">
        <f t="shared" si="1846"/>
        <v>0</v>
      </c>
      <c r="DC274" s="91"/>
      <c r="DD274" s="82"/>
      <c r="DE274" s="82"/>
      <c r="DF274" s="82">
        <f t="shared" si="2171"/>
        <v>0</v>
      </c>
      <c r="DG274" s="82">
        <f t="shared" si="2172"/>
        <v>0</v>
      </c>
      <c r="DH274" s="82"/>
      <c r="DI274" s="82"/>
      <c r="DJ274" s="82"/>
      <c r="DK274" s="82"/>
      <c r="DL274" s="82">
        <f t="shared" si="2173"/>
        <v>0</v>
      </c>
      <c r="DM274" s="82">
        <f t="shared" si="2174"/>
        <v>0</v>
      </c>
      <c r="DN274" s="82">
        <f t="shared" si="2175"/>
        <v>0</v>
      </c>
      <c r="DO274" s="82">
        <f t="shared" si="2176"/>
        <v>0</v>
      </c>
      <c r="DP274" s="82"/>
      <c r="DQ274" s="82"/>
      <c r="DR274" s="82">
        <f t="shared" si="2177"/>
        <v>0</v>
      </c>
      <c r="DS274" s="82">
        <f t="shared" si="2178"/>
        <v>0</v>
      </c>
      <c r="DT274" s="82"/>
      <c r="DU274" s="82"/>
      <c r="DV274" s="82"/>
      <c r="DW274" s="82"/>
      <c r="DX274" s="82">
        <f t="shared" si="2179"/>
        <v>0</v>
      </c>
      <c r="DY274" s="82">
        <f t="shared" si="2180"/>
        <v>0</v>
      </c>
      <c r="DZ274" s="82">
        <f t="shared" si="2181"/>
        <v>0</v>
      </c>
      <c r="EA274" s="82">
        <f t="shared" si="2182"/>
        <v>0</v>
      </c>
      <c r="EB274" s="82"/>
      <c r="EC274" s="82"/>
      <c r="ED274" s="82">
        <f t="shared" si="2183"/>
        <v>0</v>
      </c>
      <c r="EE274" s="82">
        <f t="shared" si="2184"/>
        <v>0</v>
      </c>
      <c r="EF274" s="82"/>
      <c r="EG274" s="82"/>
      <c r="EH274" s="82"/>
      <c r="EI274" s="82"/>
      <c r="EJ274" s="82">
        <f t="shared" si="2185"/>
        <v>0</v>
      </c>
      <c r="EK274" s="82">
        <f t="shared" si="2186"/>
        <v>0</v>
      </c>
      <c r="EL274" s="82">
        <f t="shared" si="2187"/>
        <v>0</v>
      </c>
      <c r="EM274" s="82">
        <f t="shared" si="2188"/>
        <v>0</v>
      </c>
      <c r="EN274" s="82">
        <f t="shared" si="2189"/>
        <v>0</v>
      </c>
      <c r="EO274" s="82">
        <f t="shared" si="2190"/>
        <v>0</v>
      </c>
      <c r="EP274" s="82">
        <f t="shared" si="2191"/>
        <v>0</v>
      </c>
      <c r="EQ274" s="82">
        <f t="shared" si="2192"/>
        <v>0</v>
      </c>
      <c r="ER274" s="82"/>
      <c r="ES274" s="82"/>
      <c r="ET274" s="82">
        <f t="shared" si="2193"/>
        <v>0</v>
      </c>
      <c r="EU274" s="82">
        <f t="shared" si="2194"/>
        <v>0</v>
      </c>
      <c r="EV274" s="82"/>
      <c r="EW274" s="82"/>
      <c r="EX274" s="82"/>
      <c r="EY274" s="82"/>
      <c r="EZ274" s="82">
        <f t="shared" si="2195"/>
        <v>0</v>
      </c>
      <c r="FA274" s="82">
        <f t="shared" si="2196"/>
        <v>0</v>
      </c>
      <c r="FB274" s="82">
        <f t="shared" si="2197"/>
        <v>0</v>
      </c>
      <c r="FC274" s="82">
        <f t="shared" si="2198"/>
        <v>0</v>
      </c>
      <c r="FD274" s="82"/>
      <c r="FE274" s="82"/>
      <c r="FF274" s="82">
        <f t="shared" si="2199"/>
        <v>0</v>
      </c>
      <c r="FG274" s="82">
        <f t="shared" si="2200"/>
        <v>0</v>
      </c>
      <c r="FH274" s="82"/>
      <c r="FI274" s="82"/>
      <c r="FJ274" s="82"/>
      <c r="FK274" s="82"/>
      <c r="FL274" s="82">
        <f t="shared" si="2201"/>
        <v>0</v>
      </c>
      <c r="FM274" s="82">
        <f t="shared" si="2202"/>
        <v>0</v>
      </c>
      <c r="FN274" s="82">
        <f t="shared" si="2203"/>
        <v>0</v>
      </c>
      <c r="FO274" s="82">
        <f t="shared" si="2204"/>
        <v>0</v>
      </c>
      <c r="FP274" s="82"/>
      <c r="FQ274" s="82"/>
      <c r="FR274" s="82">
        <f t="shared" si="2205"/>
        <v>0</v>
      </c>
      <c r="FS274" s="82">
        <f t="shared" si="2206"/>
        <v>0</v>
      </c>
      <c r="FT274" s="82"/>
      <c r="FU274" s="82"/>
      <c r="FV274" s="82"/>
      <c r="FW274" s="82"/>
      <c r="FX274" s="82">
        <f t="shared" si="2207"/>
        <v>0</v>
      </c>
      <c r="FY274" s="82">
        <f t="shared" si="2208"/>
        <v>0</v>
      </c>
      <c r="FZ274" s="82">
        <f t="shared" si="2209"/>
        <v>0</v>
      </c>
      <c r="GA274" s="82">
        <f t="shared" si="2210"/>
        <v>0</v>
      </c>
      <c r="GB274" s="82">
        <f t="shared" si="2211"/>
        <v>0</v>
      </c>
      <c r="GC274" s="82">
        <f t="shared" si="2212"/>
        <v>0</v>
      </c>
      <c r="GD274" s="82">
        <f t="shared" si="2213"/>
        <v>0</v>
      </c>
      <c r="GE274" s="82">
        <f t="shared" si="2214"/>
        <v>0</v>
      </c>
      <c r="GF274" s="85"/>
    </row>
    <row r="275" ht="30.0" customHeight="1">
      <c r="A275" s="16"/>
      <c r="B275" s="16"/>
      <c r="C275" s="16"/>
      <c r="D275" s="78" t="s">
        <v>91</v>
      </c>
      <c r="E275" s="86">
        <v>16216.0</v>
      </c>
      <c r="F275" s="80" t="s">
        <v>284</v>
      </c>
      <c r="G275" s="81">
        <v>20.0</v>
      </c>
      <c r="H275" s="82">
        <v>324320.0</v>
      </c>
      <c r="I275" s="82"/>
      <c r="J275" s="82"/>
      <c r="K275" s="82">
        <f t="shared" si="2140"/>
        <v>0</v>
      </c>
      <c r="L275" s="82">
        <f t="shared" si="2141"/>
        <v>0</v>
      </c>
      <c r="M275" s="82"/>
      <c r="N275" s="83">
        <v>17.0</v>
      </c>
      <c r="O275" s="82"/>
      <c r="P275" s="82"/>
      <c r="Q275" s="83">
        <v>2.0</v>
      </c>
      <c r="R275" s="83">
        <v>1.0</v>
      </c>
      <c r="S275" s="82"/>
      <c r="T275" s="82"/>
      <c r="U275" s="82"/>
      <c r="V275" s="82"/>
      <c r="W275" s="82"/>
      <c r="X275" s="82"/>
      <c r="Y275" s="82"/>
      <c r="Z275" s="82"/>
      <c r="AA275" s="82"/>
      <c r="AB275" s="82">
        <f t="shared" si="2142"/>
        <v>20</v>
      </c>
      <c r="AC275" s="82">
        <f t="shared" si="2143"/>
        <v>324320</v>
      </c>
      <c r="AD275" s="82">
        <f t="shared" si="1807"/>
        <v>0</v>
      </c>
      <c r="AE275" s="82">
        <f t="shared" si="2144"/>
        <v>0</v>
      </c>
      <c r="AF275" s="82"/>
      <c r="AG275" s="82"/>
      <c r="AH275" s="82">
        <f t="shared" si="2145"/>
        <v>0</v>
      </c>
      <c r="AI275" s="82">
        <f t="shared" si="2146"/>
        <v>0</v>
      </c>
      <c r="AJ275" s="82"/>
      <c r="AK275" s="82"/>
      <c r="AL275" s="82"/>
      <c r="AM275" s="82"/>
      <c r="AN275" s="82">
        <f t="shared" si="2147"/>
        <v>0</v>
      </c>
      <c r="AO275" s="82">
        <f t="shared" si="2148"/>
        <v>0</v>
      </c>
      <c r="AP275" s="82">
        <f t="shared" si="1813"/>
        <v>0</v>
      </c>
      <c r="AQ275" s="82">
        <f t="shared" si="2149"/>
        <v>0</v>
      </c>
      <c r="AR275" s="82"/>
      <c r="AS275" s="82"/>
      <c r="AT275" s="82"/>
      <c r="AU275" s="82">
        <f t="shared" si="2150"/>
        <v>0</v>
      </c>
      <c r="AV275" s="82">
        <f t="shared" si="2151"/>
        <v>0</v>
      </c>
      <c r="AW275" s="82"/>
      <c r="AX275" s="82"/>
      <c r="AY275" s="82"/>
      <c r="AZ275" s="82"/>
      <c r="BA275" s="82">
        <f t="shared" si="2152"/>
        <v>0</v>
      </c>
      <c r="BB275" s="82">
        <f t="shared" si="2153"/>
        <v>0</v>
      </c>
      <c r="BC275" s="82">
        <f t="shared" si="1819"/>
        <v>0</v>
      </c>
      <c r="BD275" s="82">
        <f t="shared" si="2154"/>
        <v>0</v>
      </c>
      <c r="BE275" s="82">
        <f t="shared" si="2155"/>
        <v>0</v>
      </c>
      <c r="BF275" s="82">
        <f t="shared" si="2156"/>
        <v>20</v>
      </c>
      <c r="BG275" s="82">
        <f t="shared" si="1823"/>
        <v>0</v>
      </c>
      <c r="BH275" s="82">
        <f t="shared" si="2157"/>
        <v>0</v>
      </c>
      <c r="BI275" s="82"/>
      <c r="BJ275" s="83"/>
      <c r="BK275" s="82">
        <f t="shared" si="2158"/>
        <v>0</v>
      </c>
      <c r="BL275" s="82">
        <f t="shared" si="2159"/>
        <v>0</v>
      </c>
      <c r="BM275" s="82"/>
      <c r="BN275" s="82"/>
      <c r="BO275" s="82"/>
      <c r="BP275" s="82"/>
      <c r="BQ275" s="82"/>
      <c r="BR275" s="82"/>
      <c r="BS275" s="82"/>
      <c r="BT275" s="82"/>
      <c r="BU275" s="82"/>
      <c r="BV275" s="82"/>
      <c r="BW275" s="82">
        <f t="shared" si="2160"/>
        <v>0</v>
      </c>
      <c r="BX275" s="82">
        <f t="shared" si="2161"/>
        <v>0</v>
      </c>
      <c r="BY275" s="82">
        <f t="shared" si="1829"/>
        <v>0</v>
      </c>
      <c r="BZ275" s="82">
        <f t="shared" si="2162"/>
        <v>0</v>
      </c>
      <c r="CA275" s="82"/>
      <c r="CB275" s="82"/>
      <c r="CC275" s="82">
        <f t="shared" si="2163"/>
        <v>0</v>
      </c>
      <c r="CD275" s="82">
        <f t="shared" si="2164"/>
        <v>0</v>
      </c>
      <c r="CE275" s="82"/>
      <c r="CF275" s="82"/>
      <c r="CG275" s="82"/>
      <c r="CH275" s="82"/>
      <c r="CI275" s="82">
        <f t="shared" si="2165"/>
        <v>0</v>
      </c>
      <c r="CJ275" s="82">
        <f t="shared" si="2166"/>
        <v>0</v>
      </c>
      <c r="CK275" s="82">
        <f t="shared" si="1835"/>
        <v>0</v>
      </c>
      <c r="CL275" s="82">
        <f t="shared" si="2167"/>
        <v>0</v>
      </c>
      <c r="CM275" s="82"/>
      <c r="CN275" s="82"/>
      <c r="CO275" s="82">
        <f t="shared" si="1837"/>
        <v>0</v>
      </c>
      <c r="CP275" s="82">
        <f t="shared" si="1838"/>
        <v>0</v>
      </c>
      <c r="CQ275" s="82"/>
      <c r="CR275" s="82"/>
      <c r="CS275" s="82"/>
      <c r="CT275" s="82"/>
      <c r="CU275" s="82">
        <f t="shared" si="2168"/>
        <v>0</v>
      </c>
      <c r="CV275" s="82">
        <f t="shared" si="2169"/>
        <v>0</v>
      </c>
      <c r="CW275" s="82">
        <f t="shared" si="1841"/>
        <v>0</v>
      </c>
      <c r="CX275" s="82">
        <f t="shared" si="2170"/>
        <v>0</v>
      </c>
      <c r="CY275" s="82">
        <f t="shared" si="1843"/>
        <v>0</v>
      </c>
      <c r="CZ275" s="82">
        <f t="shared" si="1844"/>
        <v>0</v>
      </c>
      <c r="DA275" s="82">
        <f t="shared" si="1845"/>
        <v>0</v>
      </c>
      <c r="DB275" s="82">
        <f t="shared" si="1846"/>
        <v>0</v>
      </c>
      <c r="DC275" s="91"/>
      <c r="DD275" s="82"/>
      <c r="DE275" s="82"/>
      <c r="DF275" s="82">
        <f t="shared" si="2171"/>
        <v>0</v>
      </c>
      <c r="DG275" s="82">
        <f t="shared" si="2172"/>
        <v>0</v>
      </c>
      <c r="DH275" s="82"/>
      <c r="DI275" s="82"/>
      <c r="DJ275" s="82"/>
      <c r="DK275" s="82"/>
      <c r="DL275" s="82">
        <f t="shared" si="2173"/>
        <v>0</v>
      </c>
      <c r="DM275" s="82">
        <f t="shared" si="2174"/>
        <v>0</v>
      </c>
      <c r="DN275" s="82">
        <f t="shared" si="2175"/>
        <v>0</v>
      </c>
      <c r="DO275" s="82">
        <f t="shared" si="2176"/>
        <v>0</v>
      </c>
      <c r="DP275" s="82"/>
      <c r="DQ275" s="82"/>
      <c r="DR275" s="82">
        <f t="shared" si="2177"/>
        <v>0</v>
      </c>
      <c r="DS275" s="82">
        <f t="shared" si="2178"/>
        <v>0</v>
      </c>
      <c r="DT275" s="82"/>
      <c r="DU275" s="82"/>
      <c r="DV275" s="82"/>
      <c r="DW275" s="82"/>
      <c r="DX275" s="82">
        <f t="shared" si="2179"/>
        <v>0</v>
      </c>
      <c r="DY275" s="82">
        <f t="shared" si="2180"/>
        <v>0</v>
      </c>
      <c r="DZ275" s="82">
        <f t="shared" si="2181"/>
        <v>0</v>
      </c>
      <c r="EA275" s="82">
        <f t="shared" si="2182"/>
        <v>0</v>
      </c>
      <c r="EB275" s="82"/>
      <c r="EC275" s="82"/>
      <c r="ED275" s="82">
        <f t="shared" si="2183"/>
        <v>0</v>
      </c>
      <c r="EE275" s="82">
        <f t="shared" si="2184"/>
        <v>0</v>
      </c>
      <c r="EF275" s="82"/>
      <c r="EG275" s="82"/>
      <c r="EH275" s="82"/>
      <c r="EI275" s="82"/>
      <c r="EJ275" s="82">
        <f t="shared" si="2185"/>
        <v>0</v>
      </c>
      <c r="EK275" s="82">
        <f t="shared" si="2186"/>
        <v>0</v>
      </c>
      <c r="EL275" s="82">
        <f t="shared" si="2187"/>
        <v>0</v>
      </c>
      <c r="EM275" s="82">
        <f t="shared" si="2188"/>
        <v>0</v>
      </c>
      <c r="EN275" s="82">
        <f t="shared" si="2189"/>
        <v>0</v>
      </c>
      <c r="EO275" s="82">
        <f t="shared" si="2190"/>
        <v>0</v>
      </c>
      <c r="EP275" s="82">
        <f t="shared" si="2191"/>
        <v>0</v>
      </c>
      <c r="EQ275" s="82">
        <f t="shared" si="2192"/>
        <v>0</v>
      </c>
      <c r="ER275" s="82"/>
      <c r="ES275" s="82"/>
      <c r="ET275" s="82">
        <f t="shared" si="2193"/>
        <v>0</v>
      </c>
      <c r="EU275" s="82">
        <f t="shared" si="2194"/>
        <v>0</v>
      </c>
      <c r="EV275" s="82"/>
      <c r="EW275" s="82"/>
      <c r="EX275" s="82"/>
      <c r="EY275" s="82"/>
      <c r="EZ275" s="82">
        <f t="shared" si="2195"/>
        <v>0</v>
      </c>
      <c r="FA275" s="82">
        <f t="shared" si="2196"/>
        <v>0</v>
      </c>
      <c r="FB275" s="82">
        <f t="shared" si="2197"/>
        <v>0</v>
      </c>
      <c r="FC275" s="82">
        <f t="shared" si="2198"/>
        <v>0</v>
      </c>
      <c r="FD275" s="82"/>
      <c r="FE275" s="82"/>
      <c r="FF275" s="82">
        <f t="shared" si="2199"/>
        <v>0</v>
      </c>
      <c r="FG275" s="82">
        <f t="shared" si="2200"/>
        <v>0</v>
      </c>
      <c r="FH275" s="82"/>
      <c r="FI275" s="82"/>
      <c r="FJ275" s="82"/>
      <c r="FK275" s="82"/>
      <c r="FL275" s="82">
        <f t="shared" si="2201"/>
        <v>0</v>
      </c>
      <c r="FM275" s="82">
        <f t="shared" si="2202"/>
        <v>0</v>
      </c>
      <c r="FN275" s="82">
        <f t="shared" si="2203"/>
        <v>0</v>
      </c>
      <c r="FO275" s="82">
        <f t="shared" si="2204"/>
        <v>0</v>
      </c>
      <c r="FP275" s="82"/>
      <c r="FQ275" s="82"/>
      <c r="FR275" s="82">
        <f t="shared" si="2205"/>
        <v>0</v>
      </c>
      <c r="FS275" s="82">
        <f t="shared" si="2206"/>
        <v>0</v>
      </c>
      <c r="FT275" s="82"/>
      <c r="FU275" s="82"/>
      <c r="FV275" s="82"/>
      <c r="FW275" s="82"/>
      <c r="FX275" s="82">
        <f t="shared" si="2207"/>
        <v>0</v>
      </c>
      <c r="FY275" s="82">
        <f t="shared" si="2208"/>
        <v>0</v>
      </c>
      <c r="FZ275" s="82">
        <f t="shared" si="2209"/>
        <v>0</v>
      </c>
      <c r="GA275" s="82">
        <f t="shared" si="2210"/>
        <v>0</v>
      </c>
      <c r="GB275" s="82">
        <f t="shared" si="2211"/>
        <v>0</v>
      </c>
      <c r="GC275" s="82">
        <f t="shared" si="2212"/>
        <v>0</v>
      </c>
      <c r="GD275" s="82">
        <f t="shared" si="2213"/>
        <v>0</v>
      </c>
      <c r="GE275" s="82">
        <f t="shared" si="2214"/>
        <v>0</v>
      </c>
      <c r="GF275" s="85"/>
    </row>
    <row r="276" ht="30.0" customHeight="1">
      <c r="A276" s="50"/>
      <c r="B276" s="50"/>
      <c r="C276" s="50"/>
      <c r="D276" s="78" t="s">
        <v>91</v>
      </c>
      <c r="E276" s="86">
        <v>16215.99</v>
      </c>
      <c r="F276" s="80" t="s">
        <v>280</v>
      </c>
      <c r="G276" s="81">
        <v>85.0</v>
      </c>
      <c r="H276" s="82">
        <v>1378359.15</v>
      </c>
      <c r="I276" s="82"/>
      <c r="J276" s="82"/>
      <c r="K276" s="82">
        <f t="shared" si="2140"/>
        <v>0</v>
      </c>
      <c r="L276" s="82">
        <f t="shared" si="2141"/>
        <v>0</v>
      </c>
      <c r="M276" s="82"/>
      <c r="N276" s="82"/>
      <c r="O276" s="82"/>
      <c r="P276" s="82"/>
      <c r="Q276" s="82"/>
      <c r="R276" s="83">
        <v>4.0</v>
      </c>
      <c r="S276" s="82"/>
      <c r="T276" s="82"/>
      <c r="U276" s="83">
        <v>6.0</v>
      </c>
      <c r="V276" s="83">
        <v>5.0</v>
      </c>
      <c r="W276" s="82"/>
      <c r="X276" s="82"/>
      <c r="Y276" s="82"/>
      <c r="Z276" s="83">
        <v>2.0</v>
      </c>
      <c r="AA276" s="82"/>
      <c r="AB276" s="82">
        <f t="shared" si="2142"/>
        <v>17</v>
      </c>
      <c r="AC276" s="82">
        <f t="shared" si="2143"/>
        <v>275671.83</v>
      </c>
      <c r="AD276" s="82">
        <f t="shared" si="1807"/>
        <v>68</v>
      </c>
      <c r="AE276" s="82">
        <f t="shared" si="2144"/>
        <v>1102687.32</v>
      </c>
      <c r="AF276" s="82"/>
      <c r="AG276" s="82"/>
      <c r="AH276" s="82">
        <f t="shared" si="2145"/>
        <v>0</v>
      </c>
      <c r="AI276" s="82">
        <f t="shared" si="2146"/>
        <v>0</v>
      </c>
      <c r="AJ276" s="82"/>
      <c r="AK276" s="82"/>
      <c r="AL276" s="82"/>
      <c r="AM276" s="82"/>
      <c r="AN276" s="82">
        <f t="shared" si="2147"/>
        <v>0</v>
      </c>
      <c r="AO276" s="82">
        <f t="shared" si="2148"/>
        <v>0</v>
      </c>
      <c r="AP276" s="82">
        <f t="shared" si="1813"/>
        <v>68</v>
      </c>
      <c r="AQ276" s="82">
        <f t="shared" si="2149"/>
        <v>1102687.32</v>
      </c>
      <c r="AR276" s="82"/>
      <c r="AS276" s="82"/>
      <c r="AT276" s="82"/>
      <c r="AU276" s="82">
        <f t="shared" si="2150"/>
        <v>0</v>
      </c>
      <c r="AV276" s="82">
        <f t="shared" si="2151"/>
        <v>0</v>
      </c>
      <c r="AW276" s="82"/>
      <c r="AX276" s="82"/>
      <c r="AY276" s="82"/>
      <c r="AZ276" s="82"/>
      <c r="BA276" s="82">
        <f t="shared" si="2152"/>
        <v>0</v>
      </c>
      <c r="BB276" s="82">
        <f t="shared" si="2153"/>
        <v>0</v>
      </c>
      <c r="BC276" s="82">
        <f t="shared" si="1819"/>
        <v>68</v>
      </c>
      <c r="BD276" s="82">
        <f t="shared" si="2154"/>
        <v>1102687.32</v>
      </c>
      <c r="BE276" s="82">
        <f t="shared" si="2155"/>
        <v>0</v>
      </c>
      <c r="BF276" s="82">
        <f t="shared" si="2156"/>
        <v>17</v>
      </c>
      <c r="BG276" s="82">
        <f t="shared" si="1823"/>
        <v>68</v>
      </c>
      <c r="BH276" s="82">
        <f t="shared" si="2157"/>
        <v>1102687.32</v>
      </c>
      <c r="BI276" s="82"/>
      <c r="BJ276" s="83"/>
      <c r="BK276" s="82">
        <f t="shared" si="2158"/>
        <v>0</v>
      </c>
      <c r="BL276" s="82">
        <f t="shared" si="2159"/>
        <v>0</v>
      </c>
      <c r="BM276" s="83">
        <v>5.0</v>
      </c>
      <c r="BN276" s="83">
        <v>5.0</v>
      </c>
      <c r="BO276" s="82"/>
      <c r="BP276" s="82"/>
      <c r="BQ276" s="83">
        <v>5.0</v>
      </c>
      <c r="BR276" s="83">
        <v>5.0</v>
      </c>
      <c r="BS276" s="83">
        <v>10.0</v>
      </c>
      <c r="BT276" s="83">
        <v>15.0</v>
      </c>
      <c r="BU276" s="83"/>
      <c r="BV276" s="83">
        <v>2.0</v>
      </c>
      <c r="BW276" s="82">
        <f t="shared" si="2160"/>
        <v>47</v>
      </c>
      <c r="BX276" s="82">
        <f t="shared" si="2161"/>
        <v>762151.53</v>
      </c>
      <c r="BY276" s="82">
        <f t="shared" si="1829"/>
        <v>21</v>
      </c>
      <c r="BZ276" s="82">
        <f t="shared" si="2162"/>
        <v>340535.79</v>
      </c>
      <c r="CA276" s="82"/>
      <c r="CB276" s="82"/>
      <c r="CC276" s="82">
        <f t="shared" si="2163"/>
        <v>0</v>
      </c>
      <c r="CD276" s="82">
        <f t="shared" si="2164"/>
        <v>0</v>
      </c>
      <c r="CE276" s="83">
        <v>3.0</v>
      </c>
      <c r="CF276" s="82"/>
      <c r="CG276" s="82"/>
      <c r="CH276" s="82"/>
      <c r="CI276" s="82">
        <f t="shared" si="2165"/>
        <v>3</v>
      </c>
      <c r="CJ276" s="82">
        <f t="shared" si="2166"/>
        <v>48647.97</v>
      </c>
      <c r="CK276" s="82">
        <f t="shared" si="1835"/>
        <v>18</v>
      </c>
      <c r="CL276" s="82">
        <f t="shared" si="2167"/>
        <v>291887.82</v>
      </c>
      <c r="CM276" s="82"/>
      <c r="CN276" s="82"/>
      <c r="CO276" s="82">
        <f t="shared" si="1837"/>
        <v>0</v>
      </c>
      <c r="CP276" s="82">
        <f t="shared" si="1838"/>
        <v>0</v>
      </c>
      <c r="CQ276" s="82"/>
      <c r="CR276" s="83">
        <v>18.0</v>
      </c>
      <c r="CS276" s="82"/>
      <c r="CT276" s="82"/>
      <c r="CU276" s="82">
        <f t="shared" si="2168"/>
        <v>18</v>
      </c>
      <c r="CV276" s="82">
        <f t="shared" si="2169"/>
        <v>291887.82</v>
      </c>
      <c r="CW276" s="82">
        <f t="shared" si="1841"/>
        <v>0</v>
      </c>
      <c r="CX276" s="82">
        <f t="shared" si="2170"/>
        <v>0</v>
      </c>
      <c r="CY276" s="82">
        <f t="shared" si="1843"/>
        <v>0</v>
      </c>
      <c r="CZ276" s="82">
        <f t="shared" si="1844"/>
        <v>68</v>
      </c>
      <c r="DA276" s="82">
        <f t="shared" si="1845"/>
        <v>0</v>
      </c>
      <c r="DB276" s="82">
        <f t="shared" si="1846"/>
        <v>0</v>
      </c>
      <c r="DC276" s="91"/>
      <c r="DD276" s="82"/>
      <c r="DE276" s="82"/>
      <c r="DF276" s="82">
        <f t="shared" si="2171"/>
        <v>0</v>
      </c>
      <c r="DG276" s="82">
        <f t="shared" si="2172"/>
        <v>0</v>
      </c>
      <c r="DH276" s="82"/>
      <c r="DI276" s="82"/>
      <c r="DJ276" s="82"/>
      <c r="DK276" s="82"/>
      <c r="DL276" s="82">
        <f t="shared" si="2173"/>
        <v>0</v>
      </c>
      <c r="DM276" s="82">
        <f t="shared" si="2174"/>
        <v>0</v>
      </c>
      <c r="DN276" s="82">
        <f t="shared" si="2175"/>
        <v>0</v>
      </c>
      <c r="DO276" s="82">
        <f t="shared" si="2176"/>
        <v>0</v>
      </c>
      <c r="DP276" s="82"/>
      <c r="DQ276" s="82"/>
      <c r="DR276" s="82">
        <f t="shared" si="2177"/>
        <v>0</v>
      </c>
      <c r="DS276" s="82">
        <f t="shared" si="2178"/>
        <v>0</v>
      </c>
      <c r="DT276" s="82"/>
      <c r="DU276" s="82"/>
      <c r="DV276" s="82"/>
      <c r="DW276" s="82"/>
      <c r="DX276" s="82">
        <f t="shared" si="2179"/>
        <v>0</v>
      </c>
      <c r="DY276" s="82">
        <f t="shared" si="2180"/>
        <v>0</v>
      </c>
      <c r="DZ276" s="82">
        <f t="shared" si="2181"/>
        <v>0</v>
      </c>
      <c r="EA276" s="82">
        <f t="shared" si="2182"/>
        <v>0</v>
      </c>
      <c r="EB276" s="82"/>
      <c r="EC276" s="82"/>
      <c r="ED276" s="82">
        <f t="shared" si="2183"/>
        <v>0</v>
      </c>
      <c r="EE276" s="82">
        <f t="shared" si="2184"/>
        <v>0</v>
      </c>
      <c r="EF276" s="82"/>
      <c r="EG276" s="82"/>
      <c r="EH276" s="82"/>
      <c r="EI276" s="82"/>
      <c r="EJ276" s="82">
        <f t="shared" si="2185"/>
        <v>0</v>
      </c>
      <c r="EK276" s="82">
        <f t="shared" si="2186"/>
        <v>0</v>
      </c>
      <c r="EL276" s="82">
        <f t="shared" si="2187"/>
        <v>0</v>
      </c>
      <c r="EM276" s="82">
        <f t="shared" si="2188"/>
        <v>0</v>
      </c>
      <c r="EN276" s="82">
        <f t="shared" si="2189"/>
        <v>0</v>
      </c>
      <c r="EO276" s="82">
        <f t="shared" si="2190"/>
        <v>0</v>
      </c>
      <c r="EP276" s="82">
        <f t="shared" si="2191"/>
        <v>0</v>
      </c>
      <c r="EQ276" s="82">
        <f t="shared" si="2192"/>
        <v>0</v>
      </c>
      <c r="ER276" s="82"/>
      <c r="ES276" s="82"/>
      <c r="ET276" s="82">
        <f t="shared" si="2193"/>
        <v>0</v>
      </c>
      <c r="EU276" s="82">
        <f t="shared" si="2194"/>
        <v>0</v>
      </c>
      <c r="EV276" s="82"/>
      <c r="EW276" s="82"/>
      <c r="EX276" s="82"/>
      <c r="EY276" s="82"/>
      <c r="EZ276" s="82">
        <f t="shared" si="2195"/>
        <v>0</v>
      </c>
      <c r="FA276" s="82">
        <f t="shared" si="2196"/>
        <v>0</v>
      </c>
      <c r="FB276" s="82">
        <f t="shared" si="2197"/>
        <v>0</v>
      </c>
      <c r="FC276" s="82">
        <f t="shared" si="2198"/>
        <v>0</v>
      </c>
      <c r="FD276" s="82"/>
      <c r="FE276" s="82"/>
      <c r="FF276" s="82">
        <f t="shared" si="2199"/>
        <v>0</v>
      </c>
      <c r="FG276" s="82">
        <f t="shared" si="2200"/>
        <v>0</v>
      </c>
      <c r="FH276" s="82"/>
      <c r="FI276" s="82"/>
      <c r="FJ276" s="82"/>
      <c r="FK276" s="82"/>
      <c r="FL276" s="82">
        <f t="shared" si="2201"/>
        <v>0</v>
      </c>
      <c r="FM276" s="82">
        <f t="shared" si="2202"/>
        <v>0</v>
      </c>
      <c r="FN276" s="82">
        <f t="shared" si="2203"/>
        <v>0</v>
      </c>
      <c r="FO276" s="82">
        <f t="shared" si="2204"/>
        <v>0</v>
      </c>
      <c r="FP276" s="82"/>
      <c r="FQ276" s="82"/>
      <c r="FR276" s="82">
        <f t="shared" si="2205"/>
        <v>0</v>
      </c>
      <c r="FS276" s="82">
        <f t="shared" si="2206"/>
        <v>0</v>
      </c>
      <c r="FT276" s="82"/>
      <c r="FU276" s="82"/>
      <c r="FV276" s="82"/>
      <c r="FW276" s="82"/>
      <c r="FX276" s="82">
        <f t="shared" si="2207"/>
        <v>0</v>
      </c>
      <c r="FY276" s="82">
        <f t="shared" si="2208"/>
        <v>0</v>
      </c>
      <c r="FZ276" s="82">
        <f t="shared" si="2209"/>
        <v>0</v>
      </c>
      <c r="GA276" s="82">
        <f t="shared" si="2210"/>
        <v>0</v>
      </c>
      <c r="GB276" s="82">
        <f t="shared" si="2211"/>
        <v>0</v>
      </c>
      <c r="GC276" s="82">
        <f t="shared" si="2212"/>
        <v>0</v>
      </c>
      <c r="GD276" s="82">
        <f t="shared" si="2213"/>
        <v>0</v>
      </c>
      <c r="GE276" s="82">
        <f t="shared" si="2214"/>
        <v>0</v>
      </c>
      <c r="GF276" s="85"/>
    </row>
    <row r="277" ht="30.0" customHeight="1">
      <c r="A277" s="96"/>
      <c r="B277" s="58"/>
      <c r="C277" s="58"/>
      <c r="D277" s="78" t="s">
        <v>91</v>
      </c>
      <c r="E277" s="86">
        <v>25530.0</v>
      </c>
      <c r="F277" s="80" t="s">
        <v>281</v>
      </c>
      <c r="G277" s="90">
        <v>18.0</v>
      </c>
      <c r="H277" s="82"/>
      <c r="I277" s="82"/>
      <c r="J277" s="82"/>
      <c r="K277" s="82"/>
      <c r="L277" s="82"/>
      <c r="M277" s="82"/>
      <c r="N277" s="83"/>
      <c r="O277" s="82"/>
      <c r="P277" s="82"/>
      <c r="Q277" s="83"/>
      <c r="R277" s="83"/>
      <c r="S277" s="82"/>
      <c r="T277" s="82"/>
      <c r="U277" s="83"/>
      <c r="V277" s="82"/>
      <c r="W277" s="82"/>
      <c r="X277" s="82"/>
      <c r="Y277" s="82"/>
      <c r="Z277" s="83"/>
      <c r="AA277" s="82"/>
      <c r="AB277" s="82"/>
      <c r="AC277" s="82"/>
      <c r="AD277" s="82">
        <f t="shared" si="1807"/>
        <v>18</v>
      </c>
      <c r="AE277" s="127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>
        <f t="shared" si="1813"/>
        <v>18</v>
      </c>
      <c r="AQ277" s="82">
        <f>AP277*E276</f>
        <v>291887.82</v>
      </c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>
        <f t="shared" si="1819"/>
        <v>18</v>
      </c>
      <c r="BD277" s="82">
        <f>BC277*E276</f>
        <v>291887.82</v>
      </c>
      <c r="BE277" s="82"/>
      <c r="BF277" s="82"/>
      <c r="BG277" s="82">
        <f t="shared" si="1823"/>
        <v>18</v>
      </c>
      <c r="BH277" s="82"/>
      <c r="BI277" s="82"/>
      <c r="BJ277" s="83"/>
      <c r="BK277" s="82"/>
      <c r="BL277" s="82"/>
      <c r="BM277" s="82"/>
      <c r="BN277" s="82"/>
      <c r="BO277" s="82"/>
      <c r="BP277" s="83"/>
      <c r="BQ277" s="82"/>
      <c r="BR277" s="82"/>
      <c r="BS277" s="83"/>
      <c r="BT277" s="82"/>
      <c r="BU277" s="82"/>
      <c r="BV277" s="82"/>
      <c r="BW277" s="82"/>
      <c r="BX277" s="82"/>
      <c r="BY277" s="82">
        <f t="shared" si="1829"/>
        <v>18</v>
      </c>
      <c r="BZ277" s="82">
        <f>BY277*E276</f>
        <v>291887.82</v>
      </c>
      <c r="CA277" s="82"/>
      <c r="CB277" s="82"/>
      <c r="CC277" s="82"/>
      <c r="CD277" s="82"/>
      <c r="CE277" s="82"/>
      <c r="CF277" s="82"/>
      <c r="CG277" s="82"/>
      <c r="CH277" s="82"/>
      <c r="CI277" s="82"/>
      <c r="CJ277" s="82"/>
      <c r="CK277" s="82">
        <f t="shared" si="1835"/>
        <v>18</v>
      </c>
      <c r="CL277" s="82">
        <f>CK277*E276</f>
        <v>291887.82</v>
      </c>
      <c r="CM277" s="83">
        <v>85.0</v>
      </c>
      <c r="CN277" s="82"/>
      <c r="CO277" s="82">
        <f t="shared" si="1837"/>
        <v>85</v>
      </c>
      <c r="CP277" s="82">
        <f t="shared" si="1838"/>
        <v>2170050</v>
      </c>
      <c r="CQ277" s="82"/>
      <c r="CR277" s="83">
        <v>2.0</v>
      </c>
      <c r="CS277" s="82"/>
      <c r="CT277" s="82"/>
      <c r="CU277" s="82"/>
      <c r="CV277" s="82"/>
      <c r="CW277" s="82">
        <f t="shared" si="1841"/>
        <v>103</v>
      </c>
      <c r="CX277" s="82">
        <f>(CO277*E277)+(CK277*E276)</f>
        <v>2461937.82</v>
      </c>
      <c r="CY277" s="82">
        <f t="shared" si="1843"/>
        <v>85</v>
      </c>
      <c r="CZ277" s="82">
        <f t="shared" si="1844"/>
        <v>0</v>
      </c>
      <c r="DA277" s="82">
        <f t="shared" si="1845"/>
        <v>103</v>
      </c>
      <c r="DB277" s="82">
        <f t="shared" si="1846"/>
        <v>2629590</v>
      </c>
      <c r="DC277" s="91"/>
      <c r="DD277" s="82"/>
      <c r="DE277" s="82"/>
      <c r="DF277" s="82"/>
      <c r="DG277" s="82"/>
      <c r="DH277" s="82"/>
      <c r="DI277" s="82"/>
      <c r="DJ277" s="82"/>
      <c r="DK277" s="82"/>
      <c r="DL277" s="82"/>
      <c r="DM277" s="82"/>
      <c r="DN277" s="82"/>
      <c r="DO277" s="82"/>
      <c r="DP277" s="82"/>
      <c r="DQ277" s="82"/>
      <c r="DR277" s="82"/>
      <c r="DS277" s="82"/>
      <c r="DT277" s="82"/>
      <c r="DU277" s="82"/>
      <c r="DV277" s="82"/>
      <c r="DW277" s="82"/>
      <c r="DX277" s="82"/>
      <c r="DY277" s="82"/>
      <c r="DZ277" s="82"/>
      <c r="EA277" s="82"/>
      <c r="EB277" s="82"/>
      <c r="EC277" s="82"/>
      <c r="ED277" s="82"/>
      <c r="EE277" s="82"/>
      <c r="EF277" s="82"/>
      <c r="EG277" s="82"/>
      <c r="EH277" s="82"/>
      <c r="EI277" s="82"/>
      <c r="EJ277" s="82"/>
      <c r="EK277" s="82"/>
      <c r="EL277" s="82"/>
      <c r="EM277" s="82"/>
      <c r="EN277" s="82"/>
      <c r="EO277" s="82"/>
      <c r="EP277" s="82"/>
      <c r="EQ277" s="82"/>
      <c r="ER277" s="82"/>
      <c r="ES277" s="82"/>
      <c r="ET277" s="82"/>
      <c r="EU277" s="82"/>
      <c r="EV277" s="82"/>
      <c r="EW277" s="82"/>
      <c r="EX277" s="82"/>
      <c r="EY277" s="82"/>
      <c r="EZ277" s="82"/>
      <c r="FA277" s="82"/>
      <c r="FB277" s="82"/>
      <c r="FC277" s="82"/>
      <c r="FD277" s="82"/>
      <c r="FE277" s="82"/>
      <c r="FF277" s="82"/>
      <c r="FG277" s="82"/>
      <c r="FH277" s="82"/>
      <c r="FI277" s="82"/>
      <c r="FJ277" s="82"/>
      <c r="FK277" s="82"/>
      <c r="FL277" s="82"/>
      <c r="FM277" s="82"/>
      <c r="FN277" s="82"/>
      <c r="FO277" s="82"/>
      <c r="FP277" s="82"/>
      <c r="FQ277" s="82"/>
      <c r="FR277" s="82"/>
      <c r="FS277" s="82"/>
      <c r="FT277" s="82"/>
      <c r="FU277" s="82"/>
      <c r="FV277" s="82"/>
      <c r="FW277" s="82"/>
      <c r="FX277" s="82"/>
      <c r="FY277" s="82"/>
      <c r="FZ277" s="82"/>
      <c r="GA277" s="82"/>
      <c r="GB277" s="82"/>
      <c r="GC277" s="82"/>
      <c r="GD277" s="82"/>
      <c r="GE277" s="82"/>
      <c r="GF277" s="85"/>
    </row>
    <row r="278" ht="30.0" customHeight="1">
      <c r="A278" s="76" t="s">
        <v>302</v>
      </c>
      <c r="B278" s="77"/>
      <c r="C278" s="77" t="s">
        <v>303</v>
      </c>
      <c r="D278" s="78" t="s">
        <v>91</v>
      </c>
      <c r="E278" s="79">
        <v>25000.0</v>
      </c>
      <c r="F278" s="80" t="s">
        <v>144</v>
      </c>
      <c r="G278" s="81">
        <v>27.0</v>
      </c>
      <c r="H278" s="82">
        <v>675000.0</v>
      </c>
      <c r="I278" s="82"/>
      <c r="J278" s="82"/>
      <c r="K278" s="82">
        <f t="shared" ref="K278:K280" si="2215">SUM(I278:J278)</f>
        <v>0</v>
      </c>
      <c r="L278" s="82">
        <f t="shared" ref="L278:L280" si="2216">K278*E278</f>
        <v>0</v>
      </c>
      <c r="M278" s="82"/>
      <c r="N278" s="83">
        <v>15.0</v>
      </c>
      <c r="O278" s="82"/>
      <c r="P278" s="82"/>
      <c r="Q278" s="83">
        <v>2.0</v>
      </c>
      <c r="R278" s="83">
        <v>5.0</v>
      </c>
      <c r="S278" s="82"/>
      <c r="T278" s="82"/>
      <c r="U278" s="83">
        <v>2.0</v>
      </c>
      <c r="V278" s="82"/>
      <c r="W278" s="82"/>
      <c r="X278" s="82"/>
      <c r="Y278" s="82"/>
      <c r="Z278" s="83">
        <v>3.0</v>
      </c>
      <c r="AA278" s="82"/>
      <c r="AB278" s="82">
        <f t="shared" ref="AB278:AB280" si="2217">SUM(M278:AA278)</f>
        <v>27</v>
      </c>
      <c r="AC278" s="82">
        <f t="shared" ref="AC278:AC280" si="2218">AB278*E278</f>
        <v>675000</v>
      </c>
      <c r="AD278" s="82">
        <f t="shared" si="1807"/>
        <v>0</v>
      </c>
      <c r="AE278" s="82">
        <f t="shared" ref="AE278:AE280" si="2219">AD278*E278</f>
        <v>0</v>
      </c>
      <c r="AF278" s="82"/>
      <c r="AG278" s="82"/>
      <c r="AH278" s="82">
        <f t="shared" ref="AH278:AH280" si="2220">SUM(AF278:AG278)</f>
        <v>0</v>
      </c>
      <c r="AI278" s="82">
        <f t="shared" ref="AI278:AI280" si="2221">AH278*E278</f>
        <v>0</v>
      </c>
      <c r="AJ278" s="82"/>
      <c r="AK278" s="82"/>
      <c r="AL278" s="82"/>
      <c r="AM278" s="82"/>
      <c r="AN278" s="82">
        <f t="shared" ref="AN278:AN280" si="2222">SUM(AJ278:AM278)</f>
        <v>0</v>
      </c>
      <c r="AO278" s="82">
        <f t="shared" ref="AO278:AO280" si="2223">AN278*E278</f>
        <v>0</v>
      </c>
      <c r="AP278" s="82">
        <f t="shared" si="1813"/>
        <v>0</v>
      </c>
      <c r="AQ278" s="82">
        <f t="shared" ref="AQ278:AQ280" si="2224">AP278*E278</f>
        <v>0</v>
      </c>
      <c r="AR278" s="82"/>
      <c r="AS278" s="82"/>
      <c r="AT278" s="82"/>
      <c r="AU278" s="82">
        <f t="shared" ref="AU278:AU280" si="2225">SUM(AS278:AT278)</f>
        <v>0</v>
      </c>
      <c r="AV278" s="82">
        <f t="shared" ref="AV278:AV280" si="2226">AU278*AB278</f>
        <v>0</v>
      </c>
      <c r="AW278" s="82"/>
      <c r="AX278" s="82"/>
      <c r="AY278" s="82"/>
      <c r="AZ278" s="82"/>
      <c r="BA278" s="82">
        <f t="shared" ref="BA278:BA280" si="2227">SUM(AW278:AZ278)</f>
        <v>0</v>
      </c>
      <c r="BB278" s="82">
        <f t="shared" ref="BB278:BB280" si="2228">BA278*AB278</f>
        <v>0</v>
      </c>
      <c r="BC278" s="82">
        <f t="shared" si="1819"/>
        <v>0</v>
      </c>
      <c r="BD278" s="82">
        <f t="shared" ref="BD278:BD280" si="2229">BC278*E278</f>
        <v>0</v>
      </c>
      <c r="BE278" s="82">
        <f t="shared" ref="BE278:BE280" si="2230">K278+AH278+AU278</f>
        <v>0</v>
      </c>
      <c r="BF278" s="82">
        <f t="shared" ref="BF278:BF280" si="2231">AB278+AN278+BA278</f>
        <v>27</v>
      </c>
      <c r="BG278" s="82">
        <f t="shared" si="1823"/>
        <v>0</v>
      </c>
      <c r="BH278" s="82">
        <f t="shared" ref="BH278:BH280" si="2232">BG278*E278</f>
        <v>0</v>
      </c>
      <c r="BI278" s="82"/>
      <c r="BJ278" s="83"/>
      <c r="BK278" s="82">
        <f t="shared" ref="BK278:BK280" si="2233">SUM(BI278:BJ278)</f>
        <v>0</v>
      </c>
      <c r="BL278" s="82">
        <f t="shared" ref="BL278:BL280" si="2234">BK278*E278</f>
        <v>0</v>
      </c>
      <c r="BM278" s="82"/>
      <c r="BN278" s="82"/>
      <c r="BO278" s="82"/>
      <c r="BP278" s="82"/>
      <c r="BQ278" s="82"/>
      <c r="BR278" s="82"/>
      <c r="BS278" s="82"/>
      <c r="BT278" s="82"/>
      <c r="BU278" s="82"/>
      <c r="BV278" s="82"/>
      <c r="BW278" s="82">
        <f t="shared" ref="BW278:BW280" si="2235">SUM(BM278:BV278)</f>
        <v>0</v>
      </c>
      <c r="BX278" s="82">
        <f t="shared" ref="BX278:BX280" si="2236">BW278*E278</f>
        <v>0</v>
      </c>
      <c r="BY278" s="82">
        <f t="shared" si="1829"/>
        <v>0</v>
      </c>
      <c r="BZ278" s="82">
        <f t="shared" ref="BZ278:BZ280" si="2237">BY278*E278</f>
        <v>0</v>
      </c>
      <c r="CA278" s="82"/>
      <c r="CB278" s="82"/>
      <c r="CC278" s="82">
        <f t="shared" ref="CC278:CC280" si="2238">sum(CA278:CB278)</f>
        <v>0</v>
      </c>
      <c r="CD278" s="82">
        <f t="shared" ref="CD278:CD280" si="2239">CC278*E278</f>
        <v>0</v>
      </c>
      <c r="CE278" s="82"/>
      <c r="CF278" s="82"/>
      <c r="CG278" s="82"/>
      <c r="CH278" s="82"/>
      <c r="CI278" s="82">
        <f t="shared" ref="CI278:CI280" si="2240">sum(CE278:CH278)</f>
        <v>0</v>
      </c>
      <c r="CJ278" s="82">
        <f t="shared" ref="CJ278:CJ280" si="2241">CI278*E278</f>
        <v>0</v>
      </c>
      <c r="CK278" s="82">
        <f t="shared" si="1835"/>
        <v>0</v>
      </c>
      <c r="CL278" s="82">
        <f t="shared" ref="CL278:CL280" si="2242">CK278*E278</f>
        <v>0</v>
      </c>
      <c r="CM278" s="82"/>
      <c r="CN278" s="82"/>
      <c r="CO278" s="82">
        <f t="shared" si="1837"/>
        <v>0</v>
      </c>
      <c r="CP278" s="82">
        <f t="shared" si="1838"/>
        <v>0</v>
      </c>
      <c r="CQ278" s="82"/>
      <c r="CR278" s="82"/>
      <c r="CS278" s="82"/>
      <c r="CT278" s="82"/>
      <c r="CU278" s="82">
        <f t="shared" ref="CU278:CU280" si="2243">sum(CQ278:CT278)</f>
        <v>0</v>
      </c>
      <c r="CV278" s="82">
        <f t="shared" ref="CV278:CV280" si="2244">CU278*E278</f>
        <v>0</v>
      </c>
      <c r="CW278" s="82">
        <f t="shared" si="1841"/>
        <v>0</v>
      </c>
      <c r="CX278" s="82">
        <f t="shared" ref="CX278:CX280" si="2245">CW278*E278</f>
        <v>0</v>
      </c>
      <c r="CY278" s="82">
        <f t="shared" si="1843"/>
        <v>0</v>
      </c>
      <c r="CZ278" s="82">
        <f t="shared" si="1844"/>
        <v>0</v>
      </c>
      <c r="DA278" s="82">
        <f t="shared" si="1845"/>
        <v>0</v>
      </c>
      <c r="DB278" s="82">
        <f t="shared" si="1846"/>
        <v>0</v>
      </c>
      <c r="DC278" s="91"/>
      <c r="DD278" s="82"/>
      <c r="DE278" s="82"/>
      <c r="DF278" s="82">
        <f t="shared" ref="DF278:DF280" si="2246">sum(DD278:DE278)</f>
        <v>0</v>
      </c>
      <c r="DG278" s="82">
        <f t="shared" ref="DG278:DG280" si="2247">DF278*E278</f>
        <v>0</v>
      </c>
      <c r="DH278" s="82"/>
      <c r="DI278" s="82"/>
      <c r="DJ278" s="82"/>
      <c r="DK278" s="82"/>
      <c r="DL278" s="82">
        <f t="shared" ref="DL278:DL280" si="2248">sum(DH278:DK278)</f>
        <v>0</v>
      </c>
      <c r="DM278" s="82">
        <f t="shared" ref="DM278:DM280" si="2249">DL278*E278</f>
        <v>0</v>
      </c>
      <c r="DN278" s="82">
        <f t="shared" ref="DN278:DN280" si="2250">DA278+DF278-DL278</f>
        <v>0</v>
      </c>
      <c r="DO278" s="82">
        <f t="shared" ref="DO278:DO280" si="2251">DN278*E278</f>
        <v>0</v>
      </c>
      <c r="DP278" s="82"/>
      <c r="DQ278" s="82"/>
      <c r="DR278" s="82">
        <f t="shared" ref="DR278:DR280" si="2252">sum(DP278:DQ278)</f>
        <v>0</v>
      </c>
      <c r="DS278" s="82">
        <f t="shared" ref="DS278:DS280" si="2253">DR278*AB278</f>
        <v>0</v>
      </c>
      <c r="DT278" s="82"/>
      <c r="DU278" s="82"/>
      <c r="DV278" s="82"/>
      <c r="DW278" s="82"/>
      <c r="DX278" s="82">
        <f t="shared" ref="DX278:DX280" si="2254">sum(DT278:DW278)</f>
        <v>0</v>
      </c>
      <c r="DY278" s="82">
        <f t="shared" ref="DY278:DY280" si="2255">DX278*AB278</f>
        <v>0</v>
      </c>
      <c r="DZ278" s="82">
        <f t="shared" ref="DZ278:DZ280" si="2256">DN278+DR278-DX278</f>
        <v>0</v>
      </c>
      <c r="EA278" s="82">
        <f t="shared" ref="EA278:EA280" si="2257">DZ278*E278</f>
        <v>0</v>
      </c>
      <c r="EB278" s="82"/>
      <c r="EC278" s="82"/>
      <c r="ED278" s="82">
        <f t="shared" ref="ED278:ED280" si="2258">sum(EB278:EC278)</f>
        <v>0</v>
      </c>
      <c r="EE278" s="82">
        <f t="shared" ref="EE278:EE280" si="2259">ED278*AN278</f>
        <v>0</v>
      </c>
      <c r="EF278" s="82"/>
      <c r="EG278" s="82"/>
      <c r="EH278" s="82"/>
      <c r="EI278" s="82"/>
      <c r="EJ278" s="82">
        <f t="shared" ref="EJ278:EJ280" si="2260">sum(EF278:EI278)</f>
        <v>0</v>
      </c>
      <c r="EK278" s="82">
        <f t="shared" ref="EK278:EK280" si="2261">EJ278*AN278</f>
        <v>0</v>
      </c>
      <c r="EL278" s="82">
        <f t="shared" ref="EL278:EL280" si="2262">DZ278+ED278-EJ278</f>
        <v>0</v>
      </c>
      <c r="EM278" s="82">
        <f t="shared" ref="EM278:EM280" si="2263">EL278*E278</f>
        <v>0</v>
      </c>
      <c r="EN278" s="82">
        <f t="shared" ref="EN278:EN280" si="2264">DF278+DR278+ED278</f>
        <v>0</v>
      </c>
      <c r="EO278" s="82">
        <f t="shared" ref="EO278:EO280" si="2265">DL278+DX278+EJ278</f>
        <v>0</v>
      </c>
      <c r="EP278" s="82">
        <f t="shared" ref="EP278:EP280" si="2266">DA278+EN278-EO278</f>
        <v>0</v>
      </c>
      <c r="EQ278" s="82">
        <f t="shared" ref="EQ278:EQ280" si="2267">EP278*E278</f>
        <v>0</v>
      </c>
      <c r="ER278" s="82"/>
      <c r="ES278" s="82"/>
      <c r="ET278" s="82">
        <f t="shared" ref="ET278:ET280" si="2268">sum(ER278:ES278)</f>
        <v>0</v>
      </c>
      <c r="EU278" s="82">
        <f t="shared" ref="EU278:EU280" si="2269">ET278*BE278</f>
        <v>0</v>
      </c>
      <c r="EV278" s="82"/>
      <c r="EW278" s="82"/>
      <c r="EX278" s="82"/>
      <c r="EY278" s="82"/>
      <c r="EZ278" s="82">
        <f t="shared" ref="EZ278:EZ280" si="2270">sum(EV278:EY278)</f>
        <v>0</v>
      </c>
      <c r="FA278" s="82">
        <f t="shared" ref="FA278:FA280" si="2271">EZ278*BE278</f>
        <v>0</v>
      </c>
      <c r="FB278" s="82">
        <f t="shared" ref="FB278:FB280" si="2272">EP278+ET278-EZ278</f>
        <v>0</v>
      </c>
      <c r="FC278" s="82">
        <f t="shared" ref="FC278:FC280" si="2273">FB278*E278</f>
        <v>0</v>
      </c>
      <c r="FD278" s="82"/>
      <c r="FE278" s="82"/>
      <c r="FF278" s="82">
        <f t="shared" ref="FF278:FF280" si="2274">sum(FD278:FE278)</f>
        <v>0</v>
      </c>
      <c r="FG278" s="82">
        <f t="shared" ref="FG278:FG280" si="2275">FF278*BW278</f>
        <v>0</v>
      </c>
      <c r="FH278" s="82"/>
      <c r="FI278" s="82"/>
      <c r="FJ278" s="82"/>
      <c r="FK278" s="82"/>
      <c r="FL278" s="82">
        <f t="shared" ref="FL278:FL280" si="2276">sum(FH278:FK278)</f>
        <v>0</v>
      </c>
      <c r="FM278" s="82">
        <f t="shared" ref="FM278:FM280" si="2277">FL278*BW278</f>
        <v>0</v>
      </c>
      <c r="FN278" s="82">
        <f t="shared" ref="FN278:FN280" si="2278">FB278+FF278-FL278</f>
        <v>0</v>
      </c>
      <c r="FO278" s="82">
        <f t="shared" ref="FO278:FO280" si="2279">FN278*E278</f>
        <v>0</v>
      </c>
      <c r="FP278" s="82"/>
      <c r="FQ278" s="82"/>
      <c r="FR278" s="82">
        <f t="shared" ref="FR278:FR280" si="2280">sum(FP278:FQ278)</f>
        <v>0</v>
      </c>
      <c r="FS278" s="82">
        <f t="shared" ref="FS278:FS280" si="2281">FR278*CI278</f>
        <v>0</v>
      </c>
      <c r="FT278" s="82"/>
      <c r="FU278" s="82"/>
      <c r="FV278" s="82"/>
      <c r="FW278" s="82"/>
      <c r="FX278" s="82">
        <f t="shared" ref="FX278:FX280" si="2282">sum(FT278:FW278)</f>
        <v>0</v>
      </c>
      <c r="FY278" s="82">
        <f t="shared" ref="FY278:FY280" si="2283">FX278*CI278</f>
        <v>0</v>
      </c>
      <c r="FZ278" s="82">
        <f t="shared" ref="FZ278:FZ280" si="2284">FN278+FR278-FX278</f>
        <v>0</v>
      </c>
      <c r="GA278" s="82">
        <f t="shared" ref="GA278:GA280" si="2285">FZ278*E278</f>
        <v>0</v>
      </c>
      <c r="GB278" s="82">
        <f t="shared" ref="GB278:GB280" si="2286">ET278+FF278+FR278</f>
        <v>0</v>
      </c>
      <c r="GC278" s="82">
        <f t="shared" ref="GC278:GC280" si="2287">EZ278+FL278+FX278</f>
        <v>0</v>
      </c>
      <c r="GD278" s="82">
        <f t="shared" ref="GD278:GD280" si="2288">EP278+GB278-GC278</f>
        <v>0</v>
      </c>
      <c r="GE278" s="82">
        <f t="shared" ref="GE278:GE280" si="2289">GD278*E278</f>
        <v>0</v>
      </c>
      <c r="GF278" s="85"/>
    </row>
    <row r="279" ht="30.0" customHeight="1">
      <c r="A279" s="16"/>
      <c r="B279" s="16"/>
      <c r="C279" s="16"/>
      <c r="D279" s="78" t="s">
        <v>91</v>
      </c>
      <c r="E279" s="86">
        <v>24324.0</v>
      </c>
      <c r="F279" s="80" t="s">
        <v>284</v>
      </c>
      <c r="G279" s="81">
        <v>50.0</v>
      </c>
      <c r="H279" s="82">
        <v>1216200.0</v>
      </c>
      <c r="I279" s="82"/>
      <c r="J279" s="82"/>
      <c r="K279" s="82">
        <f t="shared" si="2215"/>
        <v>0</v>
      </c>
      <c r="L279" s="82">
        <f t="shared" si="2216"/>
        <v>0</v>
      </c>
      <c r="M279" s="82"/>
      <c r="N279" s="82"/>
      <c r="O279" s="82"/>
      <c r="P279" s="82"/>
      <c r="Q279" s="82"/>
      <c r="R279" s="82"/>
      <c r="S279" s="82"/>
      <c r="T279" s="82"/>
      <c r="U279" s="83">
        <v>4.0</v>
      </c>
      <c r="V279" s="83">
        <v>5.0</v>
      </c>
      <c r="W279" s="82"/>
      <c r="X279" s="82"/>
      <c r="Y279" s="82"/>
      <c r="Z279" s="82"/>
      <c r="AA279" s="82"/>
      <c r="AB279" s="82">
        <f t="shared" si="2217"/>
        <v>9</v>
      </c>
      <c r="AC279" s="82">
        <f t="shared" si="2218"/>
        <v>218916</v>
      </c>
      <c r="AD279" s="82">
        <f t="shared" si="1807"/>
        <v>41</v>
      </c>
      <c r="AE279" s="82">
        <f t="shared" si="2219"/>
        <v>997284</v>
      </c>
      <c r="AF279" s="82"/>
      <c r="AG279" s="82"/>
      <c r="AH279" s="82">
        <f t="shared" si="2220"/>
        <v>0</v>
      </c>
      <c r="AI279" s="82">
        <f t="shared" si="2221"/>
        <v>0</v>
      </c>
      <c r="AJ279" s="82"/>
      <c r="AK279" s="82"/>
      <c r="AL279" s="82"/>
      <c r="AM279" s="82"/>
      <c r="AN279" s="82">
        <f t="shared" si="2222"/>
        <v>0</v>
      </c>
      <c r="AO279" s="82">
        <f t="shared" si="2223"/>
        <v>0</v>
      </c>
      <c r="AP279" s="82">
        <f t="shared" si="1813"/>
        <v>41</v>
      </c>
      <c r="AQ279" s="82">
        <f t="shared" si="2224"/>
        <v>997284</v>
      </c>
      <c r="AR279" s="82"/>
      <c r="AS279" s="82"/>
      <c r="AT279" s="82"/>
      <c r="AU279" s="82">
        <f t="shared" si="2225"/>
        <v>0</v>
      </c>
      <c r="AV279" s="82">
        <f t="shared" si="2226"/>
        <v>0</v>
      </c>
      <c r="AW279" s="82"/>
      <c r="AX279" s="82"/>
      <c r="AY279" s="82"/>
      <c r="AZ279" s="82"/>
      <c r="BA279" s="82">
        <f t="shared" si="2227"/>
        <v>0</v>
      </c>
      <c r="BB279" s="82">
        <f t="shared" si="2228"/>
        <v>0</v>
      </c>
      <c r="BC279" s="82">
        <f t="shared" si="1819"/>
        <v>41</v>
      </c>
      <c r="BD279" s="82">
        <f t="shared" si="2229"/>
        <v>997284</v>
      </c>
      <c r="BE279" s="82">
        <f t="shared" si="2230"/>
        <v>0</v>
      </c>
      <c r="BF279" s="82">
        <f t="shared" si="2231"/>
        <v>9</v>
      </c>
      <c r="BG279" s="82">
        <f t="shared" si="1823"/>
        <v>41</v>
      </c>
      <c r="BH279" s="82">
        <f t="shared" si="2232"/>
        <v>997284</v>
      </c>
      <c r="BI279" s="82"/>
      <c r="BJ279" s="83"/>
      <c r="BK279" s="82">
        <f t="shared" si="2233"/>
        <v>0</v>
      </c>
      <c r="BL279" s="82">
        <f t="shared" si="2234"/>
        <v>0</v>
      </c>
      <c r="BM279" s="82"/>
      <c r="BN279" s="83">
        <v>5.0</v>
      </c>
      <c r="BO279" s="82"/>
      <c r="BP279" s="82"/>
      <c r="BQ279" s="83">
        <v>4.0</v>
      </c>
      <c r="BR279" s="83">
        <v>3.0</v>
      </c>
      <c r="BS279" s="83">
        <v>10.0</v>
      </c>
      <c r="BT279" s="83">
        <v>16.0</v>
      </c>
      <c r="BU279" s="83"/>
      <c r="BV279" s="83">
        <v>3.0</v>
      </c>
      <c r="BW279" s="82">
        <f t="shared" si="2235"/>
        <v>41</v>
      </c>
      <c r="BX279" s="82">
        <f t="shared" si="2236"/>
        <v>997284</v>
      </c>
      <c r="BY279" s="82">
        <f t="shared" si="1829"/>
        <v>0</v>
      </c>
      <c r="BZ279" s="82">
        <f t="shared" si="2237"/>
        <v>0</v>
      </c>
      <c r="CA279" s="82"/>
      <c r="CB279" s="82"/>
      <c r="CC279" s="82">
        <f t="shared" si="2238"/>
        <v>0</v>
      </c>
      <c r="CD279" s="82">
        <f t="shared" si="2239"/>
        <v>0</v>
      </c>
      <c r="CE279" s="82"/>
      <c r="CF279" s="82"/>
      <c r="CG279" s="82"/>
      <c r="CH279" s="82"/>
      <c r="CI279" s="82">
        <f t="shared" si="2240"/>
        <v>0</v>
      </c>
      <c r="CJ279" s="82">
        <f t="shared" si="2241"/>
        <v>0</v>
      </c>
      <c r="CK279" s="82">
        <f t="shared" si="1835"/>
        <v>0</v>
      </c>
      <c r="CL279" s="82">
        <f t="shared" si="2242"/>
        <v>0</v>
      </c>
      <c r="CM279" s="82"/>
      <c r="CN279" s="82"/>
      <c r="CO279" s="82">
        <f t="shared" si="1837"/>
        <v>0</v>
      </c>
      <c r="CP279" s="82">
        <f t="shared" si="1838"/>
        <v>0</v>
      </c>
      <c r="CQ279" s="82"/>
      <c r="CR279" s="82"/>
      <c r="CS279" s="82"/>
      <c r="CT279" s="82"/>
      <c r="CU279" s="82">
        <f t="shared" si="2243"/>
        <v>0</v>
      </c>
      <c r="CV279" s="82">
        <f t="shared" si="2244"/>
        <v>0</v>
      </c>
      <c r="CW279" s="82">
        <f t="shared" si="1841"/>
        <v>0</v>
      </c>
      <c r="CX279" s="82">
        <f t="shared" si="2245"/>
        <v>0</v>
      </c>
      <c r="CY279" s="82">
        <f t="shared" si="1843"/>
        <v>0</v>
      </c>
      <c r="CZ279" s="82">
        <f t="shared" si="1844"/>
        <v>41</v>
      </c>
      <c r="DA279" s="82">
        <f t="shared" si="1845"/>
        <v>0</v>
      </c>
      <c r="DB279" s="82">
        <f t="shared" si="1846"/>
        <v>0</v>
      </c>
      <c r="DC279" s="91"/>
      <c r="DD279" s="82"/>
      <c r="DE279" s="82"/>
      <c r="DF279" s="82">
        <f t="shared" si="2246"/>
        <v>0</v>
      </c>
      <c r="DG279" s="82">
        <f t="shared" si="2247"/>
        <v>0</v>
      </c>
      <c r="DH279" s="82"/>
      <c r="DI279" s="82"/>
      <c r="DJ279" s="82"/>
      <c r="DK279" s="82"/>
      <c r="DL279" s="82">
        <f t="shared" si="2248"/>
        <v>0</v>
      </c>
      <c r="DM279" s="82">
        <f t="shared" si="2249"/>
        <v>0</v>
      </c>
      <c r="DN279" s="82">
        <f t="shared" si="2250"/>
        <v>0</v>
      </c>
      <c r="DO279" s="82">
        <f t="shared" si="2251"/>
        <v>0</v>
      </c>
      <c r="DP279" s="82"/>
      <c r="DQ279" s="82"/>
      <c r="DR279" s="82">
        <f t="shared" si="2252"/>
        <v>0</v>
      </c>
      <c r="DS279" s="82">
        <f t="shared" si="2253"/>
        <v>0</v>
      </c>
      <c r="DT279" s="82"/>
      <c r="DU279" s="82"/>
      <c r="DV279" s="82"/>
      <c r="DW279" s="82"/>
      <c r="DX279" s="82">
        <f t="shared" si="2254"/>
        <v>0</v>
      </c>
      <c r="DY279" s="82">
        <f t="shared" si="2255"/>
        <v>0</v>
      </c>
      <c r="DZ279" s="82">
        <f t="shared" si="2256"/>
        <v>0</v>
      </c>
      <c r="EA279" s="82">
        <f t="shared" si="2257"/>
        <v>0</v>
      </c>
      <c r="EB279" s="82"/>
      <c r="EC279" s="82"/>
      <c r="ED279" s="82">
        <f t="shared" si="2258"/>
        <v>0</v>
      </c>
      <c r="EE279" s="82">
        <f t="shared" si="2259"/>
        <v>0</v>
      </c>
      <c r="EF279" s="82"/>
      <c r="EG279" s="82"/>
      <c r="EH279" s="82"/>
      <c r="EI279" s="82"/>
      <c r="EJ279" s="82">
        <f t="shared" si="2260"/>
        <v>0</v>
      </c>
      <c r="EK279" s="82">
        <f t="shared" si="2261"/>
        <v>0</v>
      </c>
      <c r="EL279" s="82">
        <f t="shared" si="2262"/>
        <v>0</v>
      </c>
      <c r="EM279" s="82">
        <f t="shared" si="2263"/>
        <v>0</v>
      </c>
      <c r="EN279" s="82">
        <f t="shared" si="2264"/>
        <v>0</v>
      </c>
      <c r="EO279" s="82">
        <f t="shared" si="2265"/>
        <v>0</v>
      </c>
      <c r="EP279" s="82">
        <f t="shared" si="2266"/>
        <v>0</v>
      </c>
      <c r="EQ279" s="82">
        <f t="shared" si="2267"/>
        <v>0</v>
      </c>
      <c r="ER279" s="82"/>
      <c r="ES279" s="82"/>
      <c r="ET279" s="82">
        <f t="shared" si="2268"/>
        <v>0</v>
      </c>
      <c r="EU279" s="82">
        <f t="shared" si="2269"/>
        <v>0</v>
      </c>
      <c r="EV279" s="82"/>
      <c r="EW279" s="82"/>
      <c r="EX279" s="82"/>
      <c r="EY279" s="82"/>
      <c r="EZ279" s="82">
        <f t="shared" si="2270"/>
        <v>0</v>
      </c>
      <c r="FA279" s="82">
        <f t="shared" si="2271"/>
        <v>0</v>
      </c>
      <c r="FB279" s="82">
        <f t="shared" si="2272"/>
        <v>0</v>
      </c>
      <c r="FC279" s="82">
        <f t="shared" si="2273"/>
        <v>0</v>
      </c>
      <c r="FD279" s="82"/>
      <c r="FE279" s="82"/>
      <c r="FF279" s="82">
        <f t="shared" si="2274"/>
        <v>0</v>
      </c>
      <c r="FG279" s="82">
        <f t="shared" si="2275"/>
        <v>0</v>
      </c>
      <c r="FH279" s="82"/>
      <c r="FI279" s="82"/>
      <c r="FJ279" s="82"/>
      <c r="FK279" s="82"/>
      <c r="FL279" s="82">
        <f t="shared" si="2276"/>
        <v>0</v>
      </c>
      <c r="FM279" s="82">
        <f t="shared" si="2277"/>
        <v>0</v>
      </c>
      <c r="FN279" s="82">
        <f t="shared" si="2278"/>
        <v>0</v>
      </c>
      <c r="FO279" s="82">
        <f t="shared" si="2279"/>
        <v>0</v>
      </c>
      <c r="FP279" s="82"/>
      <c r="FQ279" s="82"/>
      <c r="FR279" s="82">
        <f t="shared" si="2280"/>
        <v>0</v>
      </c>
      <c r="FS279" s="82">
        <f t="shared" si="2281"/>
        <v>0</v>
      </c>
      <c r="FT279" s="82"/>
      <c r="FU279" s="82"/>
      <c r="FV279" s="82"/>
      <c r="FW279" s="82"/>
      <c r="FX279" s="82">
        <f t="shared" si="2282"/>
        <v>0</v>
      </c>
      <c r="FY279" s="82">
        <f t="shared" si="2283"/>
        <v>0</v>
      </c>
      <c r="FZ279" s="82">
        <f t="shared" si="2284"/>
        <v>0</v>
      </c>
      <c r="GA279" s="82">
        <f t="shared" si="2285"/>
        <v>0</v>
      </c>
      <c r="GB279" s="82">
        <f t="shared" si="2286"/>
        <v>0</v>
      </c>
      <c r="GC279" s="82">
        <f t="shared" si="2287"/>
        <v>0</v>
      </c>
      <c r="GD279" s="82">
        <f t="shared" si="2288"/>
        <v>0</v>
      </c>
      <c r="GE279" s="82">
        <f t="shared" si="2289"/>
        <v>0</v>
      </c>
      <c r="GF279" s="85"/>
    </row>
    <row r="280" ht="30.0" customHeight="1">
      <c r="A280" s="50"/>
      <c r="B280" s="50"/>
      <c r="C280" s="50"/>
      <c r="D280" s="128" t="s">
        <v>91</v>
      </c>
      <c r="E280" s="124">
        <v>24324.54</v>
      </c>
      <c r="F280" s="125" t="s">
        <v>280</v>
      </c>
      <c r="G280" s="129">
        <v>85.0</v>
      </c>
      <c r="H280" s="82">
        <v>2067585.9000000001</v>
      </c>
      <c r="I280" s="82"/>
      <c r="J280" s="82"/>
      <c r="K280" s="82">
        <f t="shared" si="2215"/>
        <v>0</v>
      </c>
      <c r="L280" s="82">
        <f t="shared" si="2216"/>
        <v>0</v>
      </c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>
        <f t="shared" si="2217"/>
        <v>0</v>
      </c>
      <c r="AC280" s="82">
        <f t="shared" si="2218"/>
        <v>0</v>
      </c>
      <c r="AD280" s="82">
        <f t="shared" si="1807"/>
        <v>85</v>
      </c>
      <c r="AE280" s="82">
        <f t="shared" si="2219"/>
        <v>2067585.9</v>
      </c>
      <c r="AF280" s="82"/>
      <c r="AG280" s="82"/>
      <c r="AH280" s="82">
        <f t="shared" si="2220"/>
        <v>0</v>
      </c>
      <c r="AI280" s="82">
        <f t="shared" si="2221"/>
        <v>0</v>
      </c>
      <c r="AJ280" s="82"/>
      <c r="AK280" s="82"/>
      <c r="AL280" s="82"/>
      <c r="AM280" s="82"/>
      <c r="AN280" s="82">
        <f t="shared" si="2222"/>
        <v>0</v>
      </c>
      <c r="AO280" s="82">
        <f t="shared" si="2223"/>
        <v>0</v>
      </c>
      <c r="AP280" s="82">
        <f t="shared" si="1813"/>
        <v>85</v>
      </c>
      <c r="AQ280" s="82">
        <f t="shared" si="2224"/>
        <v>2067585.9</v>
      </c>
      <c r="AR280" s="82"/>
      <c r="AS280" s="82"/>
      <c r="AT280" s="82"/>
      <c r="AU280" s="82">
        <f t="shared" si="2225"/>
        <v>0</v>
      </c>
      <c r="AV280" s="82">
        <f t="shared" si="2226"/>
        <v>0</v>
      </c>
      <c r="AW280" s="82"/>
      <c r="AX280" s="82"/>
      <c r="AY280" s="82"/>
      <c r="AZ280" s="82"/>
      <c r="BA280" s="82">
        <f t="shared" si="2227"/>
        <v>0</v>
      </c>
      <c r="BB280" s="82">
        <f t="shared" si="2228"/>
        <v>0</v>
      </c>
      <c r="BC280" s="82">
        <f t="shared" si="1819"/>
        <v>85</v>
      </c>
      <c r="BD280" s="82">
        <f t="shared" si="2229"/>
        <v>2067585.9</v>
      </c>
      <c r="BE280" s="82">
        <f t="shared" si="2230"/>
        <v>0</v>
      </c>
      <c r="BF280" s="82">
        <f t="shared" si="2231"/>
        <v>0</v>
      </c>
      <c r="BG280" s="82">
        <f t="shared" si="1823"/>
        <v>85</v>
      </c>
      <c r="BH280" s="82">
        <f t="shared" si="2232"/>
        <v>2067585.9</v>
      </c>
      <c r="BI280" s="82"/>
      <c r="BJ280" s="83"/>
      <c r="BK280" s="82">
        <f t="shared" si="2233"/>
        <v>0</v>
      </c>
      <c r="BL280" s="82">
        <f t="shared" si="2234"/>
        <v>0</v>
      </c>
      <c r="BM280" s="82"/>
      <c r="BN280" s="82"/>
      <c r="BO280" s="82"/>
      <c r="BP280" s="82"/>
      <c r="BQ280" s="82"/>
      <c r="BR280" s="82"/>
      <c r="BS280" s="82"/>
      <c r="BT280" s="82"/>
      <c r="BU280" s="82"/>
      <c r="BV280" s="82"/>
      <c r="BW280" s="82">
        <f t="shared" si="2235"/>
        <v>0</v>
      </c>
      <c r="BX280" s="82">
        <f t="shared" si="2236"/>
        <v>0</v>
      </c>
      <c r="BY280" s="82">
        <f t="shared" si="1829"/>
        <v>85</v>
      </c>
      <c r="BZ280" s="82">
        <f t="shared" si="2237"/>
        <v>2067585.9</v>
      </c>
      <c r="CA280" s="82"/>
      <c r="CB280" s="82"/>
      <c r="CC280" s="82">
        <f t="shared" si="2238"/>
        <v>0</v>
      </c>
      <c r="CD280" s="82">
        <f t="shared" si="2239"/>
        <v>0</v>
      </c>
      <c r="CE280" s="83">
        <v>3.0</v>
      </c>
      <c r="CF280" s="82"/>
      <c r="CG280" s="82"/>
      <c r="CH280" s="82"/>
      <c r="CI280" s="82">
        <f t="shared" si="2240"/>
        <v>3</v>
      </c>
      <c r="CJ280" s="82">
        <f t="shared" si="2241"/>
        <v>72973.62</v>
      </c>
      <c r="CK280" s="82">
        <f t="shared" si="1835"/>
        <v>82</v>
      </c>
      <c r="CL280" s="82">
        <f t="shared" si="2242"/>
        <v>1994612.28</v>
      </c>
      <c r="CM280" s="82"/>
      <c r="CN280" s="82"/>
      <c r="CO280" s="82">
        <f t="shared" si="1837"/>
        <v>0</v>
      </c>
      <c r="CP280" s="82">
        <f t="shared" si="1838"/>
        <v>0</v>
      </c>
      <c r="CQ280" s="82"/>
      <c r="CR280" s="83">
        <v>20.0</v>
      </c>
      <c r="CS280" s="82"/>
      <c r="CT280" s="82"/>
      <c r="CU280" s="82">
        <f t="shared" si="2243"/>
        <v>20</v>
      </c>
      <c r="CV280" s="82">
        <f t="shared" si="2244"/>
        <v>486490.8</v>
      </c>
      <c r="CW280" s="82">
        <f t="shared" si="1841"/>
        <v>62</v>
      </c>
      <c r="CX280" s="82">
        <f t="shared" si="2245"/>
        <v>1508121.48</v>
      </c>
      <c r="CY280" s="82">
        <f t="shared" si="1843"/>
        <v>0</v>
      </c>
      <c r="CZ280" s="82">
        <f t="shared" si="1844"/>
        <v>23</v>
      </c>
      <c r="DA280" s="82">
        <f t="shared" si="1845"/>
        <v>62</v>
      </c>
      <c r="DB280" s="82">
        <f t="shared" si="1846"/>
        <v>1508121.48</v>
      </c>
      <c r="DC280" s="91"/>
      <c r="DD280" s="82"/>
      <c r="DE280" s="82"/>
      <c r="DF280" s="82">
        <f t="shared" si="2246"/>
        <v>0</v>
      </c>
      <c r="DG280" s="82">
        <f t="shared" si="2247"/>
        <v>0</v>
      </c>
      <c r="DH280" s="82"/>
      <c r="DI280" s="82"/>
      <c r="DJ280" s="82"/>
      <c r="DK280" s="82"/>
      <c r="DL280" s="82">
        <f t="shared" si="2248"/>
        <v>0</v>
      </c>
      <c r="DM280" s="82">
        <f t="shared" si="2249"/>
        <v>0</v>
      </c>
      <c r="DN280" s="82">
        <f t="shared" si="2250"/>
        <v>62</v>
      </c>
      <c r="DO280" s="82">
        <f t="shared" si="2251"/>
        <v>1508121.48</v>
      </c>
      <c r="DP280" s="82"/>
      <c r="DQ280" s="82"/>
      <c r="DR280" s="82">
        <f t="shared" si="2252"/>
        <v>0</v>
      </c>
      <c r="DS280" s="82">
        <f t="shared" si="2253"/>
        <v>0</v>
      </c>
      <c r="DT280" s="82"/>
      <c r="DU280" s="82"/>
      <c r="DV280" s="82"/>
      <c r="DW280" s="82"/>
      <c r="DX280" s="82">
        <f t="shared" si="2254"/>
        <v>0</v>
      </c>
      <c r="DY280" s="82">
        <f t="shared" si="2255"/>
        <v>0</v>
      </c>
      <c r="DZ280" s="82">
        <f t="shared" si="2256"/>
        <v>62</v>
      </c>
      <c r="EA280" s="82">
        <f t="shared" si="2257"/>
        <v>1508121.48</v>
      </c>
      <c r="EB280" s="82"/>
      <c r="EC280" s="82"/>
      <c r="ED280" s="82">
        <f t="shared" si="2258"/>
        <v>0</v>
      </c>
      <c r="EE280" s="82">
        <f t="shared" si="2259"/>
        <v>0</v>
      </c>
      <c r="EF280" s="82"/>
      <c r="EG280" s="82"/>
      <c r="EH280" s="82"/>
      <c r="EI280" s="82"/>
      <c r="EJ280" s="82">
        <f t="shared" si="2260"/>
        <v>0</v>
      </c>
      <c r="EK280" s="82">
        <f t="shared" si="2261"/>
        <v>0</v>
      </c>
      <c r="EL280" s="82">
        <f t="shared" si="2262"/>
        <v>62</v>
      </c>
      <c r="EM280" s="82">
        <f t="shared" si="2263"/>
        <v>1508121.48</v>
      </c>
      <c r="EN280" s="82">
        <f t="shared" si="2264"/>
        <v>0</v>
      </c>
      <c r="EO280" s="82">
        <f t="shared" si="2265"/>
        <v>0</v>
      </c>
      <c r="EP280" s="82">
        <f t="shared" si="2266"/>
        <v>62</v>
      </c>
      <c r="EQ280" s="82">
        <f t="shared" si="2267"/>
        <v>1508121.48</v>
      </c>
      <c r="ER280" s="82"/>
      <c r="ES280" s="82"/>
      <c r="ET280" s="82">
        <f t="shared" si="2268"/>
        <v>0</v>
      </c>
      <c r="EU280" s="82">
        <f t="shared" si="2269"/>
        <v>0</v>
      </c>
      <c r="EV280" s="82"/>
      <c r="EW280" s="82"/>
      <c r="EX280" s="82"/>
      <c r="EY280" s="82"/>
      <c r="EZ280" s="82">
        <f t="shared" si="2270"/>
        <v>0</v>
      </c>
      <c r="FA280" s="82">
        <f t="shared" si="2271"/>
        <v>0</v>
      </c>
      <c r="FB280" s="82">
        <f t="shared" si="2272"/>
        <v>62</v>
      </c>
      <c r="FC280" s="82">
        <f t="shared" si="2273"/>
        <v>1508121.48</v>
      </c>
      <c r="FD280" s="82"/>
      <c r="FE280" s="82"/>
      <c r="FF280" s="82">
        <f t="shared" si="2274"/>
        <v>0</v>
      </c>
      <c r="FG280" s="82">
        <f t="shared" si="2275"/>
        <v>0</v>
      </c>
      <c r="FH280" s="82"/>
      <c r="FI280" s="82"/>
      <c r="FJ280" s="82"/>
      <c r="FK280" s="82"/>
      <c r="FL280" s="82">
        <f t="shared" si="2276"/>
        <v>0</v>
      </c>
      <c r="FM280" s="82">
        <f t="shared" si="2277"/>
        <v>0</v>
      </c>
      <c r="FN280" s="82">
        <f t="shared" si="2278"/>
        <v>62</v>
      </c>
      <c r="FO280" s="82">
        <f t="shared" si="2279"/>
        <v>1508121.48</v>
      </c>
      <c r="FP280" s="82"/>
      <c r="FQ280" s="82"/>
      <c r="FR280" s="82">
        <f t="shared" si="2280"/>
        <v>0</v>
      </c>
      <c r="FS280" s="82">
        <f t="shared" si="2281"/>
        <v>0</v>
      </c>
      <c r="FT280" s="82"/>
      <c r="FU280" s="82"/>
      <c r="FV280" s="82"/>
      <c r="FW280" s="82"/>
      <c r="FX280" s="82">
        <f t="shared" si="2282"/>
        <v>0</v>
      </c>
      <c r="FY280" s="82">
        <f t="shared" si="2283"/>
        <v>0</v>
      </c>
      <c r="FZ280" s="82">
        <f t="shared" si="2284"/>
        <v>62</v>
      </c>
      <c r="GA280" s="82">
        <f t="shared" si="2285"/>
        <v>1508121.48</v>
      </c>
      <c r="GB280" s="82">
        <f t="shared" si="2286"/>
        <v>0</v>
      </c>
      <c r="GC280" s="82">
        <f t="shared" si="2287"/>
        <v>0</v>
      </c>
      <c r="GD280" s="82">
        <f t="shared" si="2288"/>
        <v>62</v>
      </c>
      <c r="GE280" s="82">
        <f t="shared" si="2289"/>
        <v>1508121.48</v>
      </c>
      <c r="GF280" s="85"/>
    </row>
    <row r="281" ht="30.0" customHeight="1">
      <c r="A281" s="96"/>
      <c r="B281" s="58"/>
      <c r="C281" s="58"/>
      <c r="D281" s="78" t="s">
        <v>91</v>
      </c>
      <c r="E281" s="86">
        <v>35520.0</v>
      </c>
      <c r="F281" s="80" t="s">
        <v>281</v>
      </c>
      <c r="G281" s="90">
        <v>82.0</v>
      </c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3"/>
      <c r="W281" s="82"/>
      <c r="X281" s="82"/>
      <c r="Y281" s="82"/>
      <c r="Z281" s="82"/>
      <c r="AA281" s="82"/>
      <c r="AB281" s="82"/>
      <c r="AC281" s="82"/>
      <c r="AD281" s="82">
        <f t="shared" si="1807"/>
        <v>82</v>
      </c>
      <c r="AE281" s="83">
        <v>0.0</v>
      </c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>
        <f t="shared" si="1813"/>
        <v>82</v>
      </c>
      <c r="AQ281" s="82">
        <f>AP281*E280</f>
        <v>1994612.28</v>
      </c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>
        <f t="shared" si="1819"/>
        <v>82</v>
      </c>
      <c r="BD281" s="82">
        <f>BC281*E280</f>
        <v>1994612.28</v>
      </c>
      <c r="BE281" s="82"/>
      <c r="BF281" s="82"/>
      <c r="BG281" s="82">
        <f t="shared" si="1823"/>
        <v>82</v>
      </c>
      <c r="BH281" s="82"/>
      <c r="BI281" s="82"/>
      <c r="BJ281" s="83"/>
      <c r="BK281" s="82"/>
      <c r="BL281" s="82"/>
      <c r="BM281" s="82"/>
      <c r="BN281" s="82"/>
      <c r="BO281" s="82"/>
      <c r="BP281" s="83"/>
      <c r="BQ281" s="82"/>
      <c r="BR281" s="82"/>
      <c r="BS281" s="83"/>
      <c r="BT281" s="82"/>
      <c r="BU281" s="82"/>
      <c r="BV281" s="82"/>
      <c r="BW281" s="82"/>
      <c r="BX281" s="82"/>
      <c r="BY281" s="82">
        <f t="shared" si="1829"/>
        <v>82</v>
      </c>
      <c r="BZ281" s="82">
        <f>BY281*E280</f>
        <v>1994612.28</v>
      </c>
      <c r="CA281" s="82"/>
      <c r="CB281" s="82"/>
      <c r="CC281" s="82"/>
      <c r="CD281" s="82"/>
      <c r="CE281" s="82"/>
      <c r="CF281" s="82"/>
      <c r="CG281" s="82"/>
      <c r="CH281" s="82"/>
      <c r="CI281" s="82"/>
      <c r="CJ281" s="82"/>
      <c r="CK281" s="82">
        <f t="shared" si="1835"/>
        <v>82</v>
      </c>
      <c r="CL281" s="82">
        <f>CK281*E280</f>
        <v>1994612.28</v>
      </c>
      <c r="CM281" s="83">
        <v>85.0</v>
      </c>
      <c r="CN281" s="82"/>
      <c r="CO281" s="82">
        <f t="shared" si="1837"/>
        <v>85</v>
      </c>
      <c r="CP281" s="82">
        <f t="shared" si="1838"/>
        <v>3019200</v>
      </c>
      <c r="CQ281" s="82"/>
      <c r="CR281" s="82"/>
      <c r="CS281" s="82"/>
      <c r="CT281" s="82"/>
      <c r="CU281" s="82"/>
      <c r="CV281" s="82"/>
      <c r="CW281" s="82">
        <f t="shared" si="1841"/>
        <v>167</v>
      </c>
      <c r="CX281" s="82">
        <f>(CO281*E281)+(CK281*E280)</f>
        <v>5013812.28</v>
      </c>
      <c r="CY281" s="82">
        <f t="shared" si="1843"/>
        <v>85</v>
      </c>
      <c r="CZ281" s="82">
        <f t="shared" si="1844"/>
        <v>0</v>
      </c>
      <c r="DA281" s="82">
        <f t="shared" si="1845"/>
        <v>167</v>
      </c>
      <c r="DB281" s="82">
        <f t="shared" si="1846"/>
        <v>5931840</v>
      </c>
      <c r="DC281" s="91"/>
      <c r="DD281" s="82"/>
      <c r="DE281" s="82"/>
      <c r="DF281" s="82"/>
      <c r="DG281" s="82"/>
      <c r="DH281" s="82"/>
      <c r="DI281" s="82"/>
      <c r="DJ281" s="82"/>
      <c r="DK281" s="82"/>
      <c r="DL281" s="82"/>
      <c r="DM281" s="82"/>
      <c r="DN281" s="82"/>
      <c r="DO281" s="82"/>
      <c r="DP281" s="82"/>
      <c r="DQ281" s="82"/>
      <c r="DR281" s="82"/>
      <c r="DS281" s="82"/>
      <c r="DT281" s="82"/>
      <c r="DU281" s="82"/>
      <c r="DV281" s="82"/>
      <c r="DW281" s="82"/>
      <c r="DX281" s="82"/>
      <c r="DY281" s="82"/>
      <c r="DZ281" s="82"/>
      <c r="EA281" s="82"/>
      <c r="EB281" s="82"/>
      <c r="EC281" s="82"/>
      <c r="ED281" s="82"/>
      <c r="EE281" s="82"/>
      <c r="EF281" s="82"/>
      <c r="EG281" s="82"/>
      <c r="EH281" s="82"/>
      <c r="EI281" s="82"/>
      <c r="EJ281" s="82"/>
      <c r="EK281" s="82"/>
      <c r="EL281" s="82"/>
      <c r="EM281" s="82"/>
      <c r="EN281" s="82"/>
      <c r="EO281" s="82"/>
      <c r="EP281" s="82"/>
      <c r="EQ281" s="82"/>
      <c r="ER281" s="82"/>
      <c r="ES281" s="82"/>
      <c r="ET281" s="82"/>
      <c r="EU281" s="82"/>
      <c r="EV281" s="82"/>
      <c r="EW281" s="82"/>
      <c r="EX281" s="82"/>
      <c r="EY281" s="82"/>
      <c r="EZ281" s="82"/>
      <c r="FA281" s="82"/>
      <c r="FB281" s="82"/>
      <c r="FC281" s="82"/>
      <c r="FD281" s="82"/>
      <c r="FE281" s="82"/>
      <c r="FF281" s="82"/>
      <c r="FG281" s="82"/>
      <c r="FH281" s="82"/>
      <c r="FI281" s="82"/>
      <c r="FJ281" s="82"/>
      <c r="FK281" s="82"/>
      <c r="FL281" s="82"/>
      <c r="FM281" s="82"/>
      <c r="FN281" s="82"/>
      <c r="FO281" s="82"/>
      <c r="FP281" s="82"/>
      <c r="FQ281" s="82"/>
      <c r="FR281" s="82"/>
      <c r="FS281" s="82"/>
      <c r="FT281" s="82"/>
      <c r="FU281" s="82"/>
      <c r="FV281" s="82"/>
      <c r="FW281" s="82"/>
      <c r="FX281" s="82"/>
      <c r="FY281" s="82"/>
      <c r="FZ281" s="82"/>
      <c r="GA281" s="82"/>
      <c r="GB281" s="82"/>
      <c r="GC281" s="82"/>
      <c r="GD281" s="82"/>
      <c r="GE281" s="82"/>
      <c r="GF281" s="85"/>
    </row>
    <row r="282" ht="30.0" customHeight="1">
      <c r="A282" s="96">
        <v>22.0</v>
      </c>
      <c r="B282" s="58"/>
      <c r="C282" s="58" t="s">
        <v>304</v>
      </c>
      <c r="D282" s="78" t="s">
        <v>91</v>
      </c>
      <c r="E282" s="79">
        <v>11100.0</v>
      </c>
      <c r="F282" s="61" t="s">
        <v>110</v>
      </c>
      <c r="G282" s="81">
        <v>117.0</v>
      </c>
      <c r="H282" s="82">
        <v>1298700.0</v>
      </c>
      <c r="I282" s="82"/>
      <c r="J282" s="82"/>
      <c r="K282" s="82">
        <f t="shared" ref="K282:K283" si="2290">SUM(I282:J282)</f>
        <v>0</v>
      </c>
      <c r="L282" s="82">
        <f t="shared" ref="L282:L283" si="2291">K282*E282</f>
        <v>0</v>
      </c>
      <c r="M282" s="82"/>
      <c r="N282" s="82"/>
      <c r="O282" s="82"/>
      <c r="P282" s="82"/>
      <c r="Q282" s="82"/>
      <c r="R282" s="82"/>
      <c r="S282" s="82"/>
      <c r="T282" s="82"/>
      <c r="U282" s="82"/>
      <c r="V282" s="83">
        <v>2.0</v>
      </c>
      <c r="W282" s="82"/>
      <c r="X282" s="82"/>
      <c r="Y282" s="82"/>
      <c r="Z282" s="82"/>
      <c r="AA282" s="82"/>
      <c r="AB282" s="82">
        <f t="shared" ref="AB282:AB283" si="2292">SUM(M282:AA282)</f>
        <v>2</v>
      </c>
      <c r="AC282" s="82">
        <f t="shared" ref="AC282:AC283" si="2293">AB282*E282</f>
        <v>22200</v>
      </c>
      <c r="AD282" s="82">
        <f t="shared" si="1807"/>
        <v>115</v>
      </c>
      <c r="AE282" s="82">
        <f t="shared" ref="AE282:AE283" si="2294">AD282*E282</f>
        <v>1276500</v>
      </c>
      <c r="AF282" s="82"/>
      <c r="AG282" s="82"/>
      <c r="AH282" s="82">
        <f t="shared" ref="AH282:AH283" si="2295">SUM(AF282:AG282)</f>
        <v>0</v>
      </c>
      <c r="AI282" s="82">
        <f t="shared" ref="AI282:AI283" si="2296">AH282*E282</f>
        <v>0</v>
      </c>
      <c r="AJ282" s="82"/>
      <c r="AK282" s="82"/>
      <c r="AL282" s="82"/>
      <c r="AM282" s="82"/>
      <c r="AN282" s="82">
        <f t="shared" ref="AN282:AN283" si="2297">SUM(AJ282:AM282)</f>
        <v>0</v>
      </c>
      <c r="AO282" s="82">
        <f t="shared" ref="AO282:AO283" si="2298">AN282*E282</f>
        <v>0</v>
      </c>
      <c r="AP282" s="82">
        <f t="shared" si="1813"/>
        <v>115</v>
      </c>
      <c r="AQ282" s="82">
        <f t="shared" ref="AQ282:AQ283" si="2299">AP282*E282</f>
        <v>1276500</v>
      </c>
      <c r="AR282" s="82"/>
      <c r="AS282" s="82"/>
      <c r="AT282" s="82"/>
      <c r="AU282" s="82">
        <f t="shared" ref="AU282:AU283" si="2300">SUM(AS282:AT282)</f>
        <v>0</v>
      </c>
      <c r="AV282" s="82">
        <f t="shared" ref="AV282:AV283" si="2301">AU282*AB282</f>
        <v>0</v>
      </c>
      <c r="AW282" s="82"/>
      <c r="AX282" s="82"/>
      <c r="AY282" s="82"/>
      <c r="AZ282" s="82"/>
      <c r="BA282" s="82">
        <f t="shared" ref="BA282:BA283" si="2302">SUM(AW282:AZ282)</f>
        <v>0</v>
      </c>
      <c r="BB282" s="82">
        <f t="shared" ref="BB282:BB283" si="2303">BA282*AB282</f>
        <v>0</v>
      </c>
      <c r="BC282" s="82">
        <f t="shared" si="1819"/>
        <v>115</v>
      </c>
      <c r="BD282" s="82">
        <f t="shared" ref="BD282:BD283" si="2304">BC282*E282</f>
        <v>1276500</v>
      </c>
      <c r="BE282" s="82">
        <f t="shared" ref="BE282:BE283" si="2305">K282+AH282+AU282</f>
        <v>0</v>
      </c>
      <c r="BF282" s="82">
        <f t="shared" ref="BF282:BF283" si="2306">AB282+AN282+BA282</f>
        <v>2</v>
      </c>
      <c r="BG282" s="82">
        <f t="shared" si="1823"/>
        <v>115</v>
      </c>
      <c r="BH282" s="82">
        <f t="shared" ref="BH282:BH283" si="2307">BG282*E282</f>
        <v>1276500</v>
      </c>
      <c r="BI282" s="82"/>
      <c r="BJ282" s="83"/>
      <c r="BK282" s="82">
        <f t="shared" ref="BK282:BK283" si="2308">SUM(BI282:BJ282)</f>
        <v>0</v>
      </c>
      <c r="BL282" s="82">
        <f t="shared" ref="BL282:BL283" si="2309">BK282*E282</f>
        <v>0</v>
      </c>
      <c r="BM282" s="82"/>
      <c r="BN282" s="82"/>
      <c r="BO282" s="82"/>
      <c r="BP282" s="82"/>
      <c r="BQ282" s="82"/>
      <c r="BR282" s="82"/>
      <c r="BS282" s="82"/>
      <c r="BT282" s="82"/>
      <c r="BU282" s="82"/>
      <c r="BV282" s="82"/>
      <c r="BW282" s="82">
        <f t="shared" ref="BW282:BW283" si="2310">SUM(BM282:BV282)</f>
        <v>0</v>
      </c>
      <c r="BX282" s="82">
        <f t="shared" ref="BX282:BX283" si="2311">BW282*E282</f>
        <v>0</v>
      </c>
      <c r="BY282" s="82">
        <f t="shared" si="1829"/>
        <v>115</v>
      </c>
      <c r="BZ282" s="82">
        <f t="shared" ref="BZ282:BZ283" si="2312">BY282*E282</f>
        <v>1276500</v>
      </c>
      <c r="CA282" s="82"/>
      <c r="CB282" s="82"/>
      <c r="CC282" s="82">
        <f t="shared" ref="CC282:CC283" si="2313">sum(CA282:CB282)</f>
        <v>0</v>
      </c>
      <c r="CD282" s="82">
        <f t="shared" ref="CD282:CD283" si="2314">CC282*E282</f>
        <v>0</v>
      </c>
      <c r="CE282" s="82"/>
      <c r="CF282" s="82"/>
      <c r="CG282" s="82"/>
      <c r="CH282" s="82"/>
      <c r="CI282" s="82">
        <f t="shared" ref="CI282:CI283" si="2315">sum(CE282:CH282)</f>
        <v>0</v>
      </c>
      <c r="CJ282" s="82">
        <f t="shared" ref="CJ282:CJ283" si="2316">CI282*E282</f>
        <v>0</v>
      </c>
      <c r="CK282" s="82">
        <f t="shared" si="1835"/>
        <v>115</v>
      </c>
      <c r="CL282" s="82">
        <f t="shared" ref="CL282:CL283" si="2317">CK282*E282</f>
        <v>1276500</v>
      </c>
      <c r="CM282" s="82"/>
      <c r="CN282" s="82"/>
      <c r="CO282" s="82">
        <f t="shared" si="1837"/>
        <v>0</v>
      </c>
      <c r="CP282" s="82">
        <f t="shared" si="1838"/>
        <v>0</v>
      </c>
      <c r="CQ282" s="82"/>
      <c r="CR282" s="82"/>
      <c r="CS282" s="82"/>
      <c r="CT282" s="82"/>
      <c r="CU282" s="82">
        <f t="shared" ref="CU282:CU283" si="2318">sum(CQ282:CT282)</f>
        <v>0</v>
      </c>
      <c r="CV282" s="82">
        <f t="shared" ref="CV282:CV283" si="2319">CU282*E282</f>
        <v>0</v>
      </c>
      <c r="CW282" s="82">
        <f t="shared" si="1841"/>
        <v>115</v>
      </c>
      <c r="CX282" s="82">
        <f t="shared" ref="CX282:CX283" si="2320">CW282*E282</f>
        <v>1276500</v>
      </c>
      <c r="CY282" s="82">
        <f t="shared" si="1843"/>
        <v>0</v>
      </c>
      <c r="CZ282" s="82">
        <f t="shared" si="1844"/>
        <v>0</v>
      </c>
      <c r="DA282" s="82">
        <f t="shared" si="1845"/>
        <v>115</v>
      </c>
      <c r="DB282" s="82">
        <f t="shared" si="1846"/>
        <v>1276500</v>
      </c>
      <c r="DC282" s="91"/>
      <c r="DD282" s="82"/>
      <c r="DE282" s="82"/>
      <c r="DF282" s="82">
        <f t="shared" ref="DF282:DF283" si="2321">sum(DD282:DE282)</f>
        <v>0</v>
      </c>
      <c r="DG282" s="82">
        <f t="shared" ref="DG282:DG283" si="2322">DF282*E282</f>
        <v>0</v>
      </c>
      <c r="DH282" s="82"/>
      <c r="DI282" s="82"/>
      <c r="DJ282" s="82"/>
      <c r="DK282" s="82"/>
      <c r="DL282" s="82">
        <f t="shared" ref="DL282:DL283" si="2323">sum(DH282:DK282)</f>
        <v>0</v>
      </c>
      <c r="DM282" s="82">
        <f t="shared" ref="DM282:DM283" si="2324">DL282*E282</f>
        <v>0</v>
      </c>
      <c r="DN282" s="82">
        <f t="shared" ref="DN282:DN283" si="2325">DA282+DF282-DL282</f>
        <v>115</v>
      </c>
      <c r="DO282" s="82">
        <f t="shared" ref="DO282:DO283" si="2326">DN282*E282</f>
        <v>1276500</v>
      </c>
      <c r="DP282" s="82"/>
      <c r="DQ282" s="82"/>
      <c r="DR282" s="82">
        <f t="shared" ref="DR282:DR283" si="2327">sum(DP282:DQ282)</f>
        <v>0</v>
      </c>
      <c r="DS282" s="82">
        <f t="shared" ref="DS282:DS283" si="2328">DR282*AB282</f>
        <v>0</v>
      </c>
      <c r="DT282" s="82"/>
      <c r="DU282" s="82"/>
      <c r="DV282" s="82"/>
      <c r="DW282" s="82"/>
      <c r="DX282" s="82">
        <f t="shared" ref="DX282:DX283" si="2329">sum(DT282:DW282)</f>
        <v>0</v>
      </c>
      <c r="DY282" s="82">
        <f t="shared" ref="DY282:DY283" si="2330">DX282*AB282</f>
        <v>0</v>
      </c>
      <c r="DZ282" s="82">
        <f t="shared" ref="DZ282:DZ283" si="2331">DN282+DR282-DX282</f>
        <v>115</v>
      </c>
      <c r="EA282" s="82">
        <f t="shared" ref="EA282:EA283" si="2332">DZ282*E282</f>
        <v>1276500</v>
      </c>
      <c r="EB282" s="82"/>
      <c r="EC282" s="82"/>
      <c r="ED282" s="82">
        <f t="shared" ref="ED282:ED283" si="2333">sum(EB282:EC282)</f>
        <v>0</v>
      </c>
      <c r="EE282" s="82">
        <f t="shared" ref="EE282:EE283" si="2334">ED282*AN282</f>
        <v>0</v>
      </c>
      <c r="EF282" s="82"/>
      <c r="EG282" s="82"/>
      <c r="EH282" s="82"/>
      <c r="EI282" s="82"/>
      <c r="EJ282" s="82">
        <f t="shared" ref="EJ282:EJ283" si="2335">sum(EF282:EI282)</f>
        <v>0</v>
      </c>
      <c r="EK282" s="82">
        <f t="shared" ref="EK282:EK283" si="2336">EJ282*AN282</f>
        <v>0</v>
      </c>
      <c r="EL282" s="82">
        <f t="shared" ref="EL282:EL283" si="2337">DZ282+ED282-EJ282</f>
        <v>115</v>
      </c>
      <c r="EM282" s="82">
        <f t="shared" ref="EM282:EM283" si="2338">EL282*E282</f>
        <v>1276500</v>
      </c>
      <c r="EN282" s="82">
        <f t="shared" ref="EN282:EN283" si="2339">DF282+DR282+ED282</f>
        <v>0</v>
      </c>
      <c r="EO282" s="82">
        <f t="shared" ref="EO282:EO283" si="2340">DL282+DX282+EJ282</f>
        <v>0</v>
      </c>
      <c r="EP282" s="82">
        <f t="shared" ref="EP282:EP283" si="2341">DA282+EN282-EO282</f>
        <v>115</v>
      </c>
      <c r="EQ282" s="82">
        <f t="shared" ref="EQ282:EQ283" si="2342">EP282*E282</f>
        <v>1276500</v>
      </c>
      <c r="ER282" s="82"/>
      <c r="ES282" s="82"/>
      <c r="ET282" s="82">
        <f t="shared" ref="ET282:ET283" si="2343">sum(ER282:ES282)</f>
        <v>0</v>
      </c>
      <c r="EU282" s="82">
        <f t="shared" ref="EU282:EU283" si="2344">ET282*BE282</f>
        <v>0</v>
      </c>
      <c r="EV282" s="82"/>
      <c r="EW282" s="82"/>
      <c r="EX282" s="82"/>
      <c r="EY282" s="82"/>
      <c r="EZ282" s="82">
        <f t="shared" ref="EZ282:EZ283" si="2345">sum(EV282:EY282)</f>
        <v>0</v>
      </c>
      <c r="FA282" s="82">
        <f t="shared" ref="FA282:FA283" si="2346">EZ282*BE282</f>
        <v>0</v>
      </c>
      <c r="FB282" s="82">
        <f t="shared" ref="FB282:FB283" si="2347">EP282+ET282-EZ282</f>
        <v>115</v>
      </c>
      <c r="FC282" s="82">
        <f t="shared" ref="FC282:FC283" si="2348">FB282*E282</f>
        <v>1276500</v>
      </c>
      <c r="FD282" s="82"/>
      <c r="FE282" s="82"/>
      <c r="FF282" s="82">
        <f t="shared" ref="FF282:FF283" si="2349">sum(FD282:FE282)</f>
        <v>0</v>
      </c>
      <c r="FG282" s="82">
        <f t="shared" ref="FG282:FG283" si="2350">FF282*BW282</f>
        <v>0</v>
      </c>
      <c r="FH282" s="82"/>
      <c r="FI282" s="82"/>
      <c r="FJ282" s="82"/>
      <c r="FK282" s="82"/>
      <c r="FL282" s="82">
        <f t="shared" ref="FL282:FL283" si="2351">sum(FH282:FK282)</f>
        <v>0</v>
      </c>
      <c r="FM282" s="82">
        <f t="shared" ref="FM282:FM283" si="2352">FL282*BW282</f>
        <v>0</v>
      </c>
      <c r="FN282" s="82">
        <f t="shared" ref="FN282:FN283" si="2353">FB282+FF282-FL282</f>
        <v>115</v>
      </c>
      <c r="FO282" s="82">
        <f t="shared" ref="FO282:FO283" si="2354">FN282*E282</f>
        <v>1276500</v>
      </c>
      <c r="FP282" s="82"/>
      <c r="FQ282" s="82"/>
      <c r="FR282" s="82">
        <f t="shared" ref="FR282:FR283" si="2355">sum(FP282:FQ282)</f>
        <v>0</v>
      </c>
      <c r="FS282" s="82">
        <f t="shared" ref="FS282:FS283" si="2356">FR282*CI282</f>
        <v>0</v>
      </c>
      <c r="FT282" s="82"/>
      <c r="FU282" s="82"/>
      <c r="FV282" s="82"/>
      <c r="FW282" s="82"/>
      <c r="FX282" s="82">
        <f t="shared" ref="FX282:FX283" si="2357">sum(FT282:FW282)</f>
        <v>0</v>
      </c>
      <c r="FY282" s="82">
        <f t="shared" ref="FY282:FY283" si="2358">FX282*CI282</f>
        <v>0</v>
      </c>
      <c r="FZ282" s="82">
        <f t="shared" ref="FZ282:FZ283" si="2359">FN282+FR282-FX282</f>
        <v>115</v>
      </c>
      <c r="GA282" s="82">
        <f t="shared" ref="GA282:GA283" si="2360">FZ282*E282</f>
        <v>1276500</v>
      </c>
      <c r="GB282" s="82">
        <f t="shared" ref="GB282:GB283" si="2361">ET282+FF282+FR282</f>
        <v>0</v>
      </c>
      <c r="GC282" s="82">
        <f t="shared" ref="GC282:GC283" si="2362">EZ282+FL282+FX282</f>
        <v>0</v>
      </c>
      <c r="GD282" s="82">
        <f t="shared" ref="GD282:GD283" si="2363">EP282+GB282-GC282</f>
        <v>115</v>
      </c>
      <c r="GE282" s="82">
        <f t="shared" ref="GE282:GE283" si="2364">GD282*E282</f>
        <v>1276500</v>
      </c>
      <c r="GF282" s="85"/>
    </row>
    <row r="283" ht="30.0" customHeight="1">
      <c r="A283" s="96">
        <v>23.0</v>
      </c>
      <c r="B283" s="58"/>
      <c r="C283" s="58" t="s">
        <v>305</v>
      </c>
      <c r="D283" s="78" t="s">
        <v>306</v>
      </c>
      <c r="E283" s="86">
        <v>30631.0</v>
      </c>
      <c r="F283" s="80" t="s">
        <v>284</v>
      </c>
      <c r="G283" s="81">
        <v>17.0</v>
      </c>
      <c r="H283" s="82">
        <v>520727.0</v>
      </c>
      <c r="I283" s="82"/>
      <c r="J283" s="82"/>
      <c r="K283" s="82">
        <f t="shared" si="2290"/>
        <v>0</v>
      </c>
      <c r="L283" s="82">
        <f t="shared" si="2291"/>
        <v>0</v>
      </c>
      <c r="M283" s="83">
        <v>1.0</v>
      </c>
      <c r="N283" s="83">
        <v>1.0</v>
      </c>
      <c r="O283" s="83">
        <v>1.0</v>
      </c>
      <c r="P283" s="82"/>
      <c r="Q283" s="83">
        <v>2.0</v>
      </c>
      <c r="R283" s="82"/>
      <c r="S283" s="82"/>
      <c r="T283" s="82"/>
      <c r="U283" s="83">
        <v>1.0</v>
      </c>
      <c r="V283" s="83">
        <v>1.0</v>
      </c>
      <c r="W283" s="82"/>
      <c r="X283" s="82"/>
      <c r="Y283" s="82"/>
      <c r="Z283" s="82"/>
      <c r="AA283" s="82"/>
      <c r="AB283" s="82">
        <f t="shared" si="2292"/>
        <v>7</v>
      </c>
      <c r="AC283" s="82">
        <f t="shared" si="2293"/>
        <v>214417</v>
      </c>
      <c r="AD283" s="82">
        <f t="shared" si="1807"/>
        <v>10</v>
      </c>
      <c r="AE283" s="82">
        <f t="shared" si="2294"/>
        <v>306310</v>
      </c>
      <c r="AF283" s="82"/>
      <c r="AG283" s="82"/>
      <c r="AH283" s="82">
        <f t="shared" si="2295"/>
        <v>0</v>
      </c>
      <c r="AI283" s="82">
        <f t="shared" si="2296"/>
        <v>0</v>
      </c>
      <c r="AJ283" s="82"/>
      <c r="AK283" s="82"/>
      <c r="AL283" s="82"/>
      <c r="AM283" s="82"/>
      <c r="AN283" s="82">
        <f t="shared" si="2297"/>
        <v>0</v>
      </c>
      <c r="AO283" s="82">
        <f t="shared" si="2298"/>
        <v>0</v>
      </c>
      <c r="AP283" s="82">
        <f t="shared" si="1813"/>
        <v>10</v>
      </c>
      <c r="AQ283" s="82">
        <f t="shared" si="2299"/>
        <v>306310</v>
      </c>
      <c r="AR283" s="82"/>
      <c r="AS283" s="82"/>
      <c r="AT283" s="82"/>
      <c r="AU283" s="82">
        <f t="shared" si="2300"/>
        <v>0</v>
      </c>
      <c r="AV283" s="82">
        <f t="shared" si="2301"/>
        <v>0</v>
      </c>
      <c r="AW283" s="82"/>
      <c r="AX283" s="82"/>
      <c r="AY283" s="82"/>
      <c r="AZ283" s="82"/>
      <c r="BA283" s="82">
        <f t="shared" si="2302"/>
        <v>0</v>
      </c>
      <c r="BB283" s="82">
        <f t="shared" si="2303"/>
        <v>0</v>
      </c>
      <c r="BC283" s="82">
        <f t="shared" si="1819"/>
        <v>10</v>
      </c>
      <c r="BD283" s="82">
        <f t="shared" si="2304"/>
        <v>306310</v>
      </c>
      <c r="BE283" s="82">
        <f t="shared" si="2305"/>
        <v>0</v>
      </c>
      <c r="BF283" s="82">
        <f t="shared" si="2306"/>
        <v>7</v>
      </c>
      <c r="BG283" s="82">
        <f t="shared" si="1823"/>
        <v>10</v>
      </c>
      <c r="BH283" s="82">
        <f t="shared" si="2307"/>
        <v>306310</v>
      </c>
      <c r="BI283" s="82"/>
      <c r="BJ283" s="83"/>
      <c r="BK283" s="82">
        <f t="shared" si="2308"/>
        <v>0</v>
      </c>
      <c r="BL283" s="82">
        <f t="shared" si="2309"/>
        <v>0</v>
      </c>
      <c r="BM283" s="83">
        <v>1.0</v>
      </c>
      <c r="BN283" s="83">
        <v>1.0</v>
      </c>
      <c r="BO283" s="83">
        <v>1.0</v>
      </c>
      <c r="BP283" s="83">
        <v>1.0</v>
      </c>
      <c r="BQ283" s="83">
        <v>1.0</v>
      </c>
      <c r="BR283" s="83">
        <v>1.0</v>
      </c>
      <c r="BS283" s="83">
        <v>1.0</v>
      </c>
      <c r="BT283" s="83">
        <v>2.0</v>
      </c>
      <c r="BU283" s="83"/>
      <c r="BV283" s="83">
        <v>1.0</v>
      </c>
      <c r="BW283" s="82">
        <f t="shared" si="2310"/>
        <v>10</v>
      </c>
      <c r="BX283" s="82">
        <f t="shared" si="2311"/>
        <v>306310</v>
      </c>
      <c r="BY283" s="82">
        <f t="shared" si="1829"/>
        <v>0</v>
      </c>
      <c r="BZ283" s="82">
        <f t="shared" si="2312"/>
        <v>0</v>
      </c>
      <c r="CA283" s="82"/>
      <c r="CB283" s="82"/>
      <c r="CC283" s="82">
        <f t="shared" si="2313"/>
        <v>0</v>
      </c>
      <c r="CD283" s="82">
        <f t="shared" si="2314"/>
        <v>0</v>
      </c>
      <c r="CE283" s="82"/>
      <c r="CF283" s="82"/>
      <c r="CG283" s="82"/>
      <c r="CH283" s="82"/>
      <c r="CI283" s="82">
        <f t="shared" si="2315"/>
        <v>0</v>
      </c>
      <c r="CJ283" s="82">
        <f t="shared" si="2316"/>
        <v>0</v>
      </c>
      <c r="CK283" s="82">
        <f t="shared" si="1835"/>
        <v>0</v>
      </c>
      <c r="CL283" s="82">
        <f t="shared" si="2317"/>
        <v>0</v>
      </c>
      <c r="CM283" s="82"/>
      <c r="CN283" s="82"/>
      <c r="CO283" s="82">
        <f t="shared" si="1837"/>
        <v>0</v>
      </c>
      <c r="CP283" s="82">
        <f t="shared" si="1838"/>
        <v>0</v>
      </c>
      <c r="CQ283" s="82"/>
      <c r="CR283" s="82"/>
      <c r="CS283" s="82"/>
      <c r="CT283" s="82"/>
      <c r="CU283" s="82">
        <f t="shared" si="2318"/>
        <v>0</v>
      </c>
      <c r="CV283" s="82">
        <f t="shared" si="2319"/>
        <v>0</v>
      </c>
      <c r="CW283" s="82">
        <f t="shared" si="1841"/>
        <v>0</v>
      </c>
      <c r="CX283" s="82">
        <f t="shared" si="2320"/>
        <v>0</v>
      </c>
      <c r="CY283" s="82">
        <f t="shared" si="1843"/>
        <v>0</v>
      </c>
      <c r="CZ283" s="82">
        <f t="shared" si="1844"/>
        <v>10</v>
      </c>
      <c r="DA283" s="82">
        <f t="shared" si="1845"/>
        <v>0</v>
      </c>
      <c r="DB283" s="82">
        <f t="shared" si="1846"/>
        <v>0</v>
      </c>
      <c r="DC283" s="91"/>
      <c r="DD283" s="82"/>
      <c r="DE283" s="82"/>
      <c r="DF283" s="82">
        <f t="shared" si="2321"/>
        <v>0</v>
      </c>
      <c r="DG283" s="82">
        <f t="shared" si="2322"/>
        <v>0</v>
      </c>
      <c r="DH283" s="82"/>
      <c r="DI283" s="82"/>
      <c r="DJ283" s="82"/>
      <c r="DK283" s="82"/>
      <c r="DL283" s="82">
        <f t="shared" si="2323"/>
        <v>0</v>
      </c>
      <c r="DM283" s="82">
        <f t="shared" si="2324"/>
        <v>0</v>
      </c>
      <c r="DN283" s="82">
        <f t="shared" si="2325"/>
        <v>0</v>
      </c>
      <c r="DO283" s="82">
        <f t="shared" si="2326"/>
        <v>0</v>
      </c>
      <c r="DP283" s="82"/>
      <c r="DQ283" s="82"/>
      <c r="DR283" s="82">
        <f t="shared" si="2327"/>
        <v>0</v>
      </c>
      <c r="DS283" s="82">
        <f t="shared" si="2328"/>
        <v>0</v>
      </c>
      <c r="DT283" s="82"/>
      <c r="DU283" s="82"/>
      <c r="DV283" s="82"/>
      <c r="DW283" s="82"/>
      <c r="DX283" s="82">
        <f t="shared" si="2329"/>
        <v>0</v>
      </c>
      <c r="DY283" s="82">
        <f t="shared" si="2330"/>
        <v>0</v>
      </c>
      <c r="DZ283" s="82">
        <f t="shared" si="2331"/>
        <v>0</v>
      </c>
      <c r="EA283" s="82">
        <f t="shared" si="2332"/>
        <v>0</v>
      </c>
      <c r="EB283" s="82"/>
      <c r="EC283" s="82"/>
      <c r="ED283" s="82">
        <f t="shared" si="2333"/>
        <v>0</v>
      </c>
      <c r="EE283" s="82">
        <f t="shared" si="2334"/>
        <v>0</v>
      </c>
      <c r="EF283" s="82"/>
      <c r="EG283" s="82"/>
      <c r="EH283" s="82"/>
      <c r="EI283" s="82"/>
      <c r="EJ283" s="82">
        <f t="shared" si="2335"/>
        <v>0</v>
      </c>
      <c r="EK283" s="82">
        <f t="shared" si="2336"/>
        <v>0</v>
      </c>
      <c r="EL283" s="82">
        <f t="shared" si="2337"/>
        <v>0</v>
      </c>
      <c r="EM283" s="82">
        <f t="shared" si="2338"/>
        <v>0</v>
      </c>
      <c r="EN283" s="82">
        <f t="shared" si="2339"/>
        <v>0</v>
      </c>
      <c r="EO283" s="82">
        <f t="shared" si="2340"/>
        <v>0</v>
      </c>
      <c r="EP283" s="82">
        <f t="shared" si="2341"/>
        <v>0</v>
      </c>
      <c r="EQ283" s="82">
        <f t="shared" si="2342"/>
        <v>0</v>
      </c>
      <c r="ER283" s="82"/>
      <c r="ES283" s="82"/>
      <c r="ET283" s="82">
        <f t="shared" si="2343"/>
        <v>0</v>
      </c>
      <c r="EU283" s="82">
        <f t="shared" si="2344"/>
        <v>0</v>
      </c>
      <c r="EV283" s="82"/>
      <c r="EW283" s="82"/>
      <c r="EX283" s="82"/>
      <c r="EY283" s="82"/>
      <c r="EZ283" s="82">
        <f t="shared" si="2345"/>
        <v>0</v>
      </c>
      <c r="FA283" s="82">
        <f t="shared" si="2346"/>
        <v>0</v>
      </c>
      <c r="FB283" s="82">
        <f t="shared" si="2347"/>
        <v>0</v>
      </c>
      <c r="FC283" s="82">
        <f t="shared" si="2348"/>
        <v>0</v>
      </c>
      <c r="FD283" s="82"/>
      <c r="FE283" s="82"/>
      <c r="FF283" s="82">
        <f t="shared" si="2349"/>
        <v>0</v>
      </c>
      <c r="FG283" s="82">
        <f t="shared" si="2350"/>
        <v>0</v>
      </c>
      <c r="FH283" s="82"/>
      <c r="FI283" s="82"/>
      <c r="FJ283" s="82"/>
      <c r="FK283" s="82"/>
      <c r="FL283" s="82">
        <f t="shared" si="2351"/>
        <v>0</v>
      </c>
      <c r="FM283" s="82">
        <f t="shared" si="2352"/>
        <v>0</v>
      </c>
      <c r="FN283" s="82">
        <f t="shared" si="2353"/>
        <v>0</v>
      </c>
      <c r="FO283" s="82">
        <f t="shared" si="2354"/>
        <v>0</v>
      </c>
      <c r="FP283" s="82"/>
      <c r="FQ283" s="82"/>
      <c r="FR283" s="82">
        <f t="shared" si="2355"/>
        <v>0</v>
      </c>
      <c r="FS283" s="82">
        <f t="shared" si="2356"/>
        <v>0</v>
      </c>
      <c r="FT283" s="82"/>
      <c r="FU283" s="82"/>
      <c r="FV283" s="82"/>
      <c r="FW283" s="82"/>
      <c r="FX283" s="82">
        <f t="shared" si="2357"/>
        <v>0</v>
      </c>
      <c r="FY283" s="82">
        <f t="shared" si="2358"/>
        <v>0</v>
      </c>
      <c r="FZ283" s="82">
        <f t="shared" si="2359"/>
        <v>0</v>
      </c>
      <c r="GA283" s="82">
        <f t="shared" si="2360"/>
        <v>0</v>
      </c>
      <c r="GB283" s="82">
        <f t="shared" si="2361"/>
        <v>0</v>
      </c>
      <c r="GC283" s="82">
        <f t="shared" si="2362"/>
        <v>0</v>
      </c>
      <c r="GD283" s="82">
        <f t="shared" si="2363"/>
        <v>0</v>
      </c>
      <c r="GE283" s="82">
        <f t="shared" si="2364"/>
        <v>0</v>
      </c>
      <c r="GF283" s="85"/>
    </row>
    <row r="284" ht="30.0" customHeight="1">
      <c r="A284" s="96"/>
      <c r="B284" s="58"/>
      <c r="C284" s="100"/>
      <c r="D284" s="89" t="s">
        <v>292</v>
      </c>
      <c r="E284" s="130">
        <v>47730.0</v>
      </c>
      <c r="F284" s="80" t="s">
        <v>281</v>
      </c>
      <c r="G284" s="81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>
        <f t="shared" si="1807"/>
        <v>0</v>
      </c>
      <c r="AE284" s="82">
        <f>AD284*E283</f>
        <v>0</v>
      </c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>
        <f t="shared" si="1813"/>
        <v>0</v>
      </c>
      <c r="AQ284" s="82">
        <f>AP284*E283</f>
        <v>0</v>
      </c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>
        <f t="shared" si="1819"/>
        <v>0</v>
      </c>
      <c r="BD284" s="82">
        <f>BC284*E283</f>
        <v>0</v>
      </c>
      <c r="BE284" s="82"/>
      <c r="BF284" s="82"/>
      <c r="BG284" s="82">
        <f t="shared" si="1823"/>
        <v>0</v>
      </c>
      <c r="BH284" s="82">
        <f>BG284*E283</f>
        <v>0</v>
      </c>
      <c r="BI284" s="82"/>
      <c r="BJ284" s="83"/>
      <c r="BK284" s="82"/>
      <c r="BL284" s="82"/>
      <c r="BM284" s="82"/>
      <c r="BN284" s="82"/>
      <c r="BO284" s="82"/>
      <c r="BP284" s="83"/>
      <c r="BQ284" s="82"/>
      <c r="BR284" s="82"/>
      <c r="BS284" s="83"/>
      <c r="BT284" s="82"/>
      <c r="BU284" s="82"/>
      <c r="BV284" s="82"/>
      <c r="BW284" s="82"/>
      <c r="BX284" s="82"/>
      <c r="BY284" s="82">
        <f t="shared" si="1829"/>
        <v>0</v>
      </c>
      <c r="BZ284" s="82">
        <f>BY284*E283</f>
        <v>0</v>
      </c>
      <c r="CA284" s="82"/>
      <c r="CB284" s="82"/>
      <c r="CC284" s="82"/>
      <c r="CD284" s="82"/>
      <c r="CE284" s="82"/>
      <c r="CF284" s="82"/>
      <c r="CG284" s="82"/>
      <c r="CH284" s="82"/>
      <c r="CI284" s="82"/>
      <c r="CJ284" s="82"/>
      <c r="CK284" s="82">
        <f t="shared" si="1835"/>
        <v>0</v>
      </c>
      <c r="CL284" s="82">
        <f>CK284*E283</f>
        <v>0</v>
      </c>
      <c r="CM284" s="83">
        <v>48.0</v>
      </c>
      <c r="CN284" s="82"/>
      <c r="CO284" s="82">
        <f t="shared" si="1837"/>
        <v>48</v>
      </c>
      <c r="CP284" s="82">
        <f t="shared" si="1838"/>
        <v>2291040</v>
      </c>
      <c r="CQ284" s="82"/>
      <c r="CR284" s="82"/>
      <c r="CS284" s="82"/>
      <c r="CT284" s="82"/>
      <c r="CU284" s="82"/>
      <c r="CV284" s="82"/>
      <c r="CW284" s="131">
        <f t="shared" si="1841"/>
        <v>48</v>
      </c>
      <c r="CX284" s="82">
        <f>(CO284*E284)+(CK284*E283)</f>
        <v>2291040</v>
      </c>
      <c r="CY284" s="82">
        <f t="shared" si="1843"/>
        <v>48</v>
      </c>
      <c r="CZ284" s="82">
        <f t="shared" si="1844"/>
        <v>0</v>
      </c>
      <c r="DA284" s="82">
        <f t="shared" si="1845"/>
        <v>48</v>
      </c>
      <c r="DB284" s="82">
        <f t="shared" si="1846"/>
        <v>2291040</v>
      </c>
      <c r="DC284" s="91"/>
      <c r="DD284" s="82"/>
      <c r="DE284" s="82"/>
      <c r="DF284" s="82"/>
      <c r="DG284" s="82"/>
      <c r="DH284" s="82"/>
      <c r="DI284" s="82"/>
      <c r="DJ284" s="82"/>
      <c r="DK284" s="82"/>
      <c r="DL284" s="82"/>
      <c r="DM284" s="82"/>
      <c r="DN284" s="82"/>
      <c r="DO284" s="82"/>
      <c r="DP284" s="82"/>
      <c r="DQ284" s="82"/>
      <c r="DR284" s="82"/>
      <c r="DS284" s="82"/>
      <c r="DT284" s="82"/>
      <c r="DU284" s="82"/>
      <c r="DV284" s="82"/>
      <c r="DW284" s="82"/>
      <c r="DX284" s="82"/>
      <c r="DY284" s="82"/>
      <c r="DZ284" s="82"/>
      <c r="EA284" s="82"/>
      <c r="EB284" s="82"/>
      <c r="EC284" s="82"/>
      <c r="ED284" s="82"/>
      <c r="EE284" s="82"/>
      <c r="EF284" s="82"/>
      <c r="EG284" s="82"/>
      <c r="EH284" s="82"/>
      <c r="EI284" s="82"/>
      <c r="EJ284" s="82"/>
      <c r="EK284" s="82"/>
      <c r="EL284" s="82"/>
      <c r="EM284" s="82"/>
      <c r="EN284" s="82"/>
      <c r="EO284" s="82"/>
      <c r="EP284" s="82"/>
      <c r="EQ284" s="82"/>
      <c r="ER284" s="82"/>
      <c r="ES284" s="82"/>
      <c r="ET284" s="82"/>
      <c r="EU284" s="82"/>
      <c r="EV284" s="82"/>
      <c r="EW284" s="82"/>
      <c r="EX284" s="82"/>
      <c r="EY284" s="82"/>
      <c r="EZ284" s="82"/>
      <c r="FA284" s="82"/>
      <c r="FB284" s="82"/>
      <c r="FC284" s="82"/>
      <c r="FD284" s="82"/>
      <c r="FE284" s="82"/>
      <c r="FF284" s="82"/>
      <c r="FG284" s="82"/>
      <c r="FH284" s="82"/>
      <c r="FI284" s="82"/>
      <c r="FJ284" s="82"/>
      <c r="FK284" s="82"/>
      <c r="FL284" s="82"/>
      <c r="FM284" s="82"/>
      <c r="FN284" s="82"/>
      <c r="FO284" s="82"/>
      <c r="FP284" s="82"/>
      <c r="FQ284" s="82"/>
      <c r="FR284" s="82"/>
      <c r="FS284" s="82"/>
      <c r="FT284" s="82"/>
      <c r="FU284" s="82"/>
      <c r="FV284" s="82"/>
      <c r="FW284" s="82"/>
      <c r="FX284" s="82"/>
      <c r="FY284" s="82"/>
      <c r="FZ284" s="82"/>
      <c r="GA284" s="82"/>
      <c r="GB284" s="82"/>
      <c r="GC284" s="82"/>
      <c r="GD284" s="82"/>
      <c r="GE284" s="82"/>
      <c r="GF284" s="85"/>
    </row>
    <row r="285" ht="30.0" customHeight="1">
      <c r="A285" s="96">
        <v>24.0</v>
      </c>
      <c r="B285" s="58"/>
      <c r="C285" s="100" t="s">
        <v>307</v>
      </c>
      <c r="D285" s="89" t="s">
        <v>121</v>
      </c>
      <c r="E285" s="86"/>
      <c r="F285" s="80"/>
      <c r="G285" s="81">
        <v>0.0</v>
      </c>
      <c r="H285" s="82">
        <v>0.0</v>
      </c>
      <c r="I285" s="82"/>
      <c r="J285" s="82"/>
      <c r="K285" s="82">
        <f t="shared" ref="K285:K286" si="2365">SUM(I285:J285)</f>
        <v>0</v>
      </c>
      <c r="L285" s="82">
        <f t="shared" ref="L285:L286" si="2366">K285*E285</f>
        <v>0</v>
      </c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>
        <f t="shared" ref="AB285:AB286" si="2367">SUM(M285:AA285)</f>
        <v>0</v>
      </c>
      <c r="AC285" s="82">
        <f t="shared" ref="AC285:AC286" si="2368">AB285*E285</f>
        <v>0</v>
      </c>
      <c r="AD285" s="82">
        <f t="shared" si="1807"/>
        <v>0</v>
      </c>
      <c r="AE285" s="82">
        <f t="shared" ref="AE285:AE286" si="2369">AD285*E285</f>
        <v>0</v>
      </c>
      <c r="AF285" s="82"/>
      <c r="AG285" s="82"/>
      <c r="AH285" s="82">
        <f t="shared" ref="AH285:AH286" si="2370">SUM(AF285:AG285)</f>
        <v>0</v>
      </c>
      <c r="AI285" s="82">
        <f t="shared" ref="AI285:AI286" si="2371">AH285*E285</f>
        <v>0</v>
      </c>
      <c r="AJ285" s="82"/>
      <c r="AK285" s="82"/>
      <c r="AL285" s="82"/>
      <c r="AM285" s="82"/>
      <c r="AN285" s="82">
        <f t="shared" ref="AN285:AN286" si="2372">SUM(AJ285:AM285)</f>
        <v>0</v>
      </c>
      <c r="AO285" s="82">
        <f t="shared" ref="AO285:AO286" si="2373">AN285*E285</f>
        <v>0</v>
      </c>
      <c r="AP285" s="82">
        <f t="shared" si="1813"/>
        <v>0</v>
      </c>
      <c r="AQ285" s="82">
        <f t="shared" ref="AQ285:AQ286" si="2374">AP285*E285</f>
        <v>0</v>
      </c>
      <c r="AR285" s="82"/>
      <c r="AS285" s="82"/>
      <c r="AT285" s="82"/>
      <c r="AU285" s="82">
        <f t="shared" ref="AU285:AU286" si="2375">SUM(AS285:AT285)</f>
        <v>0</v>
      </c>
      <c r="AV285" s="82">
        <f t="shared" ref="AV285:AV286" si="2376">AU285*AB285</f>
        <v>0</v>
      </c>
      <c r="AW285" s="82"/>
      <c r="AX285" s="82"/>
      <c r="AY285" s="82"/>
      <c r="AZ285" s="82"/>
      <c r="BA285" s="82">
        <f t="shared" ref="BA285:BA286" si="2377">SUM(AW285:AZ285)</f>
        <v>0</v>
      </c>
      <c r="BB285" s="82">
        <f t="shared" ref="BB285:BB286" si="2378">BA285*AB285</f>
        <v>0</v>
      </c>
      <c r="BC285" s="82">
        <f t="shared" si="1819"/>
        <v>0</v>
      </c>
      <c r="BD285" s="82">
        <f t="shared" ref="BD285:BD286" si="2379">BC285*E285</f>
        <v>0</v>
      </c>
      <c r="BE285" s="82">
        <f t="shared" ref="BE285:BE286" si="2380">K285+AH285+AU285</f>
        <v>0</v>
      </c>
      <c r="BF285" s="82">
        <f t="shared" ref="BF285:BF286" si="2381">AB285+AN285+BA285</f>
        <v>0</v>
      </c>
      <c r="BG285" s="82">
        <f t="shared" si="1823"/>
        <v>0</v>
      </c>
      <c r="BH285" s="82">
        <f t="shared" ref="BH285:BH286" si="2382">BG285*E285</f>
        <v>0</v>
      </c>
      <c r="BI285" s="82"/>
      <c r="BJ285" s="83"/>
      <c r="BK285" s="82">
        <f t="shared" ref="BK285:BK286" si="2383">SUM(BI285:BJ285)</f>
        <v>0</v>
      </c>
      <c r="BL285" s="82">
        <f t="shared" ref="BL285:BL286" si="2384">BK285*E285</f>
        <v>0</v>
      </c>
      <c r="BM285" s="82"/>
      <c r="BN285" s="82"/>
      <c r="BO285" s="82"/>
      <c r="BP285" s="82"/>
      <c r="BQ285" s="82"/>
      <c r="BR285" s="82"/>
      <c r="BS285" s="82"/>
      <c r="BT285" s="82"/>
      <c r="BU285" s="82"/>
      <c r="BV285" s="82"/>
      <c r="BW285" s="82">
        <f t="shared" ref="BW285:BW286" si="2385">SUM(BM285:BV285)</f>
        <v>0</v>
      </c>
      <c r="BX285" s="82">
        <f t="shared" ref="BX285:BX286" si="2386">BW285*E285</f>
        <v>0</v>
      </c>
      <c r="BY285" s="82">
        <f t="shared" si="1829"/>
        <v>0</v>
      </c>
      <c r="BZ285" s="82">
        <f t="shared" ref="BZ285:BZ286" si="2387">BY285*E285</f>
        <v>0</v>
      </c>
      <c r="CA285" s="82"/>
      <c r="CB285" s="82"/>
      <c r="CC285" s="82">
        <f t="shared" ref="CC285:CC286" si="2388">sum(CA285:CB285)</f>
        <v>0</v>
      </c>
      <c r="CD285" s="82">
        <f t="shared" ref="CD285:CD286" si="2389">CC285*E285</f>
        <v>0</v>
      </c>
      <c r="CE285" s="82"/>
      <c r="CF285" s="82"/>
      <c r="CG285" s="82"/>
      <c r="CH285" s="82"/>
      <c r="CI285" s="82">
        <f t="shared" ref="CI285:CI286" si="2390">sum(CE285:CH285)</f>
        <v>0</v>
      </c>
      <c r="CJ285" s="82">
        <f t="shared" ref="CJ285:CJ286" si="2391">CI285*E285</f>
        <v>0</v>
      </c>
      <c r="CK285" s="82">
        <f t="shared" si="1835"/>
        <v>0</v>
      </c>
      <c r="CL285" s="82">
        <f t="shared" ref="CL285:CL286" si="2392">CK285*E285</f>
        <v>0</v>
      </c>
      <c r="CM285" s="82"/>
      <c r="CN285" s="82"/>
      <c r="CO285" s="82">
        <f t="shared" si="1837"/>
        <v>0</v>
      </c>
      <c r="CP285" s="82">
        <f t="shared" si="1838"/>
        <v>0</v>
      </c>
      <c r="CQ285" s="82"/>
      <c r="CR285" s="82"/>
      <c r="CS285" s="82"/>
      <c r="CT285" s="82"/>
      <c r="CU285" s="82">
        <f t="shared" ref="CU285:CU286" si="2393">sum(CQ285:CT285)</f>
        <v>0</v>
      </c>
      <c r="CV285" s="82">
        <f t="shared" ref="CV285:CV286" si="2394">CU285*E285</f>
        <v>0</v>
      </c>
      <c r="CW285" s="82">
        <f t="shared" si="1841"/>
        <v>0</v>
      </c>
      <c r="CX285" s="82">
        <f t="shared" ref="CX285:CX286" si="2395">CW285*E285</f>
        <v>0</v>
      </c>
      <c r="CY285" s="82">
        <f t="shared" si="1843"/>
        <v>0</v>
      </c>
      <c r="CZ285" s="82">
        <f t="shared" si="1844"/>
        <v>0</v>
      </c>
      <c r="DA285" s="82">
        <f t="shared" si="1845"/>
        <v>0</v>
      </c>
      <c r="DB285" s="82">
        <f t="shared" si="1846"/>
        <v>0</v>
      </c>
      <c r="DC285" s="91"/>
      <c r="DD285" s="82"/>
      <c r="DE285" s="82"/>
      <c r="DF285" s="82">
        <f t="shared" ref="DF285:DF286" si="2396">sum(DD285:DE285)</f>
        <v>0</v>
      </c>
      <c r="DG285" s="82">
        <f t="shared" ref="DG285:DG286" si="2397">DF285*E285</f>
        <v>0</v>
      </c>
      <c r="DH285" s="82"/>
      <c r="DI285" s="82"/>
      <c r="DJ285" s="82"/>
      <c r="DK285" s="82"/>
      <c r="DL285" s="82">
        <f t="shared" ref="DL285:DL286" si="2398">sum(DH285:DK285)</f>
        <v>0</v>
      </c>
      <c r="DM285" s="82">
        <f t="shared" ref="DM285:DM286" si="2399">DL285*E285</f>
        <v>0</v>
      </c>
      <c r="DN285" s="82">
        <f t="shared" ref="DN285:DN286" si="2400">DA285+DF285-DL285</f>
        <v>0</v>
      </c>
      <c r="DO285" s="82">
        <f t="shared" ref="DO285:DO286" si="2401">DN285*E285</f>
        <v>0</v>
      </c>
      <c r="DP285" s="82"/>
      <c r="DQ285" s="82"/>
      <c r="DR285" s="82">
        <f t="shared" ref="DR285:DR286" si="2402">sum(DP285:DQ285)</f>
        <v>0</v>
      </c>
      <c r="DS285" s="82">
        <f t="shared" ref="DS285:DS286" si="2403">DR285*AB285</f>
        <v>0</v>
      </c>
      <c r="DT285" s="82"/>
      <c r="DU285" s="82"/>
      <c r="DV285" s="82"/>
      <c r="DW285" s="82"/>
      <c r="DX285" s="82">
        <f t="shared" ref="DX285:DX286" si="2404">sum(DT285:DW285)</f>
        <v>0</v>
      </c>
      <c r="DY285" s="82">
        <f t="shared" ref="DY285:DY286" si="2405">DX285*AB285</f>
        <v>0</v>
      </c>
      <c r="DZ285" s="82">
        <f t="shared" ref="DZ285:DZ286" si="2406">DN285+DR285-DX285</f>
        <v>0</v>
      </c>
      <c r="EA285" s="82">
        <f t="shared" ref="EA285:EA286" si="2407">DZ285*E285</f>
        <v>0</v>
      </c>
      <c r="EB285" s="82"/>
      <c r="EC285" s="82"/>
      <c r="ED285" s="82">
        <f t="shared" ref="ED285:ED286" si="2408">sum(EB285:EC285)</f>
        <v>0</v>
      </c>
      <c r="EE285" s="82">
        <f t="shared" ref="EE285:EE286" si="2409">ED285*AN285</f>
        <v>0</v>
      </c>
      <c r="EF285" s="82"/>
      <c r="EG285" s="82"/>
      <c r="EH285" s="82"/>
      <c r="EI285" s="82"/>
      <c r="EJ285" s="82">
        <f t="shared" ref="EJ285:EJ286" si="2410">sum(EF285:EI285)</f>
        <v>0</v>
      </c>
      <c r="EK285" s="82">
        <f t="shared" ref="EK285:EK286" si="2411">EJ285*AN285</f>
        <v>0</v>
      </c>
      <c r="EL285" s="82">
        <f t="shared" ref="EL285:EL286" si="2412">DZ285+ED285-EJ285</f>
        <v>0</v>
      </c>
      <c r="EM285" s="82">
        <f t="shared" ref="EM285:EM286" si="2413">EL285*E285</f>
        <v>0</v>
      </c>
      <c r="EN285" s="82">
        <f t="shared" ref="EN285:EN286" si="2414">DF285+DR285+ED285</f>
        <v>0</v>
      </c>
      <c r="EO285" s="82">
        <f t="shared" ref="EO285:EO286" si="2415">DL285+DX285+EJ285</f>
        <v>0</v>
      </c>
      <c r="EP285" s="82">
        <f t="shared" ref="EP285:EP286" si="2416">DA285+EN285-EO285</f>
        <v>0</v>
      </c>
      <c r="EQ285" s="82">
        <f t="shared" ref="EQ285:EQ286" si="2417">EP285*E285</f>
        <v>0</v>
      </c>
      <c r="ER285" s="82"/>
      <c r="ES285" s="82"/>
      <c r="ET285" s="82">
        <f t="shared" ref="ET285:ET286" si="2418">sum(ER285:ES285)</f>
        <v>0</v>
      </c>
      <c r="EU285" s="82">
        <f t="shared" ref="EU285:EU286" si="2419">ET285*BE285</f>
        <v>0</v>
      </c>
      <c r="EV285" s="82"/>
      <c r="EW285" s="82"/>
      <c r="EX285" s="82"/>
      <c r="EY285" s="82"/>
      <c r="EZ285" s="82">
        <f t="shared" ref="EZ285:EZ286" si="2420">sum(EV285:EY285)</f>
        <v>0</v>
      </c>
      <c r="FA285" s="82">
        <f t="shared" ref="FA285:FA286" si="2421">EZ285*BE285</f>
        <v>0</v>
      </c>
      <c r="FB285" s="82">
        <f t="shared" ref="FB285:FB286" si="2422">EP285+ET285-EZ285</f>
        <v>0</v>
      </c>
      <c r="FC285" s="82">
        <f t="shared" ref="FC285:FC286" si="2423">FB285*E285</f>
        <v>0</v>
      </c>
      <c r="FD285" s="82"/>
      <c r="FE285" s="82"/>
      <c r="FF285" s="82">
        <f t="shared" ref="FF285:FF286" si="2424">sum(FD285:FE285)</f>
        <v>0</v>
      </c>
      <c r="FG285" s="82">
        <f t="shared" ref="FG285:FG286" si="2425">FF285*BW285</f>
        <v>0</v>
      </c>
      <c r="FH285" s="82"/>
      <c r="FI285" s="82"/>
      <c r="FJ285" s="82"/>
      <c r="FK285" s="82"/>
      <c r="FL285" s="82">
        <f t="shared" ref="FL285:FL286" si="2426">sum(FH285:FK285)</f>
        <v>0</v>
      </c>
      <c r="FM285" s="82">
        <f t="shared" ref="FM285:FM286" si="2427">FL285*BW285</f>
        <v>0</v>
      </c>
      <c r="FN285" s="82">
        <f t="shared" ref="FN285:FN286" si="2428">FB285+FF285-FL285</f>
        <v>0</v>
      </c>
      <c r="FO285" s="82">
        <f t="shared" ref="FO285:FO286" si="2429">FN285*E285</f>
        <v>0</v>
      </c>
      <c r="FP285" s="82"/>
      <c r="FQ285" s="82"/>
      <c r="FR285" s="82">
        <f t="shared" ref="FR285:FR286" si="2430">sum(FP285:FQ285)</f>
        <v>0</v>
      </c>
      <c r="FS285" s="82">
        <f t="shared" ref="FS285:FS286" si="2431">FR285*CI285</f>
        <v>0</v>
      </c>
      <c r="FT285" s="82"/>
      <c r="FU285" s="82"/>
      <c r="FV285" s="82"/>
      <c r="FW285" s="82"/>
      <c r="FX285" s="82">
        <f t="shared" ref="FX285:FX286" si="2432">sum(FT285:FW285)</f>
        <v>0</v>
      </c>
      <c r="FY285" s="82">
        <f t="shared" ref="FY285:FY286" si="2433">FX285*CI285</f>
        <v>0</v>
      </c>
      <c r="FZ285" s="82">
        <f t="shared" ref="FZ285:FZ286" si="2434">FN285+FR285-FX285</f>
        <v>0</v>
      </c>
      <c r="GA285" s="82">
        <f t="shared" ref="GA285:GA286" si="2435">FZ285*E285</f>
        <v>0</v>
      </c>
      <c r="GB285" s="82">
        <f t="shared" ref="GB285:GB286" si="2436">ET285+FF285+FR285</f>
        <v>0</v>
      </c>
      <c r="GC285" s="82">
        <f t="shared" ref="GC285:GC286" si="2437">EZ285+FL285+FX285</f>
        <v>0</v>
      </c>
      <c r="GD285" s="82">
        <f t="shared" ref="GD285:GD286" si="2438">EP285+GB285-GC285</f>
        <v>0</v>
      </c>
      <c r="GE285" s="82">
        <f t="shared" ref="GE285:GE286" si="2439">GD285*E285</f>
        <v>0</v>
      </c>
      <c r="GF285" s="85"/>
    </row>
    <row r="286" ht="30.0" customHeight="1">
      <c r="A286" s="96">
        <v>25.0</v>
      </c>
      <c r="B286" s="58"/>
      <c r="C286" s="58" t="s">
        <v>308</v>
      </c>
      <c r="D286" s="78" t="s">
        <v>309</v>
      </c>
      <c r="E286" s="86">
        <v>36036.0</v>
      </c>
      <c r="F286" s="80" t="s">
        <v>284</v>
      </c>
      <c r="G286" s="81">
        <v>53.0</v>
      </c>
      <c r="H286" s="82">
        <v>1909908.0</v>
      </c>
      <c r="I286" s="82"/>
      <c r="J286" s="82"/>
      <c r="K286" s="82">
        <f t="shared" si="2365"/>
        <v>0</v>
      </c>
      <c r="L286" s="82">
        <f t="shared" si="2366"/>
        <v>0</v>
      </c>
      <c r="M286" s="83">
        <v>5.0</v>
      </c>
      <c r="N286" s="83">
        <v>30.0</v>
      </c>
      <c r="O286" s="83">
        <v>5.0</v>
      </c>
      <c r="P286" s="83">
        <v>3.0</v>
      </c>
      <c r="Q286" s="83">
        <v>5.0</v>
      </c>
      <c r="R286" s="82"/>
      <c r="S286" s="82"/>
      <c r="T286" s="82"/>
      <c r="U286" s="83"/>
      <c r="V286" s="82"/>
      <c r="W286" s="82"/>
      <c r="X286" s="82"/>
      <c r="Y286" s="82"/>
      <c r="Z286" s="83">
        <v>5.0</v>
      </c>
      <c r="AA286" s="82"/>
      <c r="AB286" s="82">
        <f t="shared" si="2367"/>
        <v>53</v>
      </c>
      <c r="AC286" s="82">
        <f t="shared" si="2368"/>
        <v>1909908</v>
      </c>
      <c r="AD286" s="82">
        <f t="shared" si="1807"/>
        <v>0</v>
      </c>
      <c r="AE286" s="82">
        <f t="shared" si="2369"/>
        <v>0</v>
      </c>
      <c r="AF286" s="82"/>
      <c r="AG286" s="82"/>
      <c r="AH286" s="82">
        <f t="shared" si="2370"/>
        <v>0</v>
      </c>
      <c r="AI286" s="82">
        <f t="shared" si="2371"/>
        <v>0</v>
      </c>
      <c r="AJ286" s="82"/>
      <c r="AK286" s="82"/>
      <c r="AL286" s="82"/>
      <c r="AM286" s="82"/>
      <c r="AN286" s="82">
        <f t="shared" si="2372"/>
        <v>0</v>
      </c>
      <c r="AO286" s="82">
        <f t="shared" si="2373"/>
        <v>0</v>
      </c>
      <c r="AP286" s="82">
        <f t="shared" si="1813"/>
        <v>0</v>
      </c>
      <c r="AQ286" s="82">
        <f t="shared" si="2374"/>
        <v>0</v>
      </c>
      <c r="AR286" s="82"/>
      <c r="AS286" s="82"/>
      <c r="AT286" s="82"/>
      <c r="AU286" s="82">
        <f t="shared" si="2375"/>
        <v>0</v>
      </c>
      <c r="AV286" s="82">
        <f t="shared" si="2376"/>
        <v>0</v>
      </c>
      <c r="AW286" s="82"/>
      <c r="AX286" s="82"/>
      <c r="AY286" s="82"/>
      <c r="AZ286" s="82"/>
      <c r="BA286" s="82">
        <f t="shared" si="2377"/>
        <v>0</v>
      </c>
      <c r="BB286" s="82">
        <f t="shared" si="2378"/>
        <v>0</v>
      </c>
      <c r="BC286" s="82">
        <f t="shared" si="1819"/>
        <v>0</v>
      </c>
      <c r="BD286" s="82">
        <f t="shared" si="2379"/>
        <v>0</v>
      </c>
      <c r="BE286" s="82">
        <f t="shared" si="2380"/>
        <v>0</v>
      </c>
      <c r="BF286" s="82">
        <f t="shared" si="2381"/>
        <v>53</v>
      </c>
      <c r="BG286" s="82">
        <f t="shared" si="1823"/>
        <v>0</v>
      </c>
      <c r="BH286" s="82">
        <f t="shared" si="2382"/>
        <v>0</v>
      </c>
      <c r="BI286" s="82"/>
      <c r="BJ286" s="83"/>
      <c r="BK286" s="82">
        <f t="shared" si="2383"/>
        <v>0</v>
      </c>
      <c r="BL286" s="82">
        <f t="shared" si="2384"/>
        <v>0</v>
      </c>
      <c r="BM286" s="83"/>
      <c r="BN286" s="83"/>
      <c r="BO286" s="82"/>
      <c r="BP286" s="82"/>
      <c r="BQ286" s="83"/>
      <c r="BR286" s="83"/>
      <c r="BS286" s="82"/>
      <c r="BT286" s="82"/>
      <c r="BU286" s="82"/>
      <c r="BV286" s="83"/>
      <c r="BW286" s="82">
        <f t="shared" si="2385"/>
        <v>0</v>
      </c>
      <c r="BX286" s="82">
        <f t="shared" si="2386"/>
        <v>0</v>
      </c>
      <c r="BY286" s="82">
        <f t="shared" si="1829"/>
        <v>0</v>
      </c>
      <c r="BZ286" s="82">
        <f t="shared" si="2387"/>
        <v>0</v>
      </c>
      <c r="CA286" s="82"/>
      <c r="CB286" s="82"/>
      <c r="CC286" s="82">
        <f t="shared" si="2388"/>
        <v>0</v>
      </c>
      <c r="CD286" s="82">
        <f t="shared" si="2389"/>
        <v>0</v>
      </c>
      <c r="CE286" s="83"/>
      <c r="CF286" s="82"/>
      <c r="CG286" s="82"/>
      <c r="CH286" s="82"/>
      <c r="CI286" s="82">
        <f t="shared" si="2390"/>
        <v>0</v>
      </c>
      <c r="CJ286" s="82">
        <f t="shared" si="2391"/>
        <v>0</v>
      </c>
      <c r="CK286" s="82">
        <f t="shared" si="1835"/>
        <v>0</v>
      </c>
      <c r="CL286" s="82">
        <f t="shared" si="2392"/>
        <v>0</v>
      </c>
      <c r="CM286" s="82"/>
      <c r="CN286" s="82"/>
      <c r="CO286" s="82">
        <f t="shared" si="1837"/>
        <v>0</v>
      </c>
      <c r="CP286" s="82">
        <f t="shared" si="1838"/>
        <v>0</v>
      </c>
      <c r="CQ286" s="82"/>
      <c r="CR286" s="82"/>
      <c r="CS286" s="82"/>
      <c r="CT286" s="82"/>
      <c r="CU286" s="82">
        <f t="shared" si="2393"/>
        <v>0</v>
      </c>
      <c r="CV286" s="82">
        <f t="shared" si="2394"/>
        <v>0</v>
      </c>
      <c r="CW286" s="82">
        <f t="shared" si="1841"/>
        <v>0</v>
      </c>
      <c r="CX286" s="82">
        <f t="shared" si="2395"/>
        <v>0</v>
      </c>
      <c r="CY286" s="82">
        <f t="shared" si="1843"/>
        <v>0</v>
      </c>
      <c r="CZ286" s="82">
        <f t="shared" si="1844"/>
        <v>0</v>
      </c>
      <c r="DA286" s="82">
        <f t="shared" si="1845"/>
        <v>0</v>
      </c>
      <c r="DB286" s="82">
        <f t="shared" si="1846"/>
        <v>0</v>
      </c>
      <c r="DC286" s="91"/>
      <c r="DD286" s="82"/>
      <c r="DE286" s="82"/>
      <c r="DF286" s="82">
        <f t="shared" si="2396"/>
        <v>0</v>
      </c>
      <c r="DG286" s="82">
        <f t="shared" si="2397"/>
        <v>0</v>
      </c>
      <c r="DH286" s="82"/>
      <c r="DI286" s="82"/>
      <c r="DJ286" s="82"/>
      <c r="DK286" s="82"/>
      <c r="DL286" s="82">
        <f t="shared" si="2398"/>
        <v>0</v>
      </c>
      <c r="DM286" s="82">
        <f t="shared" si="2399"/>
        <v>0</v>
      </c>
      <c r="DN286" s="82">
        <f t="shared" si="2400"/>
        <v>0</v>
      </c>
      <c r="DO286" s="82">
        <f t="shared" si="2401"/>
        <v>0</v>
      </c>
      <c r="DP286" s="82"/>
      <c r="DQ286" s="82"/>
      <c r="DR286" s="82">
        <f t="shared" si="2402"/>
        <v>0</v>
      </c>
      <c r="DS286" s="82">
        <f t="shared" si="2403"/>
        <v>0</v>
      </c>
      <c r="DT286" s="82"/>
      <c r="DU286" s="82"/>
      <c r="DV286" s="82"/>
      <c r="DW286" s="82"/>
      <c r="DX286" s="82">
        <f t="shared" si="2404"/>
        <v>0</v>
      </c>
      <c r="DY286" s="82">
        <f t="shared" si="2405"/>
        <v>0</v>
      </c>
      <c r="DZ286" s="82">
        <f t="shared" si="2406"/>
        <v>0</v>
      </c>
      <c r="EA286" s="82">
        <f t="shared" si="2407"/>
        <v>0</v>
      </c>
      <c r="EB286" s="82"/>
      <c r="EC286" s="82"/>
      <c r="ED286" s="82">
        <f t="shared" si="2408"/>
        <v>0</v>
      </c>
      <c r="EE286" s="82">
        <f t="shared" si="2409"/>
        <v>0</v>
      </c>
      <c r="EF286" s="82"/>
      <c r="EG286" s="82"/>
      <c r="EH286" s="82"/>
      <c r="EI286" s="82"/>
      <c r="EJ286" s="82">
        <f t="shared" si="2410"/>
        <v>0</v>
      </c>
      <c r="EK286" s="82">
        <f t="shared" si="2411"/>
        <v>0</v>
      </c>
      <c r="EL286" s="82">
        <f t="shared" si="2412"/>
        <v>0</v>
      </c>
      <c r="EM286" s="82">
        <f t="shared" si="2413"/>
        <v>0</v>
      </c>
      <c r="EN286" s="82">
        <f t="shared" si="2414"/>
        <v>0</v>
      </c>
      <c r="EO286" s="82">
        <f t="shared" si="2415"/>
        <v>0</v>
      </c>
      <c r="EP286" s="82">
        <f t="shared" si="2416"/>
        <v>0</v>
      </c>
      <c r="EQ286" s="82">
        <f t="shared" si="2417"/>
        <v>0</v>
      </c>
      <c r="ER286" s="82"/>
      <c r="ES286" s="82"/>
      <c r="ET286" s="82">
        <f t="shared" si="2418"/>
        <v>0</v>
      </c>
      <c r="EU286" s="82">
        <f t="shared" si="2419"/>
        <v>0</v>
      </c>
      <c r="EV286" s="82"/>
      <c r="EW286" s="82"/>
      <c r="EX286" s="82"/>
      <c r="EY286" s="82"/>
      <c r="EZ286" s="82">
        <f t="shared" si="2420"/>
        <v>0</v>
      </c>
      <c r="FA286" s="82">
        <f t="shared" si="2421"/>
        <v>0</v>
      </c>
      <c r="FB286" s="82">
        <f t="shared" si="2422"/>
        <v>0</v>
      </c>
      <c r="FC286" s="82">
        <f t="shared" si="2423"/>
        <v>0</v>
      </c>
      <c r="FD286" s="82"/>
      <c r="FE286" s="82"/>
      <c r="FF286" s="82">
        <f t="shared" si="2424"/>
        <v>0</v>
      </c>
      <c r="FG286" s="82">
        <f t="shared" si="2425"/>
        <v>0</v>
      </c>
      <c r="FH286" s="82"/>
      <c r="FI286" s="82"/>
      <c r="FJ286" s="82"/>
      <c r="FK286" s="82"/>
      <c r="FL286" s="82">
        <f t="shared" si="2426"/>
        <v>0</v>
      </c>
      <c r="FM286" s="82">
        <f t="shared" si="2427"/>
        <v>0</v>
      </c>
      <c r="FN286" s="82">
        <f t="shared" si="2428"/>
        <v>0</v>
      </c>
      <c r="FO286" s="82">
        <f t="shared" si="2429"/>
        <v>0</v>
      </c>
      <c r="FP286" s="82"/>
      <c r="FQ286" s="82"/>
      <c r="FR286" s="82">
        <f t="shared" si="2430"/>
        <v>0</v>
      </c>
      <c r="FS286" s="82">
        <f t="shared" si="2431"/>
        <v>0</v>
      </c>
      <c r="FT286" s="82"/>
      <c r="FU286" s="82"/>
      <c r="FV286" s="82"/>
      <c r="FW286" s="82"/>
      <c r="FX286" s="82">
        <f t="shared" si="2432"/>
        <v>0</v>
      </c>
      <c r="FY286" s="82">
        <f t="shared" si="2433"/>
        <v>0</v>
      </c>
      <c r="FZ286" s="82">
        <f t="shared" si="2434"/>
        <v>0</v>
      </c>
      <c r="GA286" s="82">
        <f t="shared" si="2435"/>
        <v>0</v>
      </c>
      <c r="GB286" s="82">
        <f t="shared" si="2436"/>
        <v>0</v>
      </c>
      <c r="GC286" s="82">
        <f t="shared" si="2437"/>
        <v>0</v>
      </c>
      <c r="GD286" s="82">
        <f t="shared" si="2438"/>
        <v>0</v>
      </c>
      <c r="GE286" s="82">
        <f t="shared" si="2439"/>
        <v>0</v>
      </c>
      <c r="GF286" s="85"/>
    </row>
    <row r="287" ht="30.0" customHeight="1">
      <c r="A287" s="96"/>
      <c r="B287" s="58"/>
      <c r="C287" s="58"/>
      <c r="D287" s="99"/>
      <c r="E287" s="83">
        <v>49950.0</v>
      </c>
      <c r="F287" s="80" t="s">
        <v>281</v>
      </c>
      <c r="G287" s="90">
        <v>0.0</v>
      </c>
      <c r="H287" s="82"/>
      <c r="I287" s="82"/>
      <c r="J287" s="82"/>
      <c r="K287" s="82"/>
      <c r="L287" s="82"/>
      <c r="M287" s="83"/>
      <c r="N287" s="83"/>
      <c r="O287" s="82"/>
      <c r="P287" s="83"/>
      <c r="Q287" s="83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>
        <f t="shared" si="1807"/>
        <v>0</v>
      </c>
      <c r="AE287" s="82">
        <f>AD287*E286</f>
        <v>0</v>
      </c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>
        <f t="shared" si="1813"/>
        <v>0</v>
      </c>
      <c r="AQ287" s="82">
        <f>AP287*E286</f>
        <v>0</v>
      </c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>
        <f t="shared" si="1819"/>
        <v>0</v>
      </c>
      <c r="BD287" s="82">
        <f>BC287*E286</f>
        <v>0</v>
      </c>
      <c r="BE287" s="82"/>
      <c r="BF287" s="82"/>
      <c r="BG287" s="82">
        <f t="shared" si="1823"/>
        <v>0</v>
      </c>
      <c r="BH287" s="82">
        <f>BG287*E286</f>
        <v>0</v>
      </c>
      <c r="BI287" s="82"/>
      <c r="BJ287" s="83"/>
      <c r="BK287" s="82"/>
      <c r="BL287" s="82"/>
      <c r="BM287" s="82"/>
      <c r="BN287" s="82"/>
      <c r="BO287" s="82"/>
      <c r="BP287" s="83"/>
      <c r="BQ287" s="82"/>
      <c r="BR287" s="82"/>
      <c r="BS287" s="83"/>
      <c r="BT287" s="82"/>
      <c r="BU287" s="82"/>
      <c r="BV287" s="82"/>
      <c r="BW287" s="82"/>
      <c r="BX287" s="82"/>
      <c r="BY287" s="82">
        <f t="shared" si="1829"/>
        <v>0</v>
      </c>
      <c r="BZ287" s="82">
        <f>BY287*E286</f>
        <v>0</v>
      </c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>
        <f t="shared" si="1835"/>
        <v>0</v>
      </c>
      <c r="CL287" s="82">
        <f>CK287*E286</f>
        <v>0</v>
      </c>
      <c r="CM287" s="83">
        <v>100.0</v>
      </c>
      <c r="CN287" s="82"/>
      <c r="CO287" s="82">
        <f t="shared" si="1837"/>
        <v>100</v>
      </c>
      <c r="CP287" s="82">
        <f t="shared" si="1838"/>
        <v>4995000</v>
      </c>
      <c r="CQ287" s="82"/>
      <c r="CR287" s="82"/>
      <c r="CS287" s="82"/>
      <c r="CT287" s="82"/>
      <c r="CU287" s="82"/>
      <c r="CV287" s="82"/>
      <c r="CW287" s="82">
        <f t="shared" si="1841"/>
        <v>100</v>
      </c>
      <c r="CX287" s="82">
        <f>(CO287*E287)+(CK287*E286)</f>
        <v>4995000</v>
      </c>
      <c r="CY287" s="82">
        <f t="shared" si="1843"/>
        <v>100</v>
      </c>
      <c r="CZ287" s="82">
        <f t="shared" si="1844"/>
        <v>0</v>
      </c>
      <c r="DA287" s="82">
        <f t="shared" si="1845"/>
        <v>100</v>
      </c>
      <c r="DB287" s="82">
        <f t="shared" si="1846"/>
        <v>4995000</v>
      </c>
      <c r="DC287" s="91"/>
      <c r="DD287" s="82"/>
      <c r="DE287" s="82"/>
      <c r="DF287" s="82"/>
      <c r="DG287" s="82"/>
      <c r="DH287" s="82"/>
      <c r="DI287" s="82"/>
      <c r="DJ287" s="82"/>
      <c r="DK287" s="82"/>
      <c r="DL287" s="82"/>
      <c r="DM287" s="82"/>
      <c r="DN287" s="82"/>
      <c r="DO287" s="82"/>
      <c r="DP287" s="82"/>
      <c r="DQ287" s="82"/>
      <c r="DR287" s="82"/>
      <c r="DS287" s="82"/>
      <c r="DT287" s="82"/>
      <c r="DU287" s="82"/>
      <c r="DV287" s="82"/>
      <c r="DW287" s="82"/>
      <c r="DX287" s="82"/>
      <c r="DY287" s="82"/>
      <c r="DZ287" s="82"/>
      <c r="EA287" s="82"/>
      <c r="EB287" s="82"/>
      <c r="EC287" s="82"/>
      <c r="ED287" s="82"/>
      <c r="EE287" s="82"/>
      <c r="EF287" s="82"/>
      <c r="EG287" s="82"/>
      <c r="EH287" s="82"/>
      <c r="EI287" s="82"/>
      <c r="EJ287" s="82"/>
      <c r="EK287" s="82"/>
      <c r="EL287" s="82"/>
      <c r="EM287" s="82"/>
      <c r="EN287" s="82"/>
      <c r="EO287" s="82"/>
      <c r="EP287" s="82"/>
      <c r="EQ287" s="82"/>
      <c r="ER287" s="82"/>
      <c r="ES287" s="82"/>
      <c r="ET287" s="82"/>
      <c r="EU287" s="82"/>
      <c r="EV287" s="82"/>
      <c r="EW287" s="82"/>
      <c r="EX287" s="82"/>
      <c r="EY287" s="82"/>
      <c r="EZ287" s="82"/>
      <c r="FA287" s="82"/>
      <c r="FB287" s="82"/>
      <c r="FC287" s="82"/>
      <c r="FD287" s="82"/>
      <c r="FE287" s="82"/>
      <c r="FF287" s="82"/>
      <c r="FG287" s="82"/>
      <c r="FH287" s="82"/>
      <c r="FI287" s="82"/>
      <c r="FJ287" s="82"/>
      <c r="FK287" s="82"/>
      <c r="FL287" s="82"/>
      <c r="FM287" s="82"/>
      <c r="FN287" s="82"/>
      <c r="FO287" s="82"/>
      <c r="FP287" s="82"/>
      <c r="FQ287" s="82"/>
      <c r="FR287" s="82"/>
      <c r="FS287" s="82"/>
      <c r="FT287" s="82"/>
      <c r="FU287" s="82"/>
      <c r="FV287" s="82"/>
      <c r="FW287" s="82"/>
      <c r="FX287" s="82"/>
      <c r="FY287" s="82"/>
      <c r="FZ287" s="82"/>
      <c r="GA287" s="82"/>
      <c r="GB287" s="82"/>
      <c r="GC287" s="82"/>
      <c r="GD287" s="82"/>
      <c r="GE287" s="82"/>
      <c r="GF287" s="85"/>
    </row>
    <row r="288" ht="30.0" customHeight="1">
      <c r="A288" s="76">
        <v>26.0</v>
      </c>
      <c r="B288" s="77"/>
      <c r="C288" s="77" t="s">
        <v>310</v>
      </c>
      <c r="D288" s="99" t="s">
        <v>91</v>
      </c>
      <c r="E288" s="86">
        <v>12613.0</v>
      </c>
      <c r="F288" s="80" t="s">
        <v>284</v>
      </c>
      <c r="G288" s="81">
        <v>5.0</v>
      </c>
      <c r="H288" s="82">
        <v>63065.0</v>
      </c>
      <c r="I288" s="82"/>
      <c r="J288" s="82"/>
      <c r="K288" s="82">
        <f t="shared" ref="K288:K289" si="2440">SUM(I288:J288)</f>
        <v>0</v>
      </c>
      <c r="L288" s="82">
        <f t="shared" ref="L288:L289" si="2441">K288*E288</f>
        <v>0</v>
      </c>
      <c r="M288" s="83">
        <v>2.0</v>
      </c>
      <c r="N288" s="83">
        <v>3.0</v>
      </c>
      <c r="O288" s="82"/>
      <c r="P288" s="83"/>
      <c r="Q288" s="83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>
        <f t="shared" ref="AB288:AB289" si="2442">SUM(M288:AA288)</f>
        <v>5</v>
      </c>
      <c r="AC288" s="82">
        <f t="shared" ref="AC288:AC289" si="2443">AB288*E288</f>
        <v>63065</v>
      </c>
      <c r="AD288" s="82">
        <f t="shared" si="1807"/>
        <v>0</v>
      </c>
      <c r="AE288" s="82">
        <f t="shared" ref="AE288:AE289" si="2444">AD288*E288</f>
        <v>0</v>
      </c>
      <c r="AF288" s="82"/>
      <c r="AG288" s="82"/>
      <c r="AH288" s="82">
        <f t="shared" ref="AH288:AH289" si="2445">SUM(AF288:AG288)</f>
        <v>0</v>
      </c>
      <c r="AI288" s="82">
        <f t="shared" ref="AI288:AI289" si="2446">AH288*E288</f>
        <v>0</v>
      </c>
      <c r="AJ288" s="82"/>
      <c r="AK288" s="82"/>
      <c r="AL288" s="82"/>
      <c r="AM288" s="82"/>
      <c r="AN288" s="82">
        <f t="shared" ref="AN288:AN289" si="2447">SUM(AJ288:AM288)</f>
        <v>0</v>
      </c>
      <c r="AO288" s="82">
        <f t="shared" ref="AO288:AO289" si="2448">AN288*E288</f>
        <v>0</v>
      </c>
      <c r="AP288" s="82">
        <f t="shared" si="1813"/>
        <v>0</v>
      </c>
      <c r="AQ288" s="82">
        <f t="shared" ref="AQ288:AQ289" si="2449">AP288*E288</f>
        <v>0</v>
      </c>
      <c r="AR288" s="82"/>
      <c r="AS288" s="82"/>
      <c r="AT288" s="82"/>
      <c r="AU288" s="82">
        <f t="shared" ref="AU288:AU289" si="2450">SUM(AS288:AT288)</f>
        <v>0</v>
      </c>
      <c r="AV288" s="82">
        <f t="shared" ref="AV288:AV289" si="2451">AU288*AB288</f>
        <v>0</v>
      </c>
      <c r="AW288" s="82"/>
      <c r="AX288" s="82"/>
      <c r="AY288" s="82"/>
      <c r="AZ288" s="82"/>
      <c r="BA288" s="82">
        <f t="shared" ref="BA288:BA289" si="2452">SUM(AW288:AZ288)</f>
        <v>0</v>
      </c>
      <c r="BB288" s="82">
        <f t="shared" ref="BB288:BB289" si="2453">BA288*AB288</f>
        <v>0</v>
      </c>
      <c r="BC288" s="82">
        <f t="shared" si="1819"/>
        <v>0</v>
      </c>
      <c r="BD288" s="82">
        <f t="shared" ref="BD288:BD289" si="2454">BC288*E288</f>
        <v>0</v>
      </c>
      <c r="BE288" s="82">
        <f t="shared" ref="BE288:BE289" si="2455">K288+AH288+AU288</f>
        <v>0</v>
      </c>
      <c r="BF288" s="82">
        <f t="shared" ref="BF288:BF289" si="2456">AB288+AN288+BA288</f>
        <v>5</v>
      </c>
      <c r="BG288" s="82">
        <f t="shared" si="1823"/>
        <v>0</v>
      </c>
      <c r="BH288" s="82">
        <f t="shared" ref="BH288:BH289" si="2457">BG288*E288</f>
        <v>0</v>
      </c>
      <c r="BI288" s="82"/>
      <c r="BJ288" s="83"/>
      <c r="BK288" s="82">
        <f t="shared" ref="BK288:BK289" si="2458">SUM(BI288:BJ288)</f>
        <v>0</v>
      </c>
      <c r="BL288" s="82">
        <f t="shared" ref="BL288:BL289" si="2459">BK288*E288</f>
        <v>0</v>
      </c>
      <c r="BM288" s="82"/>
      <c r="BN288" s="82"/>
      <c r="BO288" s="82"/>
      <c r="BP288" s="82"/>
      <c r="BQ288" s="82"/>
      <c r="BR288" s="82"/>
      <c r="BS288" s="82"/>
      <c r="BT288" s="82"/>
      <c r="BU288" s="82"/>
      <c r="BV288" s="82"/>
      <c r="BW288" s="82">
        <f t="shared" ref="BW288:BW289" si="2460">SUM(BM288:BV288)</f>
        <v>0</v>
      </c>
      <c r="BX288" s="82">
        <f t="shared" ref="BX288:BX289" si="2461">BW288*E288</f>
        <v>0</v>
      </c>
      <c r="BY288" s="82">
        <f t="shared" si="1829"/>
        <v>0</v>
      </c>
      <c r="BZ288" s="82">
        <f t="shared" ref="BZ288:BZ289" si="2462">BY288*E288</f>
        <v>0</v>
      </c>
      <c r="CA288" s="82"/>
      <c r="CB288" s="82"/>
      <c r="CC288" s="82">
        <f t="shared" ref="CC288:CC289" si="2463">sum(CA288:CB288)</f>
        <v>0</v>
      </c>
      <c r="CD288" s="82">
        <f t="shared" ref="CD288:CD289" si="2464">CC288*E288</f>
        <v>0</v>
      </c>
      <c r="CE288" s="82"/>
      <c r="CF288" s="82"/>
      <c r="CG288" s="82"/>
      <c r="CH288" s="82"/>
      <c r="CI288" s="82">
        <f t="shared" ref="CI288:CI289" si="2465">sum(CE288:CH288)</f>
        <v>0</v>
      </c>
      <c r="CJ288" s="82">
        <f t="shared" ref="CJ288:CJ289" si="2466">CI288*E288</f>
        <v>0</v>
      </c>
      <c r="CK288" s="82">
        <f t="shared" si="1835"/>
        <v>0</v>
      </c>
      <c r="CL288" s="82">
        <f t="shared" ref="CL288:CL289" si="2467">CK288*E288</f>
        <v>0</v>
      </c>
      <c r="CM288" s="82"/>
      <c r="CN288" s="82"/>
      <c r="CO288" s="82">
        <f t="shared" si="1837"/>
        <v>0</v>
      </c>
      <c r="CP288" s="82">
        <f t="shared" si="1838"/>
        <v>0</v>
      </c>
      <c r="CQ288" s="82"/>
      <c r="CR288" s="82"/>
      <c r="CS288" s="82"/>
      <c r="CT288" s="82"/>
      <c r="CU288" s="82">
        <f t="shared" ref="CU288:CU289" si="2468">sum(CQ288:CT288)</f>
        <v>0</v>
      </c>
      <c r="CV288" s="82">
        <f t="shared" ref="CV288:CV289" si="2469">CU288*E288</f>
        <v>0</v>
      </c>
      <c r="CW288" s="82">
        <f t="shared" si="1841"/>
        <v>0</v>
      </c>
      <c r="CX288" s="82">
        <f t="shared" ref="CX288:CX289" si="2470">CW288*E288</f>
        <v>0</v>
      </c>
      <c r="CY288" s="82">
        <f t="shared" si="1843"/>
        <v>0</v>
      </c>
      <c r="CZ288" s="82">
        <f t="shared" si="1844"/>
        <v>0</v>
      </c>
      <c r="DA288" s="82">
        <f t="shared" si="1845"/>
        <v>0</v>
      </c>
      <c r="DB288" s="82">
        <f t="shared" si="1846"/>
        <v>0</v>
      </c>
      <c r="DC288" s="91"/>
      <c r="DD288" s="82"/>
      <c r="DE288" s="82"/>
      <c r="DF288" s="82">
        <f t="shared" ref="DF288:DF289" si="2471">sum(DD288:DE288)</f>
        <v>0</v>
      </c>
      <c r="DG288" s="82">
        <f t="shared" ref="DG288:DG289" si="2472">DF288*E288</f>
        <v>0</v>
      </c>
      <c r="DH288" s="82"/>
      <c r="DI288" s="82"/>
      <c r="DJ288" s="82"/>
      <c r="DK288" s="82"/>
      <c r="DL288" s="82">
        <f t="shared" ref="DL288:DL289" si="2473">sum(DH288:DK288)</f>
        <v>0</v>
      </c>
      <c r="DM288" s="82">
        <f t="shared" ref="DM288:DM289" si="2474">DL288*E288</f>
        <v>0</v>
      </c>
      <c r="DN288" s="82">
        <f t="shared" ref="DN288:DN289" si="2475">DA288+DF288-DL288</f>
        <v>0</v>
      </c>
      <c r="DO288" s="82">
        <f t="shared" ref="DO288:DO289" si="2476">DN288*E288</f>
        <v>0</v>
      </c>
      <c r="DP288" s="82"/>
      <c r="DQ288" s="82"/>
      <c r="DR288" s="82">
        <f t="shared" ref="DR288:DR289" si="2477">sum(DP288:DQ288)</f>
        <v>0</v>
      </c>
      <c r="DS288" s="82">
        <f t="shared" ref="DS288:DS289" si="2478">DR288*AB288</f>
        <v>0</v>
      </c>
      <c r="DT288" s="82"/>
      <c r="DU288" s="82"/>
      <c r="DV288" s="82"/>
      <c r="DW288" s="82"/>
      <c r="DX288" s="82">
        <f t="shared" ref="DX288:DX289" si="2479">sum(DT288:DW288)</f>
        <v>0</v>
      </c>
      <c r="DY288" s="82">
        <f t="shared" ref="DY288:DY289" si="2480">DX288*AB288</f>
        <v>0</v>
      </c>
      <c r="DZ288" s="82">
        <f t="shared" ref="DZ288:DZ289" si="2481">DN288+DR288-DX288</f>
        <v>0</v>
      </c>
      <c r="EA288" s="82">
        <f t="shared" ref="EA288:EA289" si="2482">DZ288*E288</f>
        <v>0</v>
      </c>
      <c r="EB288" s="82"/>
      <c r="EC288" s="82"/>
      <c r="ED288" s="82">
        <f t="shared" ref="ED288:ED289" si="2483">sum(EB288:EC288)</f>
        <v>0</v>
      </c>
      <c r="EE288" s="82">
        <f t="shared" ref="EE288:EE289" si="2484">ED288*AN288</f>
        <v>0</v>
      </c>
      <c r="EF288" s="82"/>
      <c r="EG288" s="82"/>
      <c r="EH288" s="82"/>
      <c r="EI288" s="82"/>
      <c r="EJ288" s="82">
        <f t="shared" ref="EJ288:EJ289" si="2485">sum(EF288:EI288)</f>
        <v>0</v>
      </c>
      <c r="EK288" s="82">
        <f t="shared" ref="EK288:EK289" si="2486">EJ288*AN288</f>
        <v>0</v>
      </c>
      <c r="EL288" s="82">
        <f t="shared" ref="EL288:EL289" si="2487">DZ288+ED288-EJ288</f>
        <v>0</v>
      </c>
      <c r="EM288" s="82">
        <f t="shared" ref="EM288:EM289" si="2488">EL288*E288</f>
        <v>0</v>
      </c>
      <c r="EN288" s="82">
        <f t="shared" ref="EN288:EN289" si="2489">DF288+DR288+ED288</f>
        <v>0</v>
      </c>
      <c r="EO288" s="82">
        <f t="shared" ref="EO288:EO289" si="2490">DL288+DX288+EJ288</f>
        <v>0</v>
      </c>
      <c r="EP288" s="82">
        <f t="shared" ref="EP288:EP289" si="2491">DA288+EN288-EO288</f>
        <v>0</v>
      </c>
      <c r="EQ288" s="82">
        <f t="shared" ref="EQ288:EQ289" si="2492">EP288*E288</f>
        <v>0</v>
      </c>
      <c r="ER288" s="82"/>
      <c r="ES288" s="82"/>
      <c r="ET288" s="82">
        <f t="shared" ref="ET288:ET289" si="2493">sum(ER288:ES288)</f>
        <v>0</v>
      </c>
      <c r="EU288" s="82">
        <f t="shared" ref="EU288:EU289" si="2494">ET288*BE288</f>
        <v>0</v>
      </c>
      <c r="EV288" s="82"/>
      <c r="EW288" s="82"/>
      <c r="EX288" s="82"/>
      <c r="EY288" s="82"/>
      <c r="EZ288" s="82">
        <f t="shared" ref="EZ288:EZ289" si="2495">sum(EV288:EY288)</f>
        <v>0</v>
      </c>
      <c r="FA288" s="82">
        <f t="shared" ref="FA288:FA289" si="2496">EZ288*BE288</f>
        <v>0</v>
      </c>
      <c r="FB288" s="82">
        <f t="shared" ref="FB288:FB289" si="2497">EP288+ET288-EZ288</f>
        <v>0</v>
      </c>
      <c r="FC288" s="82">
        <f t="shared" ref="FC288:FC289" si="2498">FB288*E288</f>
        <v>0</v>
      </c>
      <c r="FD288" s="82"/>
      <c r="FE288" s="82"/>
      <c r="FF288" s="82">
        <f t="shared" ref="FF288:FF289" si="2499">sum(FD288:FE288)</f>
        <v>0</v>
      </c>
      <c r="FG288" s="82">
        <f t="shared" ref="FG288:FG289" si="2500">FF288*BW288</f>
        <v>0</v>
      </c>
      <c r="FH288" s="82"/>
      <c r="FI288" s="82"/>
      <c r="FJ288" s="82"/>
      <c r="FK288" s="82"/>
      <c r="FL288" s="82">
        <f t="shared" ref="FL288:FL289" si="2501">sum(FH288:FK288)</f>
        <v>0</v>
      </c>
      <c r="FM288" s="82">
        <f t="shared" ref="FM288:FM289" si="2502">FL288*BW288</f>
        <v>0</v>
      </c>
      <c r="FN288" s="82">
        <f t="shared" ref="FN288:FN289" si="2503">FB288+FF288-FL288</f>
        <v>0</v>
      </c>
      <c r="FO288" s="82">
        <f t="shared" ref="FO288:FO289" si="2504">FN288*E288</f>
        <v>0</v>
      </c>
      <c r="FP288" s="82"/>
      <c r="FQ288" s="82"/>
      <c r="FR288" s="82">
        <f t="shared" ref="FR288:FR289" si="2505">sum(FP288:FQ288)</f>
        <v>0</v>
      </c>
      <c r="FS288" s="82">
        <f t="shared" ref="FS288:FS289" si="2506">FR288*CI288</f>
        <v>0</v>
      </c>
      <c r="FT288" s="82"/>
      <c r="FU288" s="82"/>
      <c r="FV288" s="82"/>
      <c r="FW288" s="82"/>
      <c r="FX288" s="82">
        <f t="shared" ref="FX288:FX289" si="2507">sum(FT288:FW288)</f>
        <v>0</v>
      </c>
      <c r="FY288" s="82">
        <f t="shared" ref="FY288:FY289" si="2508">FX288*CI288</f>
        <v>0</v>
      </c>
      <c r="FZ288" s="82">
        <f t="shared" ref="FZ288:FZ289" si="2509">FN288+FR288-FX288</f>
        <v>0</v>
      </c>
      <c r="GA288" s="82">
        <f t="shared" ref="GA288:GA289" si="2510">FZ288*E288</f>
        <v>0</v>
      </c>
      <c r="GB288" s="82">
        <f t="shared" ref="GB288:GB289" si="2511">ET288+FF288+FR288</f>
        <v>0</v>
      </c>
      <c r="GC288" s="82">
        <f t="shared" ref="GC288:GC289" si="2512">EZ288+FL288+FX288</f>
        <v>0</v>
      </c>
      <c r="GD288" s="82">
        <f t="shared" ref="GD288:GD289" si="2513">EP288+GB288-GC288</f>
        <v>0</v>
      </c>
      <c r="GE288" s="82">
        <f t="shared" ref="GE288:GE289" si="2514">GD288*E288</f>
        <v>0</v>
      </c>
      <c r="GF288" s="85"/>
    </row>
    <row r="289" ht="30.0" customHeight="1">
      <c r="A289" s="50"/>
      <c r="B289" s="50"/>
      <c r="C289" s="50"/>
      <c r="D289" s="99" t="s">
        <v>91</v>
      </c>
      <c r="E289" s="86">
        <v>12612.93</v>
      </c>
      <c r="F289" s="80" t="s">
        <v>280</v>
      </c>
      <c r="G289" s="81">
        <v>85.0</v>
      </c>
      <c r="H289" s="82">
        <v>1072099.05</v>
      </c>
      <c r="I289" s="82"/>
      <c r="J289" s="82"/>
      <c r="K289" s="82">
        <f t="shared" si="2440"/>
        <v>0</v>
      </c>
      <c r="L289" s="82">
        <f t="shared" si="2441"/>
        <v>0</v>
      </c>
      <c r="M289" s="82"/>
      <c r="N289" s="83">
        <v>7.0</v>
      </c>
      <c r="O289" s="82"/>
      <c r="P289" s="83">
        <v>2.0</v>
      </c>
      <c r="Q289" s="83">
        <v>2.0</v>
      </c>
      <c r="R289" s="83"/>
      <c r="S289" s="83">
        <v>2.0</v>
      </c>
      <c r="T289" s="82"/>
      <c r="U289" s="83">
        <v>4.0</v>
      </c>
      <c r="V289" s="83">
        <v>2.0</v>
      </c>
      <c r="W289" s="82"/>
      <c r="X289" s="82"/>
      <c r="Y289" s="82"/>
      <c r="Z289" s="83">
        <v>4.0</v>
      </c>
      <c r="AA289" s="82"/>
      <c r="AB289" s="82">
        <f t="shared" si="2442"/>
        <v>23</v>
      </c>
      <c r="AC289" s="82">
        <f t="shared" si="2443"/>
        <v>290097.39</v>
      </c>
      <c r="AD289" s="82">
        <f t="shared" si="1807"/>
        <v>62</v>
      </c>
      <c r="AE289" s="82">
        <f t="shared" si="2444"/>
        <v>782001.66</v>
      </c>
      <c r="AF289" s="82"/>
      <c r="AG289" s="82"/>
      <c r="AH289" s="82">
        <f t="shared" si="2445"/>
        <v>0</v>
      </c>
      <c r="AI289" s="82">
        <f t="shared" si="2446"/>
        <v>0</v>
      </c>
      <c r="AJ289" s="82"/>
      <c r="AK289" s="82"/>
      <c r="AL289" s="82"/>
      <c r="AM289" s="82"/>
      <c r="AN289" s="82">
        <f t="shared" si="2447"/>
        <v>0</v>
      </c>
      <c r="AO289" s="82">
        <f t="shared" si="2448"/>
        <v>0</v>
      </c>
      <c r="AP289" s="82">
        <f t="shared" si="1813"/>
        <v>62</v>
      </c>
      <c r="AQ289" s="82">
        <f t="shared" si="2449"/>
        <v>782001.66</v>
      </c>
      <c r="AR289" s="82"/>
      <c r="AS289" s="82"/>
      <c r="AT289" s="82"/>
      <c r="AU289" s="82">
        <f t="shared" si="2450"/>
        <v>0</v>
      </c>
      <c r="AV289" s="82">
        <f t="shared" si="2451"/>
        <v>0</v>
      </c>
      <c r="AW289" s="82"/>
      <c r="AX289" s="82"/>
      <c r="AY289" s="82"/>
      <c r="AZ289" s="82"/>
      <c r="BA289" s="82">
        <f t="shared" si="2452"/>
        <v>0</v>
      </c>
      <c r="BB289" s="82">
        <f t="shared" si="2453"/>
        <v>0</v>
      </c>
      <c r="BC289" s="82">
        <f t="shared" si="1819"/>
        <v>62</v>
      </c>
      <c r="BD289" s="82">
        <f t="shared" si="2454"/>
        <v>782001.66</v>
      </c>
      <c r="BE289" s="82">
        <f t="shared" si="2455"/>
        <v>0</v>
      </c>
      <c r="BF289" s="82">
        <f t="shared" si="2456"/>
        <v>23</v>
      </c>
      <c r="BG289" s="82">
        <f t="shared" si="1823"/>
        <v>62</v>
      </c>
      <c r="BH289" s="82">
        <f t="shared" si="2457"/>
        <v>782001.66</v>
      </c>
      <c r="BI289" s="82"/>
      <c r="BJ289" s="83"/>
      <c r="BK289" s="82">
        <f t="shared" si="2458"/>
        <v>0</v>
      </c>
      <c r="BL289" s="82">
        <f t="shared" si="2459"/>
        <v>0</v>
      </c>
      <c r="BM289" s="83">
        <v>4.0</v>
      </c>
      <c r="BN289" s="83">
        <v>4.0</v>
      </c>
      <c r="BO289" s="83"/>
      <c r="BP289" s="82"/>
      <c r="BQ289" s="83">
        <v>4.0</v>
      </c>
      <c r="BR289" s="83">
        <v>2.0</v>
      </c>
      <c r="BS289" s="83">
        <v>12.0</v>
      </c>
      <c r="BT289" s="83">
        <v>4.0</v>
      </c>
      <c r="BU289" s="83"/>
      <c r="BV289" s="83">
        <v>4.0</v>
      </c>
      <c r="BW289" s="82">
        <f t="shared" si="2460"/>
        <v>34</v>
      </c>
      <c r="BX289" s="82">
        <f t="shared" si="2461"/>
        <v>428839.62</v>
      </c>
      <c r="BY289" s="82">
        <f t="shared" si="1829"/>
        <v>28</v>
      </c>
      <c r="BZ289" s="82">
        <f t="shared" si="2462"/>
        <v>353162.04</v>
      </c>
      <c r="CA289" s="82"/>
      <c r="CB289" s="82"/>
      <c r="CC289" s="82">
        <f t="shared" si="2463"/>
        <v>0</v>
      </c>
      <c r="CD289" s="82">
        <f t="shared" si="2464"/>
        <v>0</v>
      </c>
      <c r="CE289" s="82"/>
      <c r="CF289" s="82"/>
      <c r="CG289" s="82"/>
      <c r="CH289" s="82"/>
      <c r="CI289" s="82">
        <f t="shared" si="2465"/>
        <v>0</v>
      </c>
      <c r="CJ289" s="82">
        <f t="shared" si="2466"/>
        <v>0</v>
      </c>
      <c r="CK289" s="82">
        <f t="shared" si="1835"/>
        <v>28</v>
      </c>
      <c r="CL289" s="82">
        <f t="shared" si="2467"/>
        <v>353162.04</v>
      </c>
      <c r="CM289" s="82"/>
      <c r="CN289" s="82"/>
      <c r="CO289" s="82">
        <f t="shared" si="1837"/>
        <v>0</v>
      </c>
      <c r="CP289" s="82">
        <f t="shared" si="1838"/>
        <v>0</v>
      </c>
      <c r="CQ289" s="82"/>
      <c r="CR289" s="82"/>
      <c r="CS289" s="82"/>
      <c r="CT289" s="82"/>
      <c r="CU289" s="82">
        <f t="shared" si="2468"/>
        <v>0</v>
      </c>
      <c r="CV289" s="82">
        <f t="shared" si="2469"/>
        <v>0</v>
      </c>
      <c r="CW289" s="82">
        <f t="shared" si="1841"/>
        <v>28</v>
      </c>
      <c r="CX289" s="82">
        <f t="shared" si="2470"/>
        <v>353162.04</v>
      </c>
      <c r="CY289" s="82">
        <f t="shared" si="1843"/>
        <v>0</v>
      </c>
      <c r="CZ289" s="82">
        <f t="shared" si="1844"/>
        <v>34</v>
      </c>
      <c r="DA289" s="82">
        <f t="shared" si="1845"/>
        <v>28</v>
      </c>
      <c r="DB289" s="82">
        <f t="shared" si="1846"/>
        <v>353162.04</v>
      </c>
      <c r="DC289" s="91"/>
      <c r="DD289" s="82"/>
      <c r="DE289" s="82"/>
      <c r="DF289" s="82">
        <f t="shared" si="2471"/>
        <v>0</v>
      </c>
      <c r="DG289" s="82">
        <f t="shared" si="2472"/>
        <v>0</v>
      </c>
      <c r="DH289" s="82"/>
      <c r="DI289" s="82"/>
      <c r="DJ289" s="82"/>
      <c r="DK289" s="82"/>
      <c r="DL289" s="82">
        <f t="shared" si="2473"/>
        <v>0</v>
      </c>
      <c r="DM289" s="82">
        <f t="shared" si="2474"/>
        <v>0</v>
      </c>
      <c r="DN289" s="82">
        <f t="shared" si="2475"/>
        <v>28</v>
      </c>
      <c r="DO289" s="82">
        <f t="shared" si="2476"/>
        <v>353162.04</v>
      </c>
      <c r="DP289" s="82"/>
      <c r="DQ289" s="82"/>
      <c r="DR289" s="82">
        <f t="shared" si="2477"/>
        <v>0</v>
      </c>
      <c r="DS289" s="82">
        <f t="shared" si="2478"/>
        <v>0</v>
      </c>
      <c r="DT289" s="82"/>
      <c r="DU289" s="82"/>
      <c r="DV289" s="82"/>
      <c r="DW289" s="82"/>
      <c r="DX289" s="82">
        <f t="shared" si="2479"/>
        <v>0</v>
      </c>
      <c r="DY289" s="82">
        <f t="shared" si="2480"/>
        <v>0</v>
      </c>
      <c r="DZ289" s="82">
        <f t="shared" si="2481"/>
        <v>28</v>
      </c>
      <c r="EA289" s="82">
        <f t="shared" si="2482"/>
        <v>353162.04</v>
      </c>
      <c r="EB289" s="82"/>
      <c r="EC289" s="82"/>
      <c r="ED289" s="82">
        <f t="shared" si="2483"/>
        <v>0</v>
      </c>
      <c r="EE289" s="82">
        <f t="shared" si="2484"/>
        <v>0</v>
      </c>
      <c r="EF289" s="82"/>
      <c r="EG289" s="82"/>
      <c r="EH289" s="82"/>
      <c r="EI289" s="82"/>
      <c r="EJ289" s="82">
        <f t="shared" si="2485"/>
        <v>0</v>
      </c>
      <c r="EK289" s="82">
        <f t="shared" si="2486"/>
        <v>0</v>
      </c>
      <c r="EL289" s="82">
        <f t="shared" si="2487"/>
        <v>28</v>
      </c>
      <c r="EM289" s="82">
        <f t="shared" si="2488"/>
        <v>353162.04</v>
      </c>
      <c r="EN289" s="82">
        <f t="shared" si="2489"/>
        <v>0</v>
      </c>
      <c r="EO289" s="82">
        <f t="shared" si="2490"/>
        <v>0</v>
      </c>
      <c r="EP289" s="82">
        <f t="shared" si="2491"/>
        <v>28</v>
      </c>
      <c r="EQ289" s="82">
        <f t="shared" si="2492"/>
        <v>353162.04</v>
      </c>
      <c r="ER289" s="82"/>
      <c r="ES289" s="82"/>
      <c r="ET289" s="82">
        <f t="shared" si="2493"/>
        <v>0</v>
      </c>
      <c r="EU289" s="82">
        <f t="shared" si="2494"/>
        <v>0</v>
      </c>
      <c r="EV289" s="82"/>
      <c r="EW289" s="82"/>
      <c r="EX289" s="82"/>
      <c r="EY289" s="82"/>
      <c r="EZ289" s="82">
        <f t="shared" si="2495"/>
        <v>0</v>
      </c>
      <c r="FA289" s="82">
        <f t="shared" si="2496"/>
        <v>0</v>
      </c>
      <c r="FB289" s="82">
        <f t="shared" si="2497"/>
        <v>28</v>
      </c>
      <c r="FC289" s="82">
        <f t="shared" si="2498"/>
        <v>353162.04</v>
      </c>
      <c r="FD289" s="82"/>
      <c r="FE289" s="82"/>
      <c r="FF289" s="82">
        <f t="shared" si="2499"/>
        <v>0</v>
      </c>
      <c r="FG289" s="82">
        <f t="shared" si="2500"/>
        <v>0</v>
      </c>
      <c r="FH289" s="82"/>
      <c r="FI289" s="82"/>
      <c r="FJ289" s="82"/>
      <c r="FK289" s="82"/>
      <c r="FL289" s="82">
        <f t="shared" si="2501"/>
        <v>0</v>
      </c>
      <c r="FM289" s="82">
        <f t="shared" si="2502"/>
        <v>0</v>
      </c>
      <c r="FN289" s="82">
        <f t="shared" si="2503"/>
        <v>28</v>
      </c>
      <c r="FO289" s="82">
        <f t="shared" si="2504"/>
        <v>353162.04</v>
      </c>
      <c r="FP289" s="82"/>
      <c r="FQ289" s="82"/>
      <c r="FR289" s="82">
        <f t="shared" si="2505"/>
        <v>0</v>
      </c>
      <c r="FS289" s="82">
        <f t="shared" si="2506"/>
        <v>0</v>
      </c>
      <c r="FT289" s="82"/>
      <c r="FU289" s="82"/>
      <c r="FV289" s="82"/>
      <c r="FW289" s="82"/>
      <c r="FX289" s="82">
        <f t="shared" si="2507"/>
        <v>0</v>
      </c>
      <c r="FY289" s="82">
        <f t="shared" si="2508"/>
        <v>0</v>
      </c>
      <c r="FZ289" s="82">
        <f t="shared" si="2509"/>
        <v>28</v>
      </c>
      <c r="GA289" s="82">
        <f t="shared" si="2510"/>
        <v>353162.04</v>
      </c>
      <c r="GB289" s="82">
        <f t="shared" si="2511"/>
        <v>0</v>
      </c>
      <c r="GC289" s="82">
        <f t="shared" si="2512"/>
        <v>0</v>
      </c>
      <c r="GD289" s="82">
        <f t="shared" si="2513"/>
        <v>28</v>
      </c>
      <c r="GE289" s="82">
        <f t="shared" si="2514"/>
        <v>353162.04</v>
      </c>
      <c r="GF289" s="85"/>
    </row>
    <row r="290" ht="30.0" customHeight="1">
      <c r="A290" s="96"/>
      <c r="B290" s="58"/>
      <c r="C290" s="58"/>
      <c r="D290" s="99" t="s">
        <v>91</v>
      </c>
      <c r="E290" s="130">
        <v>16650.0</v>
      </c>
      <c r="F290" s="80" t="s">
        <v>281</v>
      </c>
      <c r="G290" s="90">
        <v>28.0</v>
      </c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>
        <f t="shared" si="1807"/>
        <v>28</v>
      </c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>
        <f t="shared" si="1813"/>
        <v>28</v>
      </c>
      <c r="AQ290" s="82">
        <f>AP290*E289</f>
        <v>353162.04</v>
      </c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>
        <f t="shared" si="1819"/>
        <v>28</v>
      </c>
      <c r="BD290" s="82">
        <f>BC290*E289</f>
        <v>353162.04</v>
      </c>
      <c r="BE290" s="82"/>
      <c r="BF290" s="82"/>
      <c r="BG290" s="82">
        <f t="shared" si="1823"/>
        <v>28</v>
      </c>
      <c r="BH290" s="82"/>
      <c r="BI290" s="82"/>
      <c r="BJ290" s="83"/>
      <c r="BK290" s="82"/>
      <c r="BL290" s="82"/>
      <c r="BM290" s="82"/>
      <c r="BN290" s="82"/>
      <c r="BO290" s="82"/>
      <c r="BP290" s="83"/>
      <c r="BQ290" s="82"/>
      <c r="BR290" s="82"/>
      <c r="BS290" s="83"/>
      <c r="BT290" s="82"/>
      <c r="BU290" s="82"/>
      <c r="BV290" s="82"/>
      <c r="BW290" s="82"/>
      <c r="BX290" s="82"/>
      <c r="BY290" s="82">
        <f t="shared" si="1829"/>
        <v>28</v>
      </c>
      <c r="BZ290" s="82">
        <f>BY290*E289</f>
        <v>353162.04</v>
      </c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>
        <f t="shared" si="1835"/>
        <v>28</v>
      </c>
      <c r="CL290" s="82">
        <f>CK290*E289</f>
        <v>353162.04</v>
      </c>
      <c r="CM290" s="83">
        <v>85.0</v>
      </c>
      <c r="CN290" s="82"/>
      <c r="CO290" s="82">
        <f t="shared" si="1837"/>
        <v>85</v>
      </c>
      <c r="CP290" s="82">
        <f t="shared" si="1838"/>
        <v>1415250</v>
      </c>
      <c r="CQ290" s="82"/>
      <c r="CR290" s="82"/>
      <c r="CS290" s="82"/>
      <c r="CT290" s="82"/>
      <c r="CU290" s="82"/>
      <c r="CV290" s="82"/>
      <c r="CW290" s="82">
        <f t="shared" si="1841"/>
        <v>113</v>
      </c>
      <c r="CX290" s="82">
        <f>(CO290*E290)+(CK290*E289)</f>
        <v>1768412.04</v>
      </c>
      <c r="CY290" s="82">
        <f t="shared" si="1843"/>
        <v>85</v>
      </c>
      <c r="CZ290" s="82">
        <f t="shared" si="1844"/>
        <v>0</v>
      </c>
      <c r="DA290" s="82">
        <f t="shared" si="1845"/>
        <v>113</v>
      </c>
      <c r="DB290" s="82">
        <f t="shared" si="1846"/>
        <v>1881450</v>
      </c>
      <c r="DC290" s="91"/>
      <c r="DD290" s="82"/>
      <c r="DE290" s="82"/>
      <c r="DF290" s="82"/>
      <c r="DG290" s="82"/>
      <c r="DH290" s="82"/>
      <c r="DI290" s="82"/>
      <c r="DJ290" s="82"/>
      <c r="DK290" s="82"/>
      <c r="DL290" s="82"/>
      <c r="DM290" s="82"/>
      <c r="DN290" s="82"/>
      <c r="DO290" s="82"/>
      <c r="DP290" s="82"/>
      <c r="DQ290" s="82"/>
      <c r="DR290" s="82"/>
      <c r="DS290" s="82"/>
      <c r="DT290" s="82"/>
      <c r="DU290" s="82"/>
      <c r="DV290" s="82"/>
      <c r="DW290" s="82"/>
      <c r="DX290" s="82"/>
      <c r="DY290" s="82"/>
      <c r="DZ290" s="82"/>
      <c r="EA290" s="82"/>
      <c r="EB290" s="82"/>
      <c r="EC290" s="82"/>
      <c r="ED290" s="82"/>
      <c r="EE290" s="82"/>
      <c r="EF290" s="82"/>
      <c r="EG290" s="82"/>
      <c r="EH290" s="82"/>
      <c r="EI290" s="82"/>
      <c r="EJ290" s="82"/>
      <c r="EK290" s="82"/>
      <c r="EL290" s="82"/>
      <c r="EM290" s="82"/>
      <c r="EN290" s="82"/>
      <c r="EO290" s="82"/>
      <c r="EP290" s="82"/>
      <c r="EQ290" s="82"/>
      <c r="ER290" s="82"/>
      <c r="ES290" s="82"/>
      <c r="ET290" s="82"/>
      <c r="EU290" s="82"/>
      <c r="EV290" s="82"/>
      <c r="EW290" s="82"/>
      <c r="EX290" s="82"/>
      <c r="EY290" s="82"/>
      <c r="EZ290" s="82"/>
      <c r="FA290" s="82"/>
      <c r="FB290" s="82"/>
      <c r="FC290" s="82"/>
      <c r="FD290" s="82"/>
      <c r="FE290" s="82"/>
      <c r="FF290" s="82"/>
      <c r="FG290" s="82"/>
      <c r="FH290" s="82"/>
      <c r="FI290" s="82"/>
      <c r="FJ290" s="82"/>
      <c r="FK290" s="82"/>
      <c r="FL290" s="82"/>
      <c r="FM290" s="82"/>
      <c r="FN290" s="82"/>
      <c r="FO290" s="82"/>
      <c r="FP290" s="82"/>
      <c r="FQ290" s="82"/>
      <c r="FR290" s="82"/>
      <c r="FS290" s="82"/>
      <c r="FT290" s="82"/>
      <c r="FU290" s="82"/>
      <c r="FV290" s="82"/>
      <c r="FW290" s="82"/>
      <c r="FX290" s="82"/>
      <c r="FY290" s="82"/>
      <c r="FZ290" s="82"/>
      <c r="GA290" s="82"/>
      <c r="GB290" s="82"/>
      <c r="GC290" s="82"/>
      <c r="GD290" s="82"/>
      <c r="GE290" s="82"/>
      <c r="GF290" s="85"/>
    </row>
    <row r="291" ht="30.0" customHeight="1">
      <c r="A291" s="96">
        <v>27.0</v>
      </c>
      <c r="B291" s="58"/>
      <c r="C291" s="58" t="s">
        <v>311</v>
      </c>
      <c r="D291" s="78" t="s">
        <v>121</v>
      </c>
      <c r="E291" s="79">
        <v>22200.0</v>
      </c>
      <c r="F291" s="61" t="s">
        <v>92</v>
      </c>
      <c r="G291" s="81">
        <v>8.0</v>
      </c>
      <c r="H291" s="82">
        <v>177600.0</v>
      </c>
      <c r="I291" s="82"/>
      <c r="J291" s="82"/>
      <c r="K291" s="82">
        <f t="shared" ref="K291:K299" si="2515">SUM(I291:J291)</f>
        <v>0</v>
      </c>
      <c r="L291" s="82">
        <f t="shared" ref="L291:L299" si="2516">K291*E291</f>
        <v>0</v>
      </c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>
        <f t="shared" ref="AB291:AB299" si="2517">SUM(M291:AA291)</f>
        <v>0</v>
      </c>
      <c r="AC291" s="82">
        <f t="shared" ref="AC291:AC299" si="2518">AB291*E291</f>
        <v>0</v>
      </c>
      <c r="AD291" s="82">
        <f t="shared" si="1807"/>
        <v>8</v>
      </c>
      <c r="AE291" s="82">
        <f t="shared" ref="AE291:AE296" si="2519">AD291*E291</f>
        <v>177600</v>
      </c>
      <c r="AF291" s="82"/>
      <c r="AG291" s="82"/>
      <c r="AH291" s="82">
        <f t="shared" ref="AH291:AH296" si="2520">SUM(AF291:AG291)</f>
        <v>0</v>
      </c>
      <c r="AI291" s="82">
        <f t="shared" ref="AI291:AI296" si="2521">AH291*E291</f>
        <v>0</v>
      </c>
      <c r="AJ291" s="82"/>
      <c r="AK291" s="82"/>
      <c r="AL291" s="82"/>
      <c r="AM291" s="82"/>
      <c r="AN291" s="82">
        <f t="shared" ref="AN291:AN296" si="2522">SUM(AJ291:AM291)</f>
        <v>0</v>
      </c>
      <c r="AO291" s="82">
        <f t="shared" ref="AO291:AO296" si="2523">AN291*E291</f>
        <v>0</v>
      </c>
      <c r="AP291" s="82">
        <f t="shared" si="1813"/>
        <v>8</v>
      </c>
      <c r="AQ291" s="82">
        <f t="shared" ref="AQ291:AQ296" si="2524">AP291*E291</f>
        <v>177600</v>
      </c>
      <c r="AR291" s="82"/>
      <c r="AS291" s="82"/>
      <c r="AT291" s="82"/>
      <c r="AU291" s="82">
        <f t="shared" ref="AU291:AU296" si="2525">SUM(AS291:AT291)</f>
        <v>0</v>
      </c>
      <c r="AV291" s="82">
        <f t="shared" ref="AV291:AV296" si="2526">AU291*AB291</f>
        <v>0</v>
      </c>
      <c r="AW291" s="82"/>
      <c r="AX291" s="82"/>
      <c r="AY291" s="82"/>
      <c r="AZ291" s="82"/>
      <c r="BA291" s="82">
        <f t="shared" ref="BA291:BA296" si="2527">SUM(AW291:AZ291)</f>
        <v>0</v>
      </c>
      <c r="BB291" s="82">
        <f t="shared" ref="BB291:BB296" si="2528">BA291*AB291</f>
        <v>0</v>
      </c>
      <c r="BC291" s="82">
        <f t="shared" si="1819"/>
        <v>8</v>
      </c>
      <c r="BD291" s="82">
        <f t="shared" ref="BD291:BD296" si="2529">BC291*E291</f>
        <v>177600</v>
      </c>
      <c r="BE291" s="82">
        <f t="shared" ref="BE291:BE296" si="2530">K291+AH291+AU291</f>
        <v>0</v>
      </c>
      <c r="BF291" s="82">
        <f t="shared" ref="BF291:BF296" si="2531">AB291+AN291+BA291</f>
        <v>0</v>
      </c>
      <c r="BG291" s="82">
        <f t="shared" si="1823"/>
        <v>8</v>
      </c>
      <c r="BH291" s="82">
        <f t="shared" ref="BH291:BH296" si="2532">BG291*E291</f>
        <v>177600</v>
      </c>
      <c r="BI291" s="82"/>
      <c r="BJ291" s="83"/>
      <c r="BK291" s="82">
        <f t="shared" ref="BK291:BK296" si="2533">SUM(BI291:BJ291)</f>
        <v>0</v>
      </c>
      <c r="BL291" s="82">
        <f t="shared" ref="BL291:BL296" si="2534">BK291*E291</f>
        <v>0</v>
      </c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>
        <f t="shared" ref="BW291:BW296" si="2535">SUM(BM291:BV291)</f>
        <v>0</v>
      </c>
      <c r="BX291" s="82">
        <f t="shared" ref="BX291:BX296" si="2536">BW291*E291</f>
        <v>0</v>
      </c>
      <c r="BY291" s="82">
        <f t="shared" si="1829"/>
        <v>8</v>
      </c>
      <c r="BZ291" s="82">
        <f t="shared" ref="BZ291:BZ296" si="2537">BY291*E291</f>
        <v>177600</v>
      </c>
      <c r="CA291" s="82"/>
      <c r="CB291" s="82"/>
      <c r="CC291" s="82">
        <f t="shared" ref="CC291:CC296" si="2538">sum(CA291:CB291)</f>
        <v>0</v>
      </c>
      <c r="CD291" s="82">
        <f t="shared" ref="CD291:CD296" si="2539">CC291*E291</f>
        <v>0</v>
      </c>
      <c r="CE291" s="82"/>
      <c r="CF291" s="82"/>
      <c r="CG291" s="82"/>
      <c r="CH291" s="82"/>
      <c r="CI291" s="82">
        <f t="shared" ref="CI291:CI296" si="2540">sum(CE291:CH291)</f>
        <v>0</v>
      </c>
      <c r="CJ291" s="82">
        <f t="shared" ref="CJ291:CJ296" si="2541">CI291*E291</f>
        <v>0</v>
      </c>
      <c r="CK291" s="82">
        <f t="shared" si="1835"/>
        <v>8</v>
      </c>
      <c r="CL291" s="82">
        <f t="shared" ref="CL291:CL296" si="2542">CK291*E291</f>
        <v>177600</v>
      </c>
      <c r="CM291" s="82"/>
      <c r="CN291" s="82"/>
      <c r="CO291" s="82">
        <f t="shared" si="1837"/>
        <v>0</v>
      </c>
      <c r="CP291" s="82">
        <f t="shared" si="1838"/>
        <v>0</v>
      </c>
      <c r="CQ291" s="82"/>
      <c r="CR291" s="82"/>
      <c r="CS291" s="82"/>
      <c r="CT291" s="82"/>
      <c r="CU291" s="82">
        <f t="shared" ref="CU291:CU299" si="2543">sum(CQ291:CT291)</f>
        <v>0</v>
      </c>
      <c r="CV291" s="82">
        <f t="shared" ref="CV291:CV299" si="2544">CU291*E291</f>
        <v>0</v>
      </c>
      <c r="CW291" s="82">
        <f t="shared" si="1841"/>
        <v>8</v>
      </c>
      <c r="CX291" s="82">
        <f t="shared" ref="CX291:CX296" si="2545">CW291*E291</f>
        <v>177600</v>
      </c>
      <c r="CY291" s="82">
        <f t="shared" si="1843"/>
        <v>0</v>
      </c>
      <c r="CZ291" s="82">
        <f t="shared" si="1844"/>
        <v>0</v>
      </c>
      <c r="DA291" s="82">
        <f t="shared" si="1845"/>
        <v>8</v>
      </c>
      <c r="DB291" s="82">
        <f t="shared" si="1846"/>
        <v>177600</v>
      </c>
      <c r="DC291" s="91"/>
      <c r="DD291" s="82"/>
      <c r="DE291" s="82"/>
      <c r="DF291" s="82">
        <f t="shared" ref="DF291:DF299" si="2546">sum(DD291:DE291)</f>
        <v>0</v>
      </c>
      <c r="DG291" s="82">
        <f t="shared" ref="DG291:DG299" si="2547">DF291*E291</f>
        <v>0</v>
      </c>
      <c r="DH291" s="82"/>
      <c r="DI291" s="82"/>
      <c r="DJ291" s="82"/>
      <c r="DK291" s="82"/>
      <c r="DL291" s="82">
        <f t="shared" ref="DL291:DL299" si="2548">sum(DH291:DK291)</f>
        <v>0</v>
      </c>
      <c r="DM291" s="82">
        <f t="shared" ref="DM291:DM299" si="2549">DL291*E291</f>
        <v>0</v>
      </c>
      <c r="DN291" s="82">
        <f t="shared" ref="DN291:DN299" si="2550">DA291+DF291-DL291</f>
        <v>8</v>
      </c>
      <c r="DO291" s="82">
        <f t="shared" ref="DO291:DO299" si="2551">DN291*E291</f>
        <v>177600</v>
      </c>
      <c r="DP291" s="82"/>
      <c r="DQ291" s="82"/>
      <c r="DR291" s="82">
        <f t="shared" ref="DR291:DR299" si="2552">sum(DP291:DQ291)</f>
        <v>0</v>
      </c>
      <c r="DS291" s="82">
        <f t="shared" ref="DS291:DS299" si="2553">DR291*AB291</f>
        <v>0</v>
      </c>
      <c r="DT291" s="82"/>
      <c r="DU291" s="82"/>
      <c r="DV291" s="82"/>
      <c r="DW291" s="82"/>
      <c r="DX291" s="82">
        <f t="shared" ref="DX291:DX299" si="2554">sum(DT291:DW291)</f>
        <v>0</v>
      </c>
      <c r="DY291" s="82">
        <f t="shared" ref="DY291:DY299" si="2555">DX291*AB291</f>
        <v>0</v>
      </c>
      <c r="DZ291" s="82">
        <f t="shared" ref="DZ291:DZ299" si="2556">DN291+DR291-DX291</f>
        <v>8</v>
      </c>
      <c r="EA291" s="82">
        <f t="shared" ref="EA291:EA299" si="2557">DZ291*E291</f>
        <v>177600</v>
      </c>
      <c r="EB291" s="82"/>
      <c r="EC291" s="82"/>
      <c r="ED291" s="82">
        <f t="shared" ref="ED291:ED299" si="2558">sum(EB291:EC291)</f>
        <v>0</v>
      </c>
      <c r="EE291" s="82">
        <f t="shared" ref="EE291:EE299" si="2559">ED291*AN291</f>
        <v>0</v>
      </c>
      <c r="EF291" s="82"/>
      <c r="EG291" s="82"/>
      <c r="EH291" s="82"/>
      <c r="EI291" s="82"/>
      <c r="EJ291" s="82">
        <f t="shared" ref="EJ291:EJ299" si="2560">sum(EF291:EI291)</f>
        <v>0</v>
      </c>
      <c r="EK291" s="82">
        <f t="shared" ref="EK291:EK299" si="2561">EJ291*AN291</f>
        <v>0</v>
      </c>
      <c r="EL291" s="82">
        <f t="shared" ref="EL291:EL299" si="2562">DZ291+ED291-EJ291</f>
        <v>8</v>
      </c>
      <c r="EM291" s="82">
        <f t="shared" ref="EM291:EM299" si="2563">EL291*E291</f>
        <v>177600</v>
      </c>
      <c r="EN291" s="82">
        <f t="shared" ref="EN291:EN299" si="2564">DF291+DR291+ED291</f>
        <v>0</v>
      </c>
      <c r="EO291" s="82">
        <f t="shared" ref="EO291:EO299" si="2565">DL291+DX291+EJ291</f>
        <v>0</v>
      </c>
      <c r="EP291" s="82">
        <f t="shared" ref="EP291:EP299" si="2566">DA291+EN291-EO291</f>
        <v>8</v>
      </c>
      <c r="EQ291" s="82">
        <f t="shared" ref="EQ291:EQ299" si="2567">EP291*E291</f>
        <v>177600</v>
      </c>
      <c r="ER291" s="82"/>
      <c r="ES291" s="82"/>
      <c r="ET291" s="82">
        <f t="shared" ref="ET291:ET299" si="2568">sum(ER291:ES291)</f>
        <v>0</v>
      </c>
      <c r="EU291" s="82">
        <f t="shared" ref="EU291:EU299" si="2569">ET291*BE291</f>
        <v>0</v>
      </c>
      <c r="EV291" s="82"/>
      <c r="EW291" s="82"/>
      <c r="EX291" s="82"/>
      <c r="EY291" s="82"/>
      <c r="EZ291" s="82">
        <f t="shared" ref="EZ291:EZ299" si="2570">sum(EV291:EY291)</f>
        <v>0</v>
      </c>
      <c r="FA291" s="82">
        <f t="shared" ref="FA291:FA299" si="2571">EZ291*BE291</f>
        <v>0</v>
      </c>
      <c r="FB291" s="82">
        <f t="shared" ref="FB291:FB299" si="2572">EP291+ET291-EZ291</f>
        <v>8</v>
      </c>
      <c r="FC291" s="82">
        <f t="shared" ref="FC291:FC299" si="2573">FB291*E291</f>
        <v>177600</v>
      </c>
      <c r="FD291" s="82"/>
      <c r="FE291" s="82"/>
      <c r="FF291" s="82">
        <f t="shared" ref="FF291:FF299" si="2574">sum(FD291:FE291)</f>
        <v>0</v>
      </c>
      <c r="FG291" s="82">
        <f t="shared" ref="FG291:FG299" si="2575">FF291*BW291</f>
        <v>0</v>
      </c>
      <c r="FH291" s="82"/>
      <c r="FI291" s="82"/>
      <c r="FJ291" s="82"/>
      <c r="FK291" s="82"/>
      <c r="FL291" s="82">
        <f t="shared" ref="FL291:FL299" si="2576">sum(FH291:FK291)</f>
        <v>0</v>
      </c>
      <c r="FM291" s="82">
        <f t="shared" ref="FM291:FM299" si="2577">FL291*BW291</f>
        <v>0</v>
      </c>
      <c r="FN291" s="82">
        <f t="shared" ref="FN291:FN299" si="2578">FB291+FF291-FL291</f>
        <v>8</v>
      </c>
      <c r="FO291" s="82">
        <f t="shared" ref="FO291:FO299" si="2579">FN291*E291</f>
        <v>177600</v>
      </c>
      <c r="FP291" s="82"/>
      <c r="FQ291" s="82"/>
      <c r="FR291" s="82">
        <f t="shared" ref="FR291:FR299" si="2580">sum(FP291:FQ291)</f>
        <v>0</v>
      </c>
      <c r="FS291" s="82">
        <f t="shared" ref="FS291:FS299" si="2581">FR291*CI291</f>
        <v>0</v>
      </c>
      <c r="FT291" s="82"/>
      <c r="FU291" s="82"/>
      <c r="FV291" s="82"/>
      <c r="FW291" s="82"/>
      <c r="FX291" s="82">
        <f t="shared" ref="FX291:FX299" si="2582">sum(FT291:FW291)</f>
        <v>0</v>
      </c>
      <c r="FY291" s="82">
        <f t="shared" ref="FY291:FY299" si="2583">FX291*CI291</f>
        <v>0</v>
      </c>
      <c r="FZ291" s="82">
        <f t="shared" ref="FZ291:FZ299" si="2584">FN291+FR291-FX291</f>
        <v>8</v>
      </c>
      <c r="GA291" s="82">
        <f t="shared" ref="GA291:GA299" si="2585">FZ291*E291</f>
        <v>177600</v>
      </c>
      <c r="GB291" s="82">
        <f t="shared" ref="GB291:GB299" si="2586">ET291+FF291+FR291</f>
        <v>0</v>
      </c>
      <c r="GC291" s="82">
        <f t="shared" ref="GC291:GC299" si="2587">EZ291+FL291+FX291</f>
        <v>0</v>
      </c>
      <c r="GD291" s="82">
        <f t="shared" ref="GD291:GD299" si="2588">EP291+GB291-GC291</f>
        <v>8</v>
      </c>
      <c r="GE291" s="82">
        <f t="shared" ref="GE291:GE299" si="2589">GD291*E291</f>
        <v>177600</v>
      </c>
      <c r="GF291" s="85"/>
    </row>
    <row r="292" ht="30.0" customHeight="1">
      <c r="A292" s="96">
        <v>28.0</v>
      </c>
      <c r="B292" s="58"/>
      <c r="C292" s="58" t="s">
        <v>312</v>
      </c>
      <c r="D292" s="78" t="s">
        <v>121</v>
      </c>
      <c r="E292" s="79">
        <v>133200.0</v>
      </c>
      <c r="F292" s="61" t="s">
        <v>92</v>
      </c>
      <c r="G292" s="81">
        <v>1.0</v>
      </c>
      <c r="H292" s="82">
        <v>133200.0</v>
      </c>
      <c r="I292" s="82"/>
      <c r="J292" s="82"/>
      <c r="K292" s="82">
        <f t="shared" si="2515"/>
        <v>0</v>
      </c>
      <c r="L292" s="82">
        <f t="shared" si="2516"/>
        <v>0</v>
      </c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>
        <f t="shared" si="2517"/>
        <v>0</v>
      </c>
      <c r="AC292" s="82">
        <f t="shared" si="2518"/>
        <v>0</v>
      </c>
      <c r="AD292" s="82">
        <f t="shared" si="1807"/>
        <v>1</v>
      </c>
      <c r="AE292" s="82">
        <f t="shared" si="2519"/>
        <v>133200</v>
      </c>
      <c r="AF292" s="82"/>
      <c r="AG292" s="82"/>
      <c r="AH292" s="82">
        <f t="shared" si="2520"/>
        <v>0</v>
      </c>
      <c r="AI292" s="82">
        <f t="shared" si="2521"/>
        <v>0</v>
      </c>
      <c r="AJ292" s="82"/>
      <c r="AK292" s="82"/>
      <c r="AL292" s="82"/>
      <c r="AM292" s="82"/>
      <c r="AN292" s="82">
        <f t="shared" si="2522"/>
        <v>0</v>
      </c>
      <c r="AO292" s="82">
        <f t="shared" si="2523"/>
        <v>0</v>
      </c>
      <c r="AP292" s="82">
        <f t="shared" si="1813"/>
        <v>1</v>
      </c>
      <c r="AQ292" s="82">
        <f t="shared" si="2524"/>
        <v>133200</v>
      </c>
      <c r="AR292" s="82"/>
      <c r="AS292" s="82"/>
      <c r="AT292" s="82"/>
      <c r="AU292" s="82">
        <f t="shared" si="2525"/>
        <v>0</v>
      </c>
      <c r="AV292" s="82">
        <f t="shared" si="2526"/>
        <v>0</v>
      </c>
      <c r="AW292" s="82"/>
      <c r="AX292" s="82"/>
      <c r="AY292" s="82"/>
      <c r="AZ292" s="82"/>
      <c r="BA292" s="82">
        <f t="shared" si="2527"/>
        <v>0</v>
      </c>
      <c r="BB292" s="82">
        <f t="shared" si="2528"/>
        <v>0</v>
      </c>
      <c r="BC292" s="82">
        <f t="shared" si="1819"/>
        <v>1</v>
      </c>
      <c r="BD292" s="82">
        <f t="shared" si="2529"/>
        <v>133200</v>
      </c>
      <c r="BE292" s="82">
        <f t="shared" si="2530"/>
        <v>0</v>
      </c>
      <c r="BF292" s="82">
        <f t="shared" si="2531"/>
        <v>0</v>
      </c>
      <c r="BG292" s="82">
        <f t="shared" si="1823"/>
        <v>1</v>
      </c>
      <c r="BH292" s="82">
        <f t="shared" si="2532"/>
        <v>133200</v>
      </c>
      <c r="BI292" s="82"/>
      <c r="BJ292" s="83"/>
      <c r="BK292" s="82">
        <f t="shared" si="2533"/>
        <v>0</v>
      </c>
      <c r="BL292" s="82">
        <f t="shared" si="2534"/>
        <v>0</v>
      </c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>
        <f t="shared" si="2535"/>
        <v>0</v>
      </c>
      <c r="BX292" s="82">
        <f t="shared" si="2536"/>
        <v>0</v>
      </c>
      <c r="BY292" s="82">
        <f t="shared" si="1829"/>
        <v>1</v>
      </c>
      <c r="BZ292" s="82">
        <f t="shared" si="2537"/>
        <v>133200</v>
      </c>
      <c r="CA292" s="82"/>
      <c r="CB292" s="82"/>
      <c r="CC292" s="82">
        <f t="shared" si="2538"/>
        <v>0</v>
      </c>
      <c r="CD292" s="82">
        <f t="shared" si="2539"/>
        <v>0</v>
      </c>
      <c r="CE292" s="82"/>
      <c r="CF292" s="82"/>
      <c r="CG292" s="82"/>
      <c r="CH292" s="82"/>
      <c r="CI292" s="82">
        <f t="shared" si="2540"/>
        <v>0</v>
      </c>
      <c r="CJ292" s="82">
        <f t="shared" si="2541"/>
        <v>0</v>
      </c>
      <c r="CK292" s="82">
        <f t="shared" si="1835"/>
        <v>1</v>
      </c>
      <c r="CL292" s="82">
        <f t="shared" si="2542"/>
        <v>133200</v>
      </c>
      <c r="CM292" s="82"/>
      <c r="CN292" s="82"/>
      <c r="CO292" s="82">
        <f t="shared" si="1837"/>
        <v>0</v>
      </c>
      <c r="CP292" s="82">
        <f t="shared" si="1838"/>
        <v>0</v>
      </c>
      <c r="CQ292" s="82"/>
      <c r="CR292" s="82"/>
      <c r="CS292" s="82"/>
      <c r="CT292" s="82"/>
      <c r="CU292" s="82">
        <f t="shared" si="2543"/>
        <v>0</v>
      </c>
      <c r="CV292" s="82">
        <f t="shared" si="2544"/>
        <v>0</v>
      </c>
      <c r="CW292" s="82">
        <f t="shared" si="1841"/>
        <v>1</v>
      </c>
      <c r="CX292" s="82">
        <f t="shared" si="2545"/>
        <v>133200</v>
      </c>
      <c r="CY292" s="82">
        <f t="shared" si="1843"/>
        <v>0</v>
      </c>
      <c r="CZ292" s="82">
        <f t="shared" si="1844"/>
        <v>0</v>
      </c>
      <c r="DA292" s="82">
        <f t="shared" si="1845"/>
        <v>1</v>
      </c>
      <c r="DB292" s="82">
        <f t="shared" si="1846"/>
        <v>133200</v>
      </c>
      <c r="DC292" s="91"/>
      <c r="DD292" s="82"/>
      <c r="DE292" s="82"/>
      <c r="DF292" s="82">
        <f t="shared" si="2546"/>
        <v>0</v>
      </c>
      <c r="DG292" s="82">
        <f t="shared" si="2547"/>
        <v>0</v>
      </c>
      <c r="DH292" s="82"/>
      <c r="DI292" s="82"/>
      <c r="DJ292" s="82"/>
      <c r="DK292" s="82"/>
      <c r="DL292" s="82">
        <f t="shared" si="2548"/>
        <v>0</v>
      </c>
      <c r="DM292" s="82">
        <f t="shared" si="2549"/>
        <v>0</v>
      </c>
      <c r="DN292" s="82">
        <f t="shared" si="2550"/>
        <v>1</v>
      </c>
      <c r="DO292" s="82">
        <f t="shared" si="2551"/>
        <v>133200</v>
      </c>
      <c r="DP292" s="82"/>
      <c r="DQ292" s="82"/>
      <c r="DR292" s="82">
        <f t="shared" si="2552"/>
        <v>0</v>
      </c>
      <c r="DS292" s="82">
        <f t="shared" si="2553"/>
        <v>0</v>
      </c>
      <c r="DT292" s="82"/>
      <c r="DU292" s="82"/>
      <c r="DV292" s="82"/>
      <c r="DW292" s="82"/>
      <c r="DX292" s="82">
        <f t="shared" si="2554"/>
        <v>0</v>
      </c>
      <c r="DY292" s="82">
        <f t="shared" si="2555"/>
        <v>0</v>
      </c>
      <c r="DZ292" s="82">
        <f t="shared" si="2556"/>
        <v>1</v>
      </c>
      <c r="EA292" s="82">
        <f t="shared" si="2557"/>
        <v>133200</v>
      </c>
      <c r="EB292" s="82"/>
      <c r="EC292" s="82"/>
      <c r="ED292" s="82">
        <f t="shared" si="2558"/>
        <v>0</v>
      </c>
      <c r="EE292" s="82">
        <f t="shared" si="2559"/>
        <v>0</v>
      </c>
      <c r="EF292" s="82"/>
      <c r="EG292" s="82"/>
      <c r="EH292" s="82"/>
      <c r="EI292" s="82"/>
      <c r="EJ292" s="82">
        <f t="shared" si="2560"/>
        <v>0</v>
      </c>
      <c r="EK292" s="82">
        <f t="shared" si="2561"/>
        <v>0</v>
      </c>
      <c r="EL292" s="82">
        <f t="shared" si="2562"/>
        <v>1</v>
      </c>
      <c r="EM292" s="82">
        <f t="shared" si="2563"/>
        <v>133200</v>
      </c>
      <c r="EN292" s="82">
        <f t="shared" si="2564"/>
        <v>0</v>
      </c>
      <c r="EO292" s="82">
        <f t="shared" si="2565"/>
        <v>0</v>
      </c>
      <c r="EP292" s="82">
        <f t="shared" si="2566"/>
        <v>1</v>
      </c>
      <c r="EQ292" s="82">
        <f t="shared" si="2567"/>
        <v>133200</v>
      </c>
      <c r="ER292" s="82"/>
      <c r="ES292" s="82"/>
      <c r="ET292" s="82">
        <f t="shared" si="2568"/>
        <v>0</v>
      </c>
      <c r="EU292" s="82">
        <f t="shared" si="2569"/>
        <v>0</v>
      </c>
      <c r="EV292" s="82"/>
      <c r="EW292" s="82"/>
      <c r="EX292" s="82"/>
      <c r="EY292" s="82"/>
      <c r="EZ292" s="82">
        <f t="shared" si="2570"/>
        <v>0</v>
      </c>
      <c r="FA292" s="82">
        <f t="shared" si="2571"/>
        <v>0</v>
      </c>
      <c r="FB292" s="82">
        <f t="shared" si="2572"/>
        <v>1</v>
      </c>
      <c r="FC292" s="82">
        <f t="shared" si="2573"/>
        <v>133200</v>
      </c>
      <c r="FD292" s="82"/>
      <c r="FE292" s="82"/>
      <c r="FF292" s="82">
        <f t="shared" si="2574"/>
        <v>0</v>
      </c>
      <c r="FG292" s="82">
        <f t="shared" si="2575"/>
        <v>0</v>
      </c>
      <c r="FH292" s="82"/>
      <c r="FI292" s="82"/>
      <c r="FJ292" s="82"/>
      <c r="FK292" s="82"/>
      <c r="FL292" s="82">
        <f t="shared" si="2576"/>
        <v>0</v>
      </c>
      <c r="FM292" s="82">
        <f t="shared" si="2577"/>
        <v>0</v>
      </c>
      <c r="FN292" s="82">
        <f t="shared" si="2578"/>
        <v>1</v>
      </c>
      <c r="FO292" s="82">
        <f t="shared" si="2579"/>
        <v>133200</v>
      </c>
      <c r="FP292" s="82"/>
      <c r="FQ292" s="82"/>
      <c r="FR292" s="82">
        <f t="shared" si="2580"/>
        <v>0</v>
      </c>
      <c r="FS292" s="82">
        <f t="shared" si="2581"/>
        <v>0</v>
      </c>
      <c r="FT292" s="82"/>
      <c r="FU292" s="82"/>
      <c r="FV292" s="82"/>
      <c r="FW292" s="82"/>
      <c r="FX292" s="82">
        <f t="shared" si="2582"/>
        <v>0</v>
      </c>
      <c r="FY292" s="82">
        <f t="shared" si="2583"/>
        <v>0</v>
      </c>
      <c r="FZ292" s="82">
        <f t="shared" si="2584"/>
        <v>1</v>
      </c>
      <c r="GA292" s="82">
        <f t="shared" si="2585"/>
        <v>133200</v>
      </c>
      <c r="GB292" s="82">
        <f t="shared" si="2586"/>
        <v>0</v>
      </c>
      <c r="GC292" s="82">
        <f t="shared" si="2587"/>
        <v>0</v>
      </c>
      <c r="GD292" s="82">
        <f t="shared" si="2588"/>
        <v>1</v>
      </c>
      <c r="GE292" s="82">
        <f t="shared" si="2589"/>
        <v>133200</v>
      </c>
      <c r="GF292" s="85"/>
    </row>
    <row r="293" ht="30.0" customHeight="1">
      <c r="A293" s="96">
        <v>29.0</v>
      </c>
      <c r="B293" s="58"/>
      <c r="C293" s="58" t="s">
        <v>313</v>
      </c>
      <c r="D293" s="78" t="s">
        <v>121</v>
      </c>
      <c r="E293" s="79">
        <v>85000.47</v>
      </c>
      <c r="F293" s="80" t="s">
        <v>280</v>
      </c>
      <c r="G293" s="81">
        <v>17.0</v>
      </c>
      <c r="H293" s="82">
        <v>1445007.99</v>
      </c>
      <c r="I293" s="82"/>
      <c r="J293" s="82"/>
      <c r="K293" s="82">
        <f t="shared" si="2515"/>
        <v>0</v>
      </c>
      <c r="L293" s="82">
        <f t="shared" si="2516"/>
        <v>0</v>
      </c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>
        <f t="shared" si="2517"/>
        <v>0</v>
      </c>
      <c r="AC293" s="82">
        <f t="shared" si="2518"/>
        <v>0</v>
      </c>
      <c r="AD293" s="82">
        <f t="shared" si="1807"/>
        <v>17</v>
      </c>
      <c r="AE293" s="82">
        <f t="shared" si="2519"/>
        <v>1445007.99</v>
      </c>
      <c r="AF293" s="82"/>
      <c r="AG293" s="82"/>
      <c r="AH293" s="82">
        <f t="shared" si="2520"/>
        <v>0</v>
      </c>
      <c r="AI293" s="82">
        <f t="shared" si="2521"/>
        <v>0</v>
      </c>
      <c r="AJ293" s="82"/>
      <c r="AK293" s="82"/>
      <c r="AL293" s="82"/>
      <c r="AM293" s="82"/>
      <c r="AN293" s="82">
        <f t="shared" si="2522"/>
        <v>0</v>
      </c>
      <c r="AO293" s="82">
        <f t="shared" si="2523"/>
        <v>0</v>
      </c>
      <c r="AP293" s="82">
        <f t="shared" si="1813"/>
        <v>17</v>
      </c>
      <c r="AQ293" s="82">
        <f t="shared" si="2524"/>
        <v>1445007.99</v>
      </c>
      <c r="AR293" s="82"/>
      <c r="AS293" s="82"/>
      <c r="AT293" s="82"/>
      <c r="AU293" s="82">
        <f t="shared" si="2525"/>
        <v>0</v>
      </c>
      <c r="AV293" s="82">
        <f t="shared" si="2526"/>
        <v>0</v>
      </c>
      <c r="AW293" s="82"/>
      <c r="AX293" s="82"/>
      <c r="AY293" s="82"/>
      <c r="AZ293" s="82"/>
      <c r="BA293" s="82">
        <f t="shared" si="2527"/>
        <v>0</v>
      </c>
      <c r="BB293" s="82">
        <f t="shared" si="2528"/>
        <v>0</v>
      </c>
      <c r="BC293" s="82">
        <f t="shared" si="1819"/>
        <v>17</v>
      </c>
      <c r="BD293" s="82">
        <f t="shared" si="2529"/>
        <v>1445007.99</v>
      </c>
      <c r="BE293" s="82">
        <f t="shared" si="2530"/>
        <v>0</v>
      </c>
      <c r="BF293" s="82">
        <f t="shared" si="2531"/>
        <v>0</v>
      </c>
      <c r="BG293" s="82">
        <f t="shared" si="1823"/>
        <v>17</v>
      </c>
      <c r="BH293" s="82">
        <f t="shared" si="2532"/>
        <v>1445007.99</v>
      </c>
      <c r="BI293" s="82"/>
      <c r="BJ293" s="83"/>
      <c r="BK293" s="82">
        <f t="shared" si="2533"/>
        <v>0</v>
      </c>
      <c r="BL293" s="82">
        <f t="shared" si="2534"/>
        <v>0</v>
      </c>
      <c r="BM293" s="82"/>
      <c r="BN293" s="82"/>
      <c r="BO293" s="82"/>
      <c r="BP293" s="83">
        <v>3.0</v>
      </c>
      <c r="BQ293" s="82"/>
      <c r="BR293" s="82"/>
      <c r="BS293" s="83">
        <v>2.0</v>
      </c>
      <c r="BT293" s="82"/>
      <c r="BU293" s="82"/>
      <c r="BV293" s="82"/>
      <c r="BW293" s="82">
        <f t="shared" si="2535"/>
        <v>5</v>
      </c>
      <c r="BX293" s="82">
        <f t="shared" si="2536"/>
        <v>425002.35</v>
      </c>
      <c r="BY293" s="82">
        <f t="shared" si="1829"/>
        <v>12</v>
      </c>
      <c r="BZ293" s="82">
        <f t="shared" si="2537"/>
        <v>1020005.64</v>
      </c>
      <c r="CA293" s="82"/>
      <c r="CB293" s="82"/>
      <c r="CC293" s="82">
        <f t="shared" si="2538"/>
        <v>0</v>
      </c>
      <c r="CD293" s="82">
        <f t="shared" si="2539"/>
        <v>0</v>
      </c>
      <c r="CE293" s="82"/>
      <c r="CF293" s="82"/>
      <c r="CG293" s="82"/>
      <c r="CH293" s="82"/>
      <c r="CI293" s="82">
        <f t="shared" si="2540"/>
        <v>0</v>
      </c>
      <c r="CJ293" s="82">
        <f t="shared" si="2541"/>
        <v>0</v>
      </c>
      <c r="CK293" s="82">
        <f t="shared" si="1835"/>
        <v>12</v>
      </c>
      <c r="CL293" s="82">
        <f t="shared" si="2542"/>
        <v>1020005.64</v>
      </c>
      <c r="CM293" s="82"/>
      <c r="CN293" s="82"/>
      <c r="CO293" s="82">
        <f t="shared" si="1837"/>
        <v>0</v>
      </c>
      <c r="CP293" s="82">
        <f t="shared" si="1838"/>
        <v>0</v>
      </c>
      <c r="CQ293" s="83">
        <v>2.0</v>
      </c>
      <c r="CR293" s="82"/>
      <c r="CS293" s="82"/>
      <c r="CT293" s="82"/>
      <c r="CU293" s="82">
        <f t="shared" si="2543"/>
        <v>2</v>
      </c>
      <c r="CV293" s="82">
        <f t="shared" si="2544"/>
        <v>170000.94</v>
      </c>
      <c r="CW293" s="82">
        <f t="shared" si="1841"/>
        <v>10</v>
      </c>
      <c r="CX293" s="82">
        <f t="shared" si="2545"/>
        <v>850004.7</v>
      </c>
      <c r="CY293" s="82">
        <f t="shared" si="1843"/>
        <v>0</v>
      </c>
      <c r="CZ293" s="82">
        <f t="shared" si="1844"/>
        <v>7</v>
      </c>
      <c r="DA293" s="82">
        <f t="shared" si="1845"/>
        <v>10</v>
      </c>
      <c r="DB293" s="82">
        <f t="shared" si="1846"/>
        <v>850004.7</v>
      </c>
      <c r="DC293" s="91"/>
      <c r="DD293" s="82"/>
      <c r="DE293" s="82"/>
      <c r="DF293" s="82">
        <f t="shared" si="2546"/>
        <v>0</v>
      </c>
      <c r="DG293" s="82">
        <f t="shared" si="2547"/>
        <v>0</v>
      </c>
      <c r="DH293" s="82"/>
      <c r="DI293" s="82"/>
      <c r="DJ293" s="82"/>
      <c r="DK293" s="82"/>
      <c r="DL293" s="82">
        <f t="shared" si="2548"/>
        <v>0</v>
      </c>
      <c r="DM293" s="82">
        <f t="shared" si="2549"/>
        <v>0</v>
      </c>
      <c r="DN293" s="82">
        <f t="shared" si="2550"/>
        <v>10</v>
      </c>
      <c r="DO293" s="82">
        <f t="shared" si="2551"/>
        <v>850004.7</v>
      </c>
      <c r="DP293" s="82"/>
      <c r="DQ293" s="82"/>
      <c r="DR293" s="82">
        <f t="shared" si="2552"/>
        <v>0</v>
      </c>
      <c r="DS293" s="82">
        <f t="shared" si="2553"/>
        <v>0</v>
      </c>
      <c r="DT293" s="82"/>
      <c r="DU293" s="82"/>
      <c r="DV293" s="82"/>
      <c r="DW293" s="82"/>
      <c r="DX293" s="82">
        <f t="shared" si="2554"/>
        <v>0</v>
      </c>
      <c r="DY293" s="82">
        <f t="shared" si="2555"/>
        <v>0</v>
      </c>
      <c r="DZ293" s="82">
        <f t="shared" si="2556"/>
        <v>10</v>
      </c>
      <c r="EA293" s="82">
        <f t="shared" si="2557"/>
        <v>850004.7</v>
      </c>
      <c r="EB293" s="82"/>
      <c r="EC293" s="82"/>
      <c r="ED293" s="82">
        <f t="shared" si="2558"/>
        <v>0</v>
      </c>
      <c r="EE293" s="82">
        <f t="shared" si="2559"/>
        <v>0</v>
      </c>
      <c r="EF293" s="82"/>
      <c r="EG293" s="82"/>
      <c r="EH293" s="82"/>
      <c r="EI293" s="82"/>
      <c r="EJ293" s="82">
        <f t="shared" si="2560"/>
        <v>0</v>
      </c>
      <c r="EK293" s="82">
        <f t="shared" si="2561"/>
        <v>0</v>
      </c>
      <c r="EL293" s="82">
        <f t="shared" si="2562"/>
        <v>10</v>
      </c>
      <c r="EM293" s="82">
        <f t="shared" si="2563"/>
        <v>850004.7</v>
      </c>
      <c r="EN293" s="82">
        <f t="shared" si="2564"/>
        <v>0</v>
      </c>
      <c r="EO293" s="82">
        <f t="shared" si="2565"/>
        <v>0</v>
      </c>
      <c r="EP293" s="82">
        <f t="shared" si="2566"/>
        <v>10</v>
      </c>
      <c r="EQ293" s="82">
        <f t="shared" si="2567"/>
        <v>850004.7</v>
      </c>
      <c r="ER293" s="82"/>
      <c r="ES293" s="82"/>
      <c r="ET293" s="82">
        <f t="shared" si="2568"/>
        <v>0</v>
      </c>
      <c r="EU293" s="82">
        <f t="shared" si="2569"/>
        <v>0</v>
      </c>
      <c r="EV293" s="82"/>
      <c r="EW293" s="82"/>
      <c r="EX293" s="82"/>
      <c r="EY293" s="82"/>
      <c r="EZ293" s="82">
        <f t="shared" si="2570"/>
        <v>0</v>
      </c>
      <c r="FA293" s="82">
        <f t="shared" si="2571"/>
        <v>0</v>
      </c>
      <c r="FB293" s="82">
        <f t="shared" si="2572"/>
        <v>10</v>
      </c>
      <c r="FC293" s="82">
        <f t="shared" si="2573"/>
        <v>850004.7</v>
      </c>
      <c r="FD293" s="82"/>
      <c r="FE293" s="82"/>
      <c r="FF293" s="82">
        <f t="shared" si="2574"/>
        <v>0</v>
      </c>
      <c r="FG293" s="82">
        <f t="shared" si="2575"/>
        <v>0</v>
      </c>
      <c r="FH293" s="82"/>
      <c r="FI293" s="82"/>
      <c r="FJ293" s="82"/>
      <c r="FK293" s="82"/>
      <c r="FL293" s="82">
        <f t="shared" si="2576"/>
        <v>0</v>
      </c>
      <c r="FM293" s="82">
        <f t="shared" si="2577"/>
        <v>0</v>
      </c>
      <c r="FN293" s="82">
        <f t="shared" si="2578"/>
        <v>10</v>
      </c>
      <c r="FO293" s="82">
        <f t="shared" si="2579"/>
        <v>850004.7</v>
      </c>
      <c r="FP293" s="82"/>
      <c r="FQ293" s="82"/>
      <c r="FR293" s="82">
        <f t="shared" si="2580"/>
        <v>0</v>
      </c>
      <c r="FS293" s="82">
        <f t="shared" si="2581"/>
        <v>0</v>
      </c>
      <c r="FT293" s="82"/>
      <c r="FU293" s="82"/>
      <c r="FV293" s="82"/>
      <c r="FW293" s="82"/>
      <c r="FX293" s="82">
        <f t="shared" si="2582"/>
        <v>0</v>
      </c>
      <c r="FY293" s="82">
        <f t="shared" si="2583"/>
        <v>0</v>
      </c>
      <c r="FZ293" s="82">
        <f t="shared" si="2584"/>
        <v>10</v>
      </c>
      <c r="GA293" s="82">
        <f t="shared" si="2585"/>
        <v>850004.7</v>
      </c>
      <c r="GB293" s="82">
        <f t="shared" si="2586"/>
        <v>0</v>
      </c>
      <c r="GC293" s="82">
        <f t="shared" si="2587"/>
        <v>0</v>
      </c>
      <c r="GD293" s="82">
        <f t="shared" si="2588"/>
        <v>10</v>
      </c>
      <c r="GE293" s="82">
        <f t="shared" si="2589"/>
        <v>850004.7</v>
      </c>
      <c r="GF293" s="85"/>
    </row>
    <row r="294" ht="30.0" customHeight="1">
      <c r="A294" s="96">
        <v>30.0</v>
      </c>
      <c r="B294" s="58"/>
      <c r="C294" s="58" t="s">
        <v>314</v>
      </c>
      <c r="D294" s="99" t="s">
        <v>114</v>
      </c>
      <c r="E294" s="79">
        <v>17205.0</v>
      </c>
      <c r="F294" s="61" t="s">
        <v>97</v>
      </c>
      <c r="G294" s="81">
        <v>11.0</v>
      </c>
      <c r="H294" s="82">
        <v>189255.0</v>
      </c>
      <c r="I294" s="82"/>
      <c r="J294" s="82"/>
      <c r="K294" s="82">
        <f t="shared" si="2515"/>
        <v>0</v>
      </c>
      <c r="L294" s="82">
        <f t="shared" si="2516"/>
        <v>0</v>
      </c>
      <c r="M294" s="82"/>
      <c r="N294" s="82"/>
      <c r="O294" s="83">
        <v>10.0</v>
      </c>
      <c r="P294" s="82"/>
      <c r="Q294" s="83"/>
      <c r="R294" s="82"/>
      <c r="S294" s="82"/>
      <c r="T294" s="82"/>
      <c r="U294" s="82"/>
      <c r="V294" s="82"/>
      <c r="W294" s="82"/>
      <c r="X294" s="83">
        <v>1.0</v>
      </c>
      <c r="Y294" s="82"/>
      <c r="Z294" s="82"/>
      <c r="AA294" s="82"/>
      <c r="AB294" s="82">
        <f t="shared" si="2517"/>
        <v>11</v>
      </c>
      <c r="AC294" s="82">
        <f t="shared" si="2518"/>
        <v>189255</v>
      </c>
      <c r="AD294" s="82">
        <f t="shared" si="1807"/>
        <v>0</v>
      </c>
      <c r="AE294" s="82">
        <f t="shared" si="2519"/>
        <v>0</v>
      </c>
      <c r="AF294" s="82"/>
      <c r="AG294" s="82"/>
      <c r="AH294" s="82">
        <f t="shared" si="2520"/>
        <v>0</v>
      </c>
      <c r="AI294" s="82">
        <f t="shared" si="2521"/>
        <v>0</v>
      </c>
      <c r="AJ294" s="82"/>
      <c r="AK294" s="82"/>
      <c r="AL294" s="82"/>
      <c r="AM294" s="82"/>
      <c r="AN294" s="82">
        <f t="shared" si="2522"/>
        <v>0</v>
      </c>
      <c r="AO294" s="82">
        <f t="shared" si="2523"/>
        <v>0</v>
      </c>
      <c r="AP294" s="82">
        <f t="shared" si="1813"/>
        <v>0</v>
      </c>
      <c r="AQ294" s="82">
        <f t="shared" si="2524"/>
        <v>0</v>
      </c>
      <c r="AR294" s="82"/>
      <c r="AS294" s="82"/>
      <c r="AT294" s="82"/>
      <c r="AU294" s="82">
        <f t="shared" si="2525"/>
        <v>0</v>
      </c>
      <c r="AV294" s="82">
        <f t="shared" si="2526"/>
        <v>0</v>
      </c>
      <c r="AW294" s="82"/>
      <c r="AX294" s="82"/>
      <c r="AY294" s="82"/>
      <c r="AZ294" s="82"/>
      <c r="BA294" s="82">
        <f t="shared" si="2527"/>
        <v>0</v>
      </c>
      <c r="BB294" s="82">
        <f t="shared" si="2528"/>
        <v>0</v>
      </c>
      <c r="BC294" s="82">
        <f t="shared" si="1819"/>
        <v>0</v>
      </c>
      <c r="BD294" s="82">
        <f t="shared" si="2529"/>
        <v>0</v>
      </c>
      <c r="BE294" s="82">
        <f t="shared" si="2530"/>
        <v>0</v>
      </c>
      <c r="BF294" s="82">
        <f t="shared" si="2531"/>
        <v>11</v>
      </c>
      <c r="BG294" s="82">
        <f t="shared" si="1823"/>
        <v>0</v>
      </c>
      <c r="BH294" s="82">
        <f t="shared" si="2532"/>
        <v>0</v>
      </c>
      <c r="BI294" s="82"/>
      <c r="BJ294" s="83"/>
      <c r="BK294" s="82">
        <f t="shared" si="2533"/>
        <v>0</v>
      </c>
      <c r="BL294" s="82">
        <f t="shared" si="2534"/>
        <v>0</v>
      </c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>
        <f t="shared" si="2535"/>
        <v>0</v>
      </c>
      <c r="BX294" s="82">
        <f t="shared" si="2536"/>
        <v>0</v>
      </c>
      <c r="BY294" s="82">
        <f t="shared" si="1829"/>
        <v>0</v>
      </c>
      <c r="BZ294" s="82">
        <f t="shared" si="2537"/>
        <v>0</v>
      </c>
      <c r="CA294" s="82"/>
      <c r="CB294" s="82"/>
      <c r="CC294" s="82">
        <f t="shared" si="2538"/>
        <v>0</v>
      </c>
      <c r="CD294" s="82">
        <f t="shared" si="2539"/>
        <v>0</v>
      </c>
      <c r="CE294" s="82"/>
      <c r="CF294" s="82"/>
      <c r="CG294" s="82"/>
      <c r="CH294" s="82"/>
      <c r="CI294" s="82">
        <f t="shared" si="2540"/>
        <v>0</v>
      </c>
      <c r="CJ294" s="82">
        <f t="shared" si="2541"/>
        <v>0</v>
      </c>
      <c r="CK294" s="82">
        <f t="shared" si="1835"/>
        <v>0</v>
      </c>
      <c r="CL294" s="82">
        <f t="shared" si="2542"/>
        <v>0</v>
      </c>
      <c r="CM294" s="82"/>
      <c r="CN294" s="82"/>
      <c r="CO294" s="82">
        <f t="shared" si="1837"/>
        <v>0</v>
      </c>
      <c r="CP294" s="82">
        <f t="shared" si="1838"/>
        <v>0</v>
      </c>
      <c r="CQ294" s="82"/>
      <c r="CR294" s="82"/>
      <c r="CS294" s="82"/>
      <c r="CT294" s="82"/>
      <c r="CU294" s="82">
        <f t="shared" si="2543"/>
        <v>0</v>
      </c>
      <c r="CV294" s="82">
        <f t="shared" si="2544"/>
        <v>0</v>
      </c>
      <c r="CW294" s="82">
        <f t="shared" si="1841"/>
        <v>0</v>
      </c>
      <c r="CX294" s="82">
        <f t="shared" si="2545"/>
        <v>0</v>
      </c>
      <c r="CY294" s="82">
        <f t="shared" si="1843"/>
        <v>0</v>
      </c>
      <c r="CZ294" s="82">
        <f t="shared" si="1844"/>
        <v>0</v>
      </c>
      <c r="DA294" s="82">
        <f t="shared" si="1845"/>
        <v>0</v>
      </c>
      <c r="DB294" s="82">
        <f t="shared" si="1846"/>
        <v>0</v>
      </c>
      <c r="DC294" s="91"/>
      <c r="DD294" s="82"/>
      <c r="DE294" s="82"/>
      <c r="DF294" s="82">
        <f t="shared" si="2546"/>
        <v>0</v>
      </c>
      <c r="DG294" s="82">
        <f t="shared" si="2547"/>
        <v>0</v>
      </c>
      <c r="DH294" s="82"/>
      <c r="DI294" s="82"/>
      <c r="DJ294" s="82"/>
      <c r="DK294" s="82"/>
      <c r="DL294" s="82">
        <f t="shared" si="2548"/>
        <v>0</v>
      </c>
      <c r="DM294" s="82">
        <f t="shared" si="2549"/>
        <v>0</v>
      </c>
      <c r="DN294" s="82">
        <f t="shared" si="2550"/>
        <v>0</v>
      </c>
      <c r="DO294" s="82">
        <f t="shared" si="2551"/>
        <v>0</v>
      </c>
      <c r="DP294" s="82"/>
      <c r="DQ294" s="82"/>
      <c r="DR294" s="82">
        <f t="shared" si="2552"/>
        <v>0</v>
      </c>
      <c r="DS294" s="82">
        <f t="shared" si="2553"/>
        <v>0</v>
      </c>
      <c r="DT294" s="82"/>
      <c r="DU294" s="82"/>
      <c r="DV294" s="82"/>
      <c r="DW294" s="82"/>
      <c r="DX294" s="82">
        <f t="shared" si="2554"/>
        <v>0</v>
      </c>
      <c r="DY294" s="82">
        <f t="shared" si="2555"/>
        <v>0</v>
      </c>
      <c r="DZ294" s="82">
        <f t="shared" si="2556"/>
        <v>0</v>
      </c>
      <c r="EA294" s="82">
        <f t="shared" si="2557"/>
        <v>0</v>
      </c>
      <c r="EB294" s="82"/>
      <c r="EC294" s="82"/>
      <c r="ED294" s="82">
        <f t="shared" si="2558"/>
        <v>0</v>
      </c>
      <c r="EE294" s="82">
        <f t="shared" si="2559"/>
        <v>0</v>
      </c>
      <c r="EF294" s="82"/>
      <c r="EG294" s="82"/>
      <c r="EH294" s="82"/>
      <c r="EI294" s="82"/>
      <c r="EJ294" s="82">
        <f t="shared" si="2560"/>
        <v>0</v>
      </c>
      <c r="EK294" s="82">
        <f t="shared" si="2561"/>
        <v>0</v>
      </c>
      <c r="EL294" s="82">
        <f t="shared" si="2562"/>
        <v>0</v>
      </c>
      <c r="EM294" s="82">
        <f t="shared" si="2563"/>
        <v>0</v>
      </c>
      <c r="EN294" s="82">
        <f t="shared" si="2564"/>
        <v>0</v>
      </c>
      <c r="EO294" s="82">
        <f t="shared" si="2565"/>
        <v>0</v>
      </c>
      <c r="EP294" s="82">
        <f t="shared" si="2566"/>
        <v>0</v>
      </c>
      <c r="EQ294" s="82">
        <f t="shared" si="2567"/>
        <v>0</v>
      </c>
      <c r="ER294" s="82"/>
      <c r="ES294" s="82"/>
      <c r="ET294" s="82">
        <f t="shared" si="2568"/>
        <v>0</v>
      </c>
      <c r="EU294" s="82">
        <f t="shared" si="2569"/>
        <v>0</v>
      </c>
      <c r="EV294" s="82"/>
      <c r="EW294" s="82"/>
      <c r="EX294" s="82"/>
      <c r="EY294" s="82"/>
      <c r="EZ294" s="82">
        <f t="shared" si="2570"/>
        <v>0</v>
      </c>
      <c r="FA294" s="82">
        <f t="shared" si="2571"/>
        <v>0</v>
      </c>
      <c r="FB294" s="82">
        <f t="shared" si="2572"/>
        <v>0</v>
      </c>
      <c r="FC294" s="82">
        <f t="shared" si="2573"/>
        <v>0</v>
      </c>
      <c r="FD294" s="82"/>
      <c r="FE294" s="82"/>
      <c r="FF294" s="82">
        <f t="shared" si="2574"/>
        <v>0</v>
      </c>
      <c r="FG294" s="82">
        <f t="shared" si="2575"/>
        <v>0</v>
      </c>
      <c r="FH294" s="82"/>
      <c r="FI294" s="82"/>
      <c r="FJ294" s="82"/>
      <c r="FK294" s="82"/>
      <c r="FL294" s="82">
        <f t="shared" si="2576"/>
        <v>0</v>
      </c>
      <c r="FM294" s="82">
        <f t="shared" si="2577"/>
        <v>0</v>
      </c>
      <c r="FN294" s="82">
        <f t="shared" si="2578"/>
        <v>0</v>
      </c>
      <c r="FO294" s="82">
        <f t="shared" si="2579"/>
        <v>0</v>
      </c>
      <c r="FP294" s="82"/>
      <c r="FQ294" s="82"/>
      <c r="FR294" s="82">
        <f t="shared" si="2580"/>
        <v>0</v>
      </c>
      <c r="FS294" s="82">
        <f t="shared" si="2581"/>
        <v>0</v>
      </c>
      <c r="FT294" s="82"/>
      <c r="FU294" s="82"/>
      <c r="FV294" s="82"/>
      <c r="FW294" s="82"/>
      <c r="FX294" s="82">
        <f t="shared" si="2582"/>
        <v>0</v>
      </c>
      <c r="FY294" s="82">
        <f t="shared" si="2583"/>
        <v>0</v>
      </c>
      <c r="FZ294" s="82">
        <f t="shared" si="2584"/>
        <v>0</v>
      </c>
      <c r="GA294" s="82">
        <f t="shared" si="2585"/>
        <v>0</v>
      </c>
      <c r="GB294" s="82">
        <f t="shared" si="2586"/>
        <v>0</v>
      </c>
      <c r="GC294" s="82">
        <f t="shared" si="2587"/>
        <v>0</v>
      </c>
      <c r="GD294" s="82">
        <f t="shared" si="2588"/>
        <v>0</v>
      </c>
      <c r="GE294" s="82">
        <f t="shared" si="2589"/>
        <v>0</v>
      </c>
      <c r="GF294" s="85"/>
    </row>
    <row r="295" ht="30.0" customHeight="1">
      <c r="A295" s="76">
        <v>31.0</v>
      </c>
      <c r="B295" s="77"/>
      <c r="C295" s="77" t="s">
        <v>315</v>
      </c>
      <c r="D295" s="99" t="s">
        <v>114</v>
      </c>
      <c r="E295" s="86">
        <v>11712.0</v>
      </c>
      <c r="F295" s="80" t="s">
        <v>284</v>
      </c>
      <c r="G295" s="81">
        <v>8.0</v>
      </c>
      <c r="H295" s="82">
        <v>93696.0</v>
      </c>
      <c r="I295" s="82"/>
      <c r="J295" s="82"/>
      <c r="K295" s="82">
        <f t="shared" si="2515"/>
        <v>0</v>
      </c>
      <c r="L295" s="82">
        <f t="shared" si="2516"/>
        <v>0</v>
      </c>
      <c r="M295" s="82"/>
      <c r="N295" s="83">
        <v>8.0</v>
      </c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>
        <f t="shared" si="2517"/>
        <v>8</v>
      </c>
      <c r="AC295" s="82">
        <f t="shared" si="2518"/>
        <v>93696</v>
      </c>
      <c r="AD295" s="82">
        <f t="shared" si="1807"/>
        <v>0</v>
      </c>
      <c r="AE295" s="82">
        <f t="shared" si="2519"/>
        <v>0</v>
      </c>
      <c r="AF295" s="82"/>
      <c r="AG295" s="82"/>
      <c r="AH295" s="82">
        <f t="shared" si="2520"/>
        <v>0</v>
      </c>
      <c r="AI295" s="82">
        <f t="shared" si="2521"/>
        <v>0</v>
      </c>
      <c r="AJ295" s="82"/>
      <c r="AK295" s="82"/>
      <c r="AL295" s="82"/>
      <c r="AM295" s="82"/>
      <c r="AN295" s="82">
        <f t="shared" si="2522"/>
        <v>0</v>
      </c>
      <c r="AO295" s="82">
        <f t="shared" si="2523"/>
        <v>0</v>
      </c>
      <c r="AP295" s="82">
        <f t="shared" si="1813"/>
        <v>0</v>
      </c>
      <c r="AQ295" s="82">
        <f t="shared" si="2524"/>
        <v>0</v>
      </c>
      <c r="AR295" s="82"/>
      <c r="AS295" s="82"/>
      <c r="AT295" s="82"/>
      <c r="AU295" s="82">
        <f t="shared" si="2525"/>
        <v>0</v>
      </c>
      <c r="AV295" s="82">
        <f t="shared" si="2526"/>
        <v>0</v>
      </c>
      <c r="AW295" s="82"/>
      <c r="AX295" s="82"/>
      <c r="AY295" s="82"/>
      <c r="AZ295" s="82"/>
      <c r="BA295" s="82">
        <f t="shared" si="2527"/>
        <v>0</v>
      </c>
      <c r="BB295" s="82">
        <f t="shared" si="2528"/>
        <v>0</v>
      </c>
      <c r="BC295" s="82">
        <f t="shared" si="1819"/>
        <v>0</v>
      </c>
      <c r="BD295" s="82">
        <f t="shared" si="2529"/>
        <v>0</v>
      </c>
      <c r="BE295" s="82">
        <f t="shared" si="2530"/>
        <v>0</v>
      </c>
      <c r="BF295" s="82">
        <f t="shared" si="2531"/>
        <v>8</v>
      </c>
      <c r="BG295" s="82">
        <f t="shared" si="1823"/>
        <v>0</v>
      </c>
      <c r="BH295" s="82">
        <f t="shared" si="2532"/>
        <v>0</v>
      </c>
      <c r="BI295" s="82"/>
      <c r="BJ295" s="83"/>
      <c r="BK295" s="82">
        <f t="shared" si="2533"/>
        <v>0</v>
      </c>
      <c r="BL295" s="82">
        <f t="shared" si="2534"/>
        <v>0</v>
      </c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>
        <f t="shared" si="2535"/>
        <v>0</v>
      </c>
      <c r="BX295" s="82">
        <f t="shared" si="2536"/>
        <v>0</v>
      </c>
      <c r="BY295" s="82">
        <f t="shared" si="1829"/>
        <v>0</v>
      </c>
      <c r="BZ295" s="82">
        <f t="shared" si="2537"/>
        <v>0</v>
      </c>
      <c r="CA295" s="82"/>
      <c r="CB295" s="82"/>
      <c r="CC295" s="82">
        <f t="shared" si="2538"/>
        <v>0</v>
      </c>
      <c r="CD295" s="82">
        <f t="shared" si="2539"/>
        <v>0</v>
      </c>
      <c r="CE295" s="82"/>
      <c r="CF295" s="82"/>
      <c r="CG295" s="82"/>
      <c r="CH295" s="82"/>
      <c r="CI295" s="82">
        <f t="shared" si="2540"/>
        <v>0</v>
      </c>
      <c r="CJ295" s="82">
        <f t="shared" si="2541"/>
        <v>0</v>
      </c>
      <c r="CK295" s="82">
        <f t="shared" si="1835"/>
        <v>0</v>
      </c>
      <c r="CL295" s="82">
        <f t="shared" si="2542"/>
        <v>0</v>
      </c>
      <c r="CM295" s="82"/>
      <c r="CN295" s="82"/>
      <c r="CO295" s="82">
        <f t="shared" si="1837"/>
        <v>0</v>
      </c>
      <c r="CP295" s="82">
        <f t="shared" si="1838"/>
        <v>0</v>
      </c>
      <c r="CQ295" s="82"/>
      <c r="CR295" s="82"/>
      <c r="CS295" s="82"/>
      <c r="CT295" s="82"/>
      <c r="CU295" s="82">
        <f t="shared" si="2543"/>
        <v>0</v>
      </c>
      <c r="CV295" s="82">
        <f t="shared" si="2544"/>
        <v>0</v>
      </c>
      <c r="CW295" s="82">
        <f t="shared" si="1841"/>
        <v>0</v>
      </c>
      <c r="CX295" s="82">
        <f t="shared" si="2545"/>
        <v>0</v>
      </c>
      <c r="CY295" s="82">
        <f t="shared" si="1843"/>
        <v>0</v>
      </c>
      <c r="CZ295" s="82">
        <f t="shared" si="1844"/>
        <v>0</v>
      </c>
      <c r="DA295" s="82">
        <f t="shared" si="1845"/>
        <v>0</v>
      </c>
      <c r="DB295" s="82">
        <f t="shared" si="1846"/>
        <v>0</v>
      </c>
      <c r="DC295" s="91"/>
      <c r="DD295" s="82"/>
      <c r="DE295" s="82"/>
      <c r="DF295" s="82">
        <f t="shared" si="2546"/>
        <v>0</v>
      </c>
      <c r="DG295" s="82">
        <f t="shared" si="2547"/>
        <v>0</v>
      </c>
      <c r="DH295" s="82"/>
      <c r="DI295" s="82"/>
      <c r="DJ295" s="82"/>
      <c r="DK295" s="82"/>
      <c r="DL295" s="82">
        <f t="shared" si="2548"/>
        <v>0</v>
      </c>
      <c r="DM295" s="82">
        <f t="shared" si="2549"/>
        <v>0</v>
      </c>
      <c r="DN295" s="82">
        <f t="shared" si="2550"/>
        <v>0</v>
      </c>
      <c r="DO295" s="82">
        <f t="shared" si="2551"/>
        <v>0</v>
      </c>
      <c r="DP295" s="82"/>
      <c r="DQ295" s="82"/>
      <c r="DR295" s="82">
        <f t="shared" si="2552"/>
        <v>0</v>
      </c>
      <c r="DS295" s="82">
        <f t="shared" si="2553"/>
        <v>0</v>
      </c>
      <c r="DT295" s="82"/>
      <c r="DU295" s="82"/>
      <c r="DV295" s="82"/>
      <c r="DW295" s="82"/>
      <c r="DX295" s="82">
        <f t="shared" si="2554"/>
        <v>0</v>
      </c>
      <c r="DY295" s="82">
        <f t="shared" si="2555"/>
        <v>0</v>
      </c>
      <c r="DZ295" s="82">
        <f t="shared" si="2556"/>
        <v>0</v>
      </c>
      <c r="EA295" s="82">
        <f t="shared" si="2557"/>
        <v>0</v>
      </c>
      <c r="EB295" s="82"/>
      <c r="EC295" s="82"/>
      <c r="ED295" s="82">
        <f t="shared" si="2558"/>
        <v>0</v>
      </c>
      <c r="EE295" s="82">
        <f t="shared" si="2559"/>
        <v>0</v>
      </c>
      <c r="EF295" s="82"/>
      <c r="EG295" s="82"/>
      <c r="EH295" s="82"/>
      <c r="EI295" s="82"/>
      <c r="EJ295" s="82">
        <f t="shared" si="2560"/>
        <v>0</v>
      </c>
      <c r="EK295" s="82">
        <f t="shared" si="2561"/>
        <v>0</v>
      </c>
      <c r="EL295" s="82">
        <f t="shared" si="2562"/>
        <v>0</v>
      </c>
      <c r="EM295" s="82">
        <f t="shared" si="2563"/>
        <v>0</v>
      </c>
      <c r="EN295" s="82">
        <f t="shared" si="2564"/>
        <v>0</v>
      </c>
      <c r="EO295" s="82">
        <f t="shared" si="2565"/>
        <v>0</v>
      </c>
      <c r="EP295" s="82">
        <f t="shared" si="2566"/>
        <v>0</v>
      </c>
      <c r="EQ295" s="82">
        <f t="shared" si="2567"/>
        <v>0</v>
      </c>
      <c r="ER295" s="82"/>
      <c r="ES295" s="82"/>
      <c r="ET295" s="82">
        <f t="shared" si="2568"/>
        <v>0</v>
      </c>
      <c r="EU295" s="82">
        <f t="shared" si="2569"/>
        <v>0</v>
      </c>
      <c r="EV295" s="82"/>
      <c r="EW295" s="82"/>
      <c r="EX295" s="82"/>
      <c r="EY295" s="82"/>
      <c r="EZ295" s="82">
        <f t="shared" si="2570"/>
        <v>0</v>
      </c>
      <c r="FA295" s="82">
        <f t="shared" si="2571"/>
        <v>0</v>
      </c>
      <c r="FB295" s="82">
        <f t="shared" si="2572"/>
        <v>0</v>
      </c>
      <c r="FC295" s="82">
        <f t="shared" si="2573"/>
        <v>0</v>
      </c>
      <c r="FD295" s="82"/>
      <c r="FE295" s="82"/>
      <c r="FF295" s="82">
        <f t="shared" si="2574"/>
        <v>0</v>
      </c>
      <c r="FG295" s="82">
        <f t="shared" si="2575"/>
        <v>0</v>
      </c>
      <c r="FH295" s="82"/>
      <c r="FI295" s="82"/>
      <c r="FJ295" s="82"/>
      <c r="FK295" s="82"/>
      <c r="FL295" s="82">
        <f t="shared" si="2576"/>
        <v>0</v>
      </c>
      <c r="FM295" s="82">
        <f t="shared" si="2577"/>
        <v>0</v>
      </c>
      <c r="FN295" s="82">
        <f t="shared" si="2578"/>
        <v>0</v>
      </c>
      <c r="FO295" s="82">
        <f t="shared" si="2579"/>
        <v>0</v>
      </c>
      <c r="FP295" s="82"/>
      <c r="FQ295" s="82"/>
      <c r="FR295" s="82">
        <f t="shared" si="2580"/>
        <v>0</v>
      </c>
      <c r="FS295" s="82">
        <f t="shared" si="2581"/>
        <v>0</v>
      </c>
      <c r="FT295" s="82"/>
      <c r="FU295" s="82"/>
      <c r="FV295" s="82"/>
      <c r="FW295" s="82"/>
      <c r="FX295" s="82">
        <f t="shared" si="2582"/>
        <v>0</v>
      </c>
      <c r="FY295" s="82">
        <f t="shared" si="2583"/>
        <v>0</v>
      </c>
      <c r="FZ295" s="82">
        <f t="shared" si="2584"/>
        <v>0</v>
      </c>
      <c r="GA295" s="82">
        <f t="shared" si="2585"/>
        <v>0</v>
      </c>
      <c r="GB295" s="82">
        <f t="shared" si="2586"/>
        <v>0</v>
      </c>
      <c r="GC295" s="82">
        <f t="shared" si="2587"/>
        <v>0</v>
      </c>
      <c r="GD295" s="82">
        <f t="shared" si="2588"/>
        <v>0</v>
      </c>
      <c r="GE295" s="82">
        <f t="shared" si="2589"/>
        <v>0</v>
      </c>
      <c r="GF295" s="85"/>
    </row>
    <row r="296" ht="30.0" customHeight="1">
      <c r="A296" s="50"/>
      <c r="B296" s="50"/>
      <c r="C296" s="50"/>
      <c r="D296" s="99"/>
      <c r="E296" s="86">
        <v>11711.61</v>
      </c>
      <c r="F296" s="80" t="s">
        <v>280</v>
      </c>
      <c r="G296" s="81">
        <v>255.0</v>
      </c>
      <c r="H296" s="82">
        <v>2986460.5500000003</v>
      </c>
      <c r="I296" s="82"/>
      <c r="J296" s="82"/>
      <c r="K296" s="82">
        <f t="shared" si="2515"/>
        <v>0</v>
      </c>
      <c r="L296" s="82">
        <f t="shared" si="2516"/>
        <v>0</v>
      </c>
      <c r="M296" s="82"/>
      <c r="N296" s="83">
        <v>52.0</v>
      </c>
      <c r="O296" s="82"/>
      <c r="P296" s="82"/>
      <c r="Q296" s="82"/>
      <c r="R296" s="82"/>
      <c r="S296" s="83">
        <v>6.0</v>
      </c>
      <c r="T296" s="83">
        <v>6.0</v>
      </c>
      <c r="U296" s="83">
        <v>8.0</v>
      </c>
      <c r="V296" s="83">
        <v>5.0</v>
      </c>
      <c r="W296" s="82"/>
      <c r="X296" s="83">
        <v>5.0</v>
      </c>
      <c r="Y296" s="82"/>
      <c r="Z296" s="82"/>
      <c r="AA296" s="82"/>
      <c r="AB296" s="82">
        <f t="shared" si="2517"/>
        <v>82</v>
      </c>
      <c r="AC296" s="82">
        <f t="shared" si="2518"/>
        <v>960352.02</v>
      </c>
      <c r="AD296" s="82">
        <f t="shared" si="1807"/>
        <v>173</v>
      </c>
      <c r="AE296" s="82">
        <f t="shared" si="2519"/>
        <v>2026108.53</v>
      </c>
      <c r="AF296" s="82"/>
      <c r="AG296" s="82"/>
      <c r="AH296" s="82">
        <f t="shared" si="2520"/>
        <v>0</v>
      </c>
      <c r="AI296" s="82">
        <f t="shared" si="2521"/>
        <v>0</v>
      </c>
      <c r="AJ296" s="82"/>
      <c r="AK296" s="82"/>
      <c r="AL296" s="82"/>
      <c r="AM296" s="82"/>
      <c r="AN296" s="82">
        <f t="shared" si="2522"/>
        <v>0</v>
      </c>
      <c r="AO296" s="82">
        <f t="shared" si="2523"/>
        <v>0</v>
      </c>
      <c r="AP296" s="82">
        <f t="shared" si="1813"/>
        <v>173</v>
      </c>
      <c r="AQ296" s="82">
        <f t="shared" si="2524"/>
        <v>2026108.53</v>
      </c>
      <c r="AR296" s="82"/>
      <c r="AS296" s="82"/>
      <c r="AT296" s="82"/>
      <c r="AU296" s="82">
        <f t="shared" si="2525"/>
        <v>0</v>
      </c>
      <c r="AV296" s="82">
        <f t="shared" si="2526"/>
        <v>0</v>
      </c>
      <c r="AW296" s="82"/>
      <c r="AX296" s="82"/>
      <c r="AY296" s="82"/>
      <c r="AZ296" s="82"/>
      <c r="BA296" s="82">
        <f t="shared" si="2527"/>
        <v>0</v>
      </c>
      <c r="BB296" s="82">
        <f t="shared" si="2528"/>
        <v>0</v>
      </c>
      <c r="BC296" s="82">
        <f t="shared" si="1819"/>
        <v>173</v>
      </c>
      <c r="BD296" s="82">
        <f t="shared" si="2529"/>
        <v>2026108.53</v>
      </c>
      <c r="BE296" s="82">
        <f t="shared" si="2530"/>
        <v>0</v>
      </c>
      <c r="BF296" s="82">
        <f t="shared" si="2531"/>
        <v>82</v>
      </c>
      <c r="BG296" s="82">
        <f t="shared" si="1823"/>
        <v>173</v>
      </c>
      <c r="BH296" s="82">
        <f t="shared" si="2532"/>
        <v>2026108.53</v>
      </c>
      <c r="BI296" s="82"/>
      <c r="BJ296" s="83"/>
      <c r="BK296" s="82">
        <f t="shared" si="2533"/>
        <v>0</v>
      </c>
      <c r="BL296" s="82">
        <f t="shared" si="2534"/>
        <v>0</v>
      </c>
      <c r="BM296" s="82"/>
      <c r="BN296" s="82"/>
      <c r="BO296" s="82"/>
      <c r="BP296" s="83">
        <v>6.0</v>
      </c>
      <c r="BQ296" s="82"/>
      <c r="BR296" s="82"/>
      <c r="BS296" s="83">
        <v>48.0</v>
      </c>
      <c r="BT296" s="83">
        <v>5.0</v>
      </c>
      <c r="BU296" s="83"/>
      <c r="BV296" s="83"/>
      <c r="BW296" s="82">
        <f t="shared" si="2535"/>
        <v>59</v>
      </c>
      <c r="BX296" s="82">
        <f t="shared" si="2536"/>
        <v>690984.99</v>
      </c>
      <c r="BY296" s="82">
        <f t="shared" si="1829"/>
        <v>114</v>
      </c>
      <c r="BZ296" s="82">
        <f t="shared" si="2537"/>
        <v>1335123.54</v>
      </c>
      <c r="CA296" s="82"/>
      <c r="CB296" s="82"/>
      <c r="CC296" s="82">
        <f t="shared" si="2538"/>
        <v>0</v>
      </c>
      <c r="CD296" s="82">
        <f t="shared" si="2539"/>
        <v>0</v>
      </c>
      <c r="CE296" s="83">
        <v>18.0</v>
      </c>
      <c r="CF296" s="82"/>
      <c r="CG296" s="82"/>
      <c r="CH296" s="82"/>
      <c r="CI296" s="82">
        <f t="shared" si="2540"/>
        <v>18</v>
      </c>
      <c r="CJ296" s="82">
        <f t="shared" si="2541"/>
        <v>210808.98</v>
      </c>
      <c r="CK296" s="82">
        <f t="shared" si="1835"/>
        <v>96</v>
      </c>
      <c r="CL296" s="82">
        <f t="shared" si="2542"/>
        <v>1124314.56</v>
      </c>
      <c r="CM296" s="82"/>
      <c r="CN296" s="82"/>
      <c r="CO296" s="82">
        <f t="shared" si="1837"/>
        <v>0</v>
      </c>
      <c r="CP296" s="82">
        <f t="shared" si="1838"/>
        <v>0</v>
      </c>
      <c r="CQ296" s="82"/>
      <c r="CR296" s="82"/>
      <c r="CS296" s="82"/>
      <c r="CT296" s="82"/>
      <c r="CU296" s="82">
        <f t="shared" si="2543"/>
        <v>0</v>
      </c>
      <c r="CV296" s="82">
        <f t="shared" si="2544"/>
        <v>0</v>
      </c>
      <c r="CW296" s="82">
        <f t="shared" si="1841"/>
        <v>96</v>
      </c>
      <c r="CX296" s="82">
        <f t="shared" si="2545"/>
        <v>1124314.56</v>
      </c>
      <c r="CY296" s="82">
        <f t="shared" si="1843"/>
        <v>0</v>
      </c>
      <c r="CZ296" s="82">
        <f t="shared" si="1844"/>
        <v>77</v>
      </c>
      <c r="DA296" s="82">
        <f t="shared" si="1845"/>
        <v>96</v>
      </c>
      <c r="DB296" s="82">
        <f t="shared" si="1846"/>
        <v>1124314.56</v>
      </c>
      <c r="DC296" s="91"/>
      <c r="DD296" s="82"/>
      <c r="DE296" s="82"/>
      <c r="DF296" s="82">
        <f t="shared" si="2546"/>
        <v>0</v>
      </c>
      <c r="DG296" s="82">
        <f t="shared" si="2547"/>
        <v>0</v>
      </c>
      <c r="DH296" s="82"/>
      <c r="DI296" s="82"/>
      <c r="DJ296" s="82"/>
      <c r="DK296" s="82"/>
      <c r="DL296" s="82">
        <f t="shared" si="2548"/>
        <v>0</v>
      </c>
      <c r="DM296" s="82">
        <f t="shared" si="2549"/>
        <v>0</v>
      </c>
      <c r="DN296" s="82">
        <f t="shared" si="2550"/>
        <v>96</v>
      </c>
      <c r="DO296" s="82">
        <f t="shared" si="2551"/>
        <v>1124314.56</v>
      </c>
      <c r="DP296" s="82"/>
      <c r="DQ296" s="82"/>
      <c r="DR296" s="82">
        <f t="shared" si="2552"/>
        <v>0</v>
      </c>
      <c r="DS296" s="82">
        <f t="shared" si="2553"/>
        <v>0</v>
      </c>
      <c r="DT296" s="82"/>
      <c r="DU296" s="82"/>
      <c r="DV296" s="82"/>
      <c r="DW296" s="82"/>
      <c r="DX296" s="82">
        <f t="shared" si="2554"/>
        <v>0</v>
      </c>
      <c r="DY296" s="82">
        <f t="shared" si="2555"/>
        <v>0</v>
      </c>
      <c r="DZ296" s="82">
        <f t="shared" si="2556"/>
        <v>96</v>
      </c>
      <c r="EA296" s="82">
        <f t="shared" si="2557"/>
        <v>1124314.56</v>
      </c>
      <c r="EB296" s="82"/>
      <c r="EC296" s="82"/>
      <c r="ED296" s="82">
        <f t="shared" si="2558"/>
        <v>0</v>
      </c>
      <c r="EE296" s="82">
        <f t="shared" si="2559"/>
        <v>0</v>
      </c>
      <c r="EF296" s="82"/>
      <c r="EG296" s="82"/>
      <c r="EH296" s="82"/>
      <c r="EI296" s="82"/>
      <c r="EJ296" s="82">
        <f t="shared" si="2560"/>
        <v>0</v>
      </c>
      <c r="EK296" s="82">
        <f t="shared" si="2561"/>
        <v>0</v>
      </c>
      <c r="EL296" s="82">
        <f t="shared" si="2562"/>
        <v>96</v>
      </c>
      <c r="EM296" s="82">
        <f t="shared" si="2563"/>
        <v>1124314.56</v>
      </c>
      <c r="EN296" s="82">
        <f t="shared" si="2564"/>
        <v>0</v>
      </c>
      <c r="EO296" s="82">
        <f t="shared" si="2565"/>
        <v>0</v>
      </c>
      <c r="EP296" s="82">
        <f t="shared" si="2566"/>
        <v>96</v>
      </c>
      <c r="EQ296" s="82">
        <f t="shared" si="2567"/>
        <v>1124314.56</v>
      </c>
      <c r="ER296" s="82"/>
      <c r="ES296" s="82"/>
      <c r="ET296" s="82">
        <f t="shared" si="2568"/>
        <v>0</v>
      </c>
      <c r="EU296" s="82">
        <f t="shared" si="2569"/>
        <v>0</v>
      </c>
      <c r="EV296" s="82"/>
      <c r="EW296" s="82"/>
      <c r="EX296" s="82"/>
      <c r="EY296" s="82"/>
      <c r="EZ296" s="82">
        <f t="shared" si="2570"/>
        <v>0</v>
      </c>
      <c r="FA296" s="82">
        <f t="shared" si="2571"/>
        <v>0</v>
      </c>
      <c r="FB296" s="82">
        <f t="shared" si="2572"/>
        <v>96</v>
      </c>
      <c r="FC296" s="82">
        <f t="shared" si="2573"/>
        <v>1124314.56</v>
      </c>
      <c r="FD296" s="82"/>
      <c r="FE296" s="82"/>
      <c r="FF296" s="82">
        <f t="shared" si="2574"/>
        <v>0</v>
      </c>
      <c r="FG296" s="82">
        <f t="shared" si="2575"/>
        <v>0</v>
      </c>
      <c r="FH296" s="82"/>
      <c r="FI296" s="82"/>
      <c r="FJ296" s="82"/>
      <c r="FK296" s="82"/>
      <c r="FL296" s="82">
        <f t="shared" si="2576"/>
        <v>0</v>
      </c>
      <c r="FM296" s="82">
        <f t="shared" si="2577"/>
        <v>0</v>
      </c>
      <c r="FN296" s="82">
        <f t="shared" si="2578"/>
        <v>96</v>
      </c>
      <c r="FO296" s="82">
        <f t="shared" si="2579"/>
        <v>1124314.56</v>
      </c>
      <c r="FP296" s="82"/>
      <c r="FQ296" s="82"/>
      <c r="FR296" s="82">
        <f t="shared" si="2580"/>
        <v>0</v>
      </c>
      <c r="FS296" s="82">
        <f t="shared" si="2581"/>
        <v>0</v>
      </c>
      <c r="FT296" s="82"/>
      <c r="FU296" s="82"/>
      <c r="FV296" s="82"/>
      <c r="FW296" s="82"/>
      <c r="FX296" s="82">
        <f t="shared" si="2582"/>
        <v>0</v>
      </c>
      <c r="FY296" s="82">
        <f t="shared" si="2583"/>
        <v>0</v>
      </c>
      <c r="FZ296" s="82">
        <f t="shared" si="2584"/>
        <v>96</v>
      </c>
      <c r="GA296" s="82">
        <f t="shared" si="2585"/>
        <v>1124314.56</v>
      </c>
      <c r="GB296" s="82">
        <f t="shared" si="2586"/>
        <v>0</v>
      </c>
      <c r="GC296" s="82">
        <f t="shared" si="2587"/>
        <v>0</v>
      </c>
      <c r="GD296" s="82">
        <f t="shared" si="2588"/>
        <v>96</v>
      </c>
      <c r="GE296" s="82">
        <f t="shared" si="2589"/>
        <v>1124314.56</v>
      </c>
      <c r="GF296" s="85"/>
    </row>
    <row r="297" ht="30.0" customHeight="1">
      <c r="A297" s="96">
        <v>32.0</v>
      </c>
      <c r="B297" s="58"/>
      <c r="C297" s="100" t="s">
        <v>315</v>
      </c>
      <c r="D297" s="99" t="s">
        <v>96</v>
      </c>
      <c r="E297" s="130">
        <v>14430.0</v>
      </c>
      <c r="F297" s="80" t="s">
        <v>281</v>
      </c>
      <c r="G297" s="90">
        <v>96.0</v>
      </c>
      <c r="H297" s="82"/>
      <c r="I297" s="82"/>
      <c r="J297" s="82"/>
      <c r="K297" s="82">
        <f t="shared" si="2515"/>
        <v>0</v>
      </c>
      <c r="L297" s="82">
        <f t="shared" si="2516"/>
        <v>0</v>
      </c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>
        <f t="shared" si="2517"/>
        <v>0</v>
      </c>
      <c r="AC297" s="82">
        <f t="shared" si="2518"/>
        <v>0</v>
      </c>
      <c r="AD297" s="82">
        <f t="shared" si="1807"/>
        <v>96</v>
      </c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>
        <f t="shared" si="1813"/>
        <v>96</v>
      </c>
      <c r="AQ297" s="82">
        <f>AP297*E296</f>
        <v>1124314.56</v>
      </c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>
        <f t="shared" si="1819"/>
        <v>96</v>
      </c>
      <c r="BD297" s="82">
        <f>BC297*E296</f>
        <v>1124314.56</v>
      </c>
      <c r="BE297" s="82"/>
      <c r="BF297" s="82"/>
      <c r="BG297" s="82">
        <f t="shared" si="1823"/>
        <v>96</v>
      </c>
      <c r="BH297" s="82"/>
      <c r="BI297" s="82"/>
      <c r="BJ297" s="83"/>
      <c r="BK297" s="82"/>
      <c r="BL297" s="82"/>
      <c r="BM297" s="82"/>
      <c r="BN297" s="82"/>
      <c r="BO297" s="82"/>
      <c r="BP297" s="83"/>
      <c r="BQ297" s="82"/>
      <c r="BR297" s="82"/>
      <c r="BS297" s="83"/>
      <c r="BT297" s="82"/>
      <c r="BU297" s="82"/>
      <c r="BV297" s="82"/>
      <c r="BW297" s="82"/>
      <c r="BX297" s="82"/>
      <c r="BY297" s="82">
        <f t="shared" si="1829"/>
        <v>96</v>
      </c>
      <c r="BZ297" s="82">
        <f>BY297*E296</f>
        <v>1124314.56</v>
      </c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>
        <f t="shared" si="1835"/>
        <v>96</v>
      </c>
      <c r="CL297" s="82">
        <f>CK297*E296</f>
        <v>1124314.56</v>
      </c>
      <c r="CM297" s="83">
        <v>255.0</v>
      </c>
      <c r="CN297" s="82"/>
      <c r="CO297" s="82">
        <f t="shared" si="1837"/>
        <v>255</v>
      </c>
      <c r="CP297" s="82">
        <f t="shared" si="1838"/>
        <v>3679650</v>
      </c>
      <c r="CQ297" s="82"/>
      <c r="CR297" s="82"/>
      <c r="CS297" s="82"/>
      <c r="CT297" s="82"/>
      <c r="CU297" s="82">
        <f t="shared" si="2543"/>
        <v>0</v>
      </c>
      <c r="CV297" s="82">
        <f t="shared" si="2544"/>
        <v>0</v>
      </c>
      <c r="CW297" s="82">
        <f t="shared" si="1841"/>
        <v>351</v>
      </c>
      <c r="CX297" s="82">
        <f>(CO297*E297)+(CK297*E296)</f>
        <v>4803964.56</v>
      </c>
      <c r="CY297" s="82">
        <f t="shared" si="1843"/>
        <v>255</v>
      </c>
      <c r="CZ297" s="82">
        <f t="shared" si="1844"/>
        <v>0</v>
      </c>
      <c r="DA297" s="82">
        <f t="shared" si="1845"/>
        <v>351</v>
      </c>
      <c r="DB297" s="82">
        <f t="shared" si="1846"/>
        <v>5064930</v>
      </c>
      <c r="DC297" s="91"/>
      <c r="DD297" s="82"/>
      <c r="DE297" s="82"/>
      <c r="DF297" s="82">
        <f t="shared" si="2546"/>
        <v>0</v>
      </c>
      <c r="DG297" s="82">
        <f t="shared" si="2547"/>
        <v>0</v>
      </c>
      <c r="DH297" s="82"/>
      <c r="DI297" s="82"/>
      <c r="DJ297" s="82"/>
      <c r="DK297" s="82"/>
      <c r="DL297" s="82">
        <f t="shared" si="2548"/>
        <v>0</v>
      </c>
      <c r="DM297" s="82">
        <f t="shared" si="2549"/>
        <v>0</v>
      </c>
      <c r="DN297" s="82">
        <f t="shared" si="2550"/>
        <v>351</v>
      </c>
      <c r="DO297" s="82">
        <f t="shared" si="2551"/>
        <v>5064930</v>
      </c>
      <c r="DP297" s="82"/>
      <c r="DQ297" s="82"/>
      <c r="DR297" s="82">
        <f t="shared" si="2552"/>
        <v>0</v>
      </c>
      <c r="DS297" s="82">
        <f t="shared" si="2553"/>
        <v>0</v>
      </c>
      <c r="DT297" s="82"/>
      <c r="DU297" s="82"/>
      <c r="DV297" s="82"/>
      <c r="DW297" s="82"/>
      <c r="DX297" s="82">
        <f t="shared" si="2554"/>
        <v>0</v>
      </c>
      <c r="DY297" s="82">
        <f t="shared" si="2555"/>
        <v>0</v>
      </c>
      <c r="DZ297" s="82">
        <f t="shared" si="2556"/>
        <v>351</v>
      </c>
      <c r="EA297" s="82">
        <f t="shared" si="2557"/>
        <v>5064930</v>
      </c>
      <c r="EB297" s="82"/>
      <c r="EC297" s="82"/>
      <c r="ED297" s="82">
        <f t="shared" si="2558"/>
        <v>0</v>
      </c>
      <c r="EE297" s="82">
        <f t="shared" si="2559"/>
        <v>0</v>
      </c>
      <c r="EF297" s="82"/>
      <c r="EG297" s="82"/>
      <c r="EH297" s="82"/>
      <c r="EI297" s="82"/>
      <c r="EJ297" s="82">
        <f t="shared" si="2560"/>
        <v>0</v>
      </c>
      <c r="EK297" s="82">
        <f t="shared" si="2561"/>
        <v>0</v>
      </c>
      <c r="EL297" s="82">
        <f t="shared" si="2562"/>
        <v>351</v>
      </c>
      <c r="EM297" s="82">
        <f t="shared" si="2563"/>
        <v>5064930</v>
      </c>
      <c r="EN297" s="82">
        <f t="shared" si="2564"/>
        <v>0</v>
      </c>
      <c r="EO297" s="82">
        <f t="shared" si="2565"/>
        <v>0</v>
      </c>
      <c r="EP297" s="82">
        <f t="shared" si="2566"/>
        <v>351</v>
      </c>
      <c r="EQ297" s="82">
        <f t="shared" si="2567"/>
        <v>5064930</v>
      </c>
      <c r="ER297" s="82"/>
      <c r="ES297" s="82"/>
      <c r="ET297" s="82">
        <f t="shared" si="2568"/>
        <v>0</v>
      </c>
      <c r="EU297" s="82">
        <f t="shared" si="2569"/>
        <v>0</v>
      </c>
      <c r="EV297" s="82"/>
      <c r="EW297" s="82"/>
      <c r="EX297" s="82"/>
      <c r="EY297" s="82"/>
      <c r="EZ297" s="82">
        <f t="shared" si="2570"/>
        <v>0</v>
      </c>
      <c r="FA297" s="82">
        <f t="shared" si="2571"/>
        <v>0</v>
      </c>
      <c r="FB297" s="82">
        <f t="shared" si="2572"/>
        <v>351</v>
      </c>
      <c r="FC297" s="82">
        <f t="shared" si="2573"/>
        <v>5064930</v>
      </c>
      <c r="FD297" s="82"/>
      <c r="FE297" s="82"/>
      <c r="FF297" s="82">
        <f t="shared" si="2574"/>
        <v>0</v>
      </c>
      <c r="FG297" s="82">
        <f t="shared" si="2575"/>
        <v>0</v>
      </c>
      <c r="FH297" s="82"/>
      <c r="FI297" s="82"/>
      <c r="FJ297" s="82"/>
      <c r="FK297" s="82"/>
      <c r="FL297" s="82">
        <f t="shared" si="2576"/>
        <v>0</v>
      </c>
      <c r="FM297" s="82">
        <f t="shared" si="2577"/>
        <v>0</v>
      </c>
      <c r="FN297" s="82">
        <f t="shared" si="2578"/>
        <v>351</v>
      </c>
      <c r="FO297" s="82">
        <f t="shared" si="2579"/>
        <v>5064930</v>
      </c>
      <c r="FP297" s="82"/>
      <c r="FQ297" s="82"/>
      <c r="FR297" s="82">
        <f t="shared" si="2580"/>
        <v>0</v>
      </c>
      <c r="FS297" s="82">
        <f t="shared" si="2581"/>
        <v>0</v>
      </c>
      <c r="FT297" s="82"/>
      <c r="FU297" s="82"/>
      <c r="FV297" s="82"/>
      <c r="FW297" s="82"/>
      <c r="FX297" s="82">
        <f t="shared" si="2582"/>
        <v>0</v>
      </c>
      <c r="FY297" s="82">
        <f t="shared" si="2583"/>
        <v>0</v>
      </c>
      <c r="FZ297" s="82">
        <f t="shared" si="2584"/>
        <v>351</v>
      </c>
      <c r="GA297" s="82">
        <f t="shared" si="2585"/>
        <v>5064930</v>
      </c>
      <c r="GB297" s="82">
        <f t="shared" si="2586"/>
        <v>0</v>
      </c>
      <c r="GC297" s="82">
        <f t="shared" si="2587"/>
        <v>0</v>
      </c>
      <c r="GD297" s="82">
        <f t="shared" si="2588"/>
        <v>351</v>
      </c>
      <c r="GE297" s="82">
        <f t="shared" si="2589"/>
        <v>5064930</v>
      </c>
      <c r="GF297" s="85"/>
    </row>
    <row r="298" ht="30.0" customHeight="1">
      <c r="A298" s="76">
        <v>33.0</v>
      </c>
      <c r="B298" s="77"/>
      <c r="C298" s="77" t="s">
        <v>316</v>
      </c>
      <c r="D298" s="78" t="s">
        <v>105</v>
      </c>
      <c r="E298" s="86">
        <v>12613.0</v>
      </c>
      <c r="F298" s="80" t="s">
        <v>284</v>
      </c>
      <c r="G298" s="81">
        <v>79.0</v>
      </c>
      <c r="H298" s="82">
        <v>996427.0</v>
      </c>
      <c r="I298" s="82"/>
      <c r="J298" s="82"/>
      <c r="K298" s="82">
        <f t="shared" si="2515"/>
        <v>0</v>
      </c>
      <c r="L298" s="82">
        <f t="shared" si="2516"/>
        <v>0</v>
      </c>
      <c r="M298" s="83">
        <v>5.0</v>
      </c>
      <c r="N298" s="82"/>
      <c r="O298" s="83">
        <v>10.0</v>
      </c>
      <c r="P298" s="83">
        <v>5.0</v>
      </c>
      <c r="Q298" s="83">
        <v>10.0</v>
      </c>
      <c r="R298" s="83">
        <v>10.0</v>
      </c>
      <c r="S298" s="83">
        <v>6.0</v>
      </c>
      <c r="T298" s="83">
        <v>6.0</v>
      </c>
      <c r="U298" s="83">
        <v>8.0</v>
      </c>
      <c r="V298" s="83">
        <v>4.0</v>
      </c>
      <c r="W298" s="82"/>
      <c r="X298" s="83">
        <v>5.0</v>
      </c>
      <c r="Y298" s="82"/>
      <c r="Z298" s="83">
        <v>10.0</v>
      </c>
      <c r="AA298" s="82"/>
      <c r="AB298" s="82">
        <f t="shared" si="2517"/>
        <v>79</v>
      </c>
      <c r="AC298" s="82">
        <f t="shared" si="2518"/>
        <v>996427</v>
      </c>
      <c r="AD298" s="82">
        <f t="shared" si="1807"/>
        <v>0</v>
      </c>
      <c r="AE298" s="82">
        <f t="shared" ref="AE298:AE299" si="2590">AD298*E298</f>
        <v>0</v>
      </c>
      <c r="AF298" s="82"/>
      <c r="AG298" s="82"/>
      <c r="AH298" s="82">
        <f t="shared" ref="AH298:AH299" si="2591">SUM(AF298:AG298)</f>
        <v>0</v>
      </c>
      <c r="AI298" s="82">
        <f t="shared" ref="AI298:AI299" si="2592">AH298*E298</f>
        <v>0</v>
      </c>
      <c r="AJ298" s="82"/>
      <c r="AK298" s="82"/>
      <c r="AL298" s="82"/>
      <c r="AM298" s="82"/>
      <c r="AN298" s="82">
        <f t="shared" ref="AN298:AN299" si="2593">SUM(AJ298:AM298)</f>
        <v>0</v>
      </c>
      <c r="AO298" s="82">
        <f t="shared" ref="AO298:AO299" si="2594">AN298*E298</f>
        <v>0</v>
      </c>
      <c r="AP298" s="82">
        <f t="shared" si="1813"/>
        <v>0</v>
      </c>
      <c r="AQ298" s="82">
        <f t="shared" ref="AQ298:AQ299" si="2595">AP298*E298</f>
        <v>0</v>
      </c>
      <c r="AR298" s="82"/>
      <c r="AS298" s="82"/>
      <c r="AT298" s="82"/>
      <c r="AU298" s="82">
        <f t="shared" ref="AU298:AU299" si="2596">SUM(AS298:AT298)</f>
        <v>0</v>
      </c>
      <c r="AV298" s="82">
        <f t="shared" ref="AV298:AV299" si="2597">AU298*AB298</f>
        <v>0</v>
      </c>
      <c r="AW298" s="82"/>
      <c r="AX298" s="82"/>
      <c r="AY298" s="82"/>
      <c r="AZ298" s="82"/>
      <c r="BA298" s="82">
        <f t="shared" ref="BA298:BA299" si="2598">SUM(AW298:AZ298)</f>
        <v>0</v>
      </c>
      <c r="BB298" s="82">
        <f t="shared" ref="BB298:BB299" si="2599">BA298*AB298</f>
        <v>0</v>
      </c>
      <c r="BC298" s="82">
        <f t="shared" si="1819"/>
        <v>0</v>
      </c>
      <c r="BD298" s="82">
        <f t="shared" ref="BD298:BD299" si="2600">BC298*E298</f>
        <v>0</v>
      </c>
      <c r="BE298" s="82">
        <f t="shared" ref="BE298:BE299" si="2601">K298+AH298+AU298</f>
        <v>0</v>
      </c>
      <c r="BF298" s="82">
        <f t="shared" ref="BF298:BF299" si="2602">AB298+AN298+BA298</f>
        <v>79</v>
      </c>
      <c r="BG298" s="82">
        <f t="shared" si="1823"/>
        <v>0</v>
      </c>
      <c r="BH298" s="82">
        <f t="shared" ref="BH298:BH299" si="2603">BG298*E298</f>
        <v>0</v>
      </c>
      <c r="BI298" s="82"/>
      <c r="BJ298" s="83"/>
      <c r="BK298" s="82">
        <f t="shared" ref="BK298:BK299" si="2604">SUM(BI298:BJ298)</f>
        <v>0</v>
      </c>
      <c r="BL298" s="82">
        <f t="shared" ref="BL298:BL299" si="2605">BK298*E298</f>
        <v>0</v>
      </c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>
        <f t="shared" ref="BW298:BW299" si="2606">SUM(BM298:BV298)</f>
        <v>0</v>
      </c>
      <c r="BX298" s="82">
        <f t="shared" ref="BX298:BX299" si="2607">BW298*E298</f>
        <v>0</v>
      </c>
      <c r="BY298" s="82">
        <f t="shared" si="1829"/>
        <v>0</v>
      </c>
      <c r="BZ298" s="82">
        <f t="shared" ref="BZ298:BZ299" si="2608">BY298*E298</f>
        <v>0</v>
      </c>
      <c r="CA298" s="82"/>
      <c r="CB298" s="82"/>
      <c r="CC298" s="82">
        <f t="shared" ref="CC298:CC299" si="2609">sum(CA298:CB298)</f>
        <v>0</v>
      </c>
      <c r="CD298" s="82">
        <f t="shared" ref="CD298:CD299" si="2610">CC298*E298</f>
        <v>0</v>
      </c>
      <c r="CE298" s="82"/>
      <c r="CF298" s="82"/>
      <c r="CG298" s="82"/>
      <c r="CH298" s="82"/>
      <c r="CI298" s="82">
        <f t="shared" ref="CI298:CI299" si="2611">sum(CE298:CH298)</f>
        <v>0</v>
      </c>
      <c r="CJ298" s="82">
        <f t="shared" ref="CJ298:CJ299" si="2612">CI298*E298</f>
        <v>0</v>
      </c>
      <c r="CK298" s="82">
        <f t="shared" si="1835"/>
        <v>0</v>
      </c>
      <c r="CL298" s="82">
        <f t="shared" ref="CL298:CL299" si="2613">CK298*E298</f>
        <v>0</v>
      </c>
      <c r="CM298" s="82"/>
      <c r="CN298" s="82"/>
      <c r="CO298" s="82">
        <f t="shared" si="1837"/>
        <v>0</v>
      </c>
      <c r="CP298" s="82">
        <f t="shared" si="1838"/>
        <v>0</v>
      </c>
      <c r="CQ298" s="82"/>
      <c r="CR298" s="82"/>
      <c r="CS298" s="82"/>
      <c r="CT298" s="82"/>
      <c r="CU298" s="82">
        <f t="shared" si="2543"/>
        <v>0</v>
      </c>
      <c r="CV298" s="82">
        <f t="shared" si="2544"/>
        <v>0</v>
      </c>
      <c r="CW298" s="82">
        <f t="shared" si="1841"/>
        <v>0</v>
      </c>
      <c r="CX298" s="82">
        <f t="shared" ref="CX298:CX299" si="2614">CW298*E298</f>
        <v>0</v>
      </c>
      <c r="CY298" s="82">
        <f t="shared" si="1843"/>
        <v>0</v>
      </c>
      <c r="CZ298" s="82">
        <f t="shared" si="1844"/>
        <v>0</v>
      </c>
      <c r="DA298" s="82">
        <f t="shared" si="1845"/>
        <v>0</v>
      </c>
      <c r="DB298" s="82">
        <f t="shared" si="1846"/>
        <v>0</v>
      </c>
      <c r="DC298" s="91"/>
      <c r="DD298" s="82"/>
      <c r="DE298" s="82"/>
      <c r="DF298" s="82">
        <f t="shared" si="2546"/>
        <v>0</v>
      </c>
      <c r="DG298" s="82">
        <f t="shared" si="2547"/>
        <v>0</v>
      </c>
      <c r="DH298" s="82"/>
      <c r="DI298" s="82"/>
      <c r="DJ298" s="82"/>
      <c r="DK298" s="82"/>
      <c r="DL298" s="82">
        <f t="shared" si="2548"/>
        <v>0</v>
      </c>
      <c r="DM298" s="82">
        <f t="shared" si="2549"/>
        <v>0</v>
      </c>
      <c r="DN298" s="82">
        <f t="shared" si="2550"/>
        <v>0</v>
      </c>
      <c r="DO298" s="82">
        <f t="shared" si="2551"/>
        <v>0</v>
      </c>
      <c r="DP298" s="82"/>
      <c r="DQ298" s="82"/>
      <c r="DR298" s="82">
        <f t="shared" si="2552"/>
        <v>0</v>
      </c>
      <c r="DS298" s="82">
        <f t="shared" si="2553"/>
        <v>0</v>
      </c>
      <c r="DT298" s="82"/>
      <c r="DU298" s="82"/>
      <c r="DV298" s="82"/>
      <c r="DW298" s="82"/>
      <c r="DX298" s="82">
        <f t="shared" si="2554"/>
        <v>0</v>
      </c>
      <c r="DY298" s="82">
        <f t="shared" si="2555"/>
        <v>0</v>
      </c>
      <c r="DZ298" s="82">
        <f t="shared" si="2556"/>
        <v>0</v>
      </c>
      <c r="EA298" s="82">
        <f t="shared" si="2557"/>
        <v>0</v>
      </c>
      <c r="EB298" s="82"/>
      <c r="EC298" s="82"/>
      <c r="ED298" s="82">
        <f t="shared" si="2558"/>
        <v>0</v>
      </c>
      <c r="EE298" s="82">
        <f t="shared" si="2559"/>
        <v>0</v>
      </c>
      <c r="EF298" s="82"/>
      <c r="EG298" s="82"/>
      <c r="EH298" s="82"/>
      <c r="EI298" s="82"/>
      <c r="EJ298" s="82">
        <f t="shared" si="2560"/>
        <v>0</v>
      </c>
      <c r="EK298" s="82">
        <f t="shared" si="2561"/>
        <v>0</v>
      </c>
      <c r="EL298" s="82">
        <f t="shared" si="2562"/>
        <v>0</v>
      </c>
      <c r="EM298" s="82">
        <f t="shared" si="2563"/>
        <v>0</v>
      </c>
      <c r="EN298" s="82">
        <f t="shared" si="2564"/>
        <v>0</v>
      </c>
      <c r="EO298" s="82">
        <f t="shared" si="2565"/>
        <v>0</v>
      </c>
      <c r="EP298" s="82">
        <f t="shared" si="2566"/>
        <v>0</v>
      </c>
      <c r="EQ298" s="82">
        <f t="shared" si="2567"/>
        <v>0</v>
      </c>
      <c r="ER298" s="82"/>
      <c r="ES298" s="82"/>
      <c r="ET298" s="82">
        <f t="shared" si="2568"/>
        <v>0</v>
      </c>
      <c r="EU298" s="82">
        <f t="shared" si="2569"/>
        <v>0</v>
      </c>
      <c r="EV298" s="82"/>
      <c r="EW298" s="82"/>
      <c r="EX298" s="82"/>
      <c r="EY298" s="82"/>
      <c r="EZ298" s="82">
        <f t="shared" si="2570"/>
        <v>0</v>
      </c>
      <c r="FA298" s="82">
        <f t="shared" si="2571"/>
        <v>0</v>
      </c>
      <c r="FB298" s="82">
        <f t="shared" si="2572"/>
        <v>0</v>
      </c>
      <c r="FC298" s="82">
        <f t="shared" si="2573"/>
        <v>0</v>
      </c>
      <c r="FD298" s="82"/>
      <c r="FE298" s="82"/>
      <c r="FF298" s="82">
        <f t="shared" si="2574"/>
        <v>0</v>
      </c>
      <c r="FG298" s="82">
        <f t="shared" si="2575"/>
        <v>0</v>
      </c>
      <c r="FH298" s="82"/>
      <c r="FI298" s="82"/>
      <c r="FJ298" s="82"/>
      <c r="FK298" s="82"/>
      <c r="FL298" s="82">
        <f t="shared" si="2576"/>
        <v>0</v>
      </c>
      <c r="FM298" s="82">
        <f t="shared" si="2577"/>
        <v>0</v>
      </c>
      <c r="FN298" s="82">
        <f t="shared" si="2578"/>
        <v>0</v>
      </c>
      <c r="FO298" s="82">
        <f t="shared" si="2579"/>
        <v>0</v>
      </c>
      <c r="FP298" s="82"/>
      <c r="FQ298" s="82"/>
      <c r="FR298" s="82">
        <f t="shared" si="2580"/>
        <v>0</v>
      </c>
      <c r="FS298" s="82">
        <f t="shared" si="2581"/>
        <v>0</v>
      </c>
      <c r="FT298" s="82"/>
      <c r="FU298" s="82"/>
      <c r="FV298" s="82"/>
      <c r="FW298" s="82"/>
      <c r="FX298" s="82">
        <f t="shared" si="2582"/>
        <v>0</v>
      </c>
      <c r="FY298" s="82">
        <f t="shared" si="2583"/>
        <v>0</v>
      </c>
      <c r="FZ298" s="82">
        <f t="shared" si="2584"/>
        <v>0</v>
      </c>
      <c r="GA298" s="82">
        <f t="shared" si="2585"/>
        <v>0</v>
      </c>
      <c r="GB298" s="82">
        <f t="shared" si="2586"/>
        <v>0</v>
      </c>
      <c r="GC298" s="82">
        <f t="shared" si="2587"/>
        <v>0</v>
      </c>
      <c r="GD298" s="82">
        <f t="shared" si="2588"/>
        <v>0</v>
      </c>
      <c r="GE298" s="82">
        <f t="shared" si="2589"/>
        <v>0</v>
      </c>
      <c r="GF298" s="85"/>
    </row>
    <row r="299" ht="30.0" customHeight="1">
      <c r="A299" s="50"/>
      <c r="B299" s="50"/>
      <c r="C299" s="50"/>
      <c r="D299" s="78" t="s">
        <v>105</v>
      </c>
      <c r="E299" s="86">
        <v>12614.04</v>
      </c>
      <c r="F299" s="80" t="s">
        <v>280</v>
      </c>
      <c r="G299" s="81">
        <v>255.0</v>
      </c>
      <c r="H299" s="82">
        <v>3216580.2</v>
      </c>
      <c r="I299" s="82"/>
      <c r="J299" s="82"/>
      <c r="K299" s="82">
        <f t="shared" si="2515"/>
        <v>0</v>
      </c>
      <c r="L299" s="82">
        <f t="shared" si="2516"/>
        <v>0</v>
      </c>
      <c r="M299" s="83"/>
      <c r="N299" s="82"/>
      <c r="O299" s="82"/>
      <c r="P299" s="82"/>
      <c r="Q299" s="82"/>
      <c r="R299" s="82"/>
      <c r="S299" s="82"/>
      <c r="T299" s="82"/>
      <c r="U299" s="82"/>
      <c r="V299" s="83">
        <v>1.0</v>
      </c>
      <c r="W299" s="82"/>
      <c r="X299" s="82"/>
      <c r="Y299" s="82"/>
      <c r="Z299" s="82"/>
      <c r="AA299" s="82"/>
      <c r="AB299" s="82">
        <f t="shared" si="2517"/>
        <v>1</v>
      </c>
      <c r="AC299" s="82">
        <f t="shared" si="2518"/>
        <v>12614.04</v>
      </c>
      <c r="AD299" s="82">
        <f t="shared" si="1807"/>
        <v>254</v>
      </c>
      <c r="AE299" s="82">
        <f t="shared" si="2590"/>
        <v>3203966.16</v>
      </c>
      <c r="AF299" s="82"/>
      <c r="AG299" s="82"/>
      <c r="AH299" s="82">
        <f t="shared" si="2591"/>
        <v>0</v>
      </c>
      <c r="AI299" s="82">
        <f t="shared" si="2592"/>
        <v>0</v>
      </c>
      <c r="AJ299" s="83">
        <v>48.0</v>
      </c>
      <c r="AK299" s="82"/>
      <c r="AL299" s="82"/>
      <c r="AM299" s="82"/>
      <c r="AN299" s="82">
        <f t="shared" si="2593"/>
        <v>48</v>
      </c>
      <c r="AO299" s="82">
        <f t="shared" si="2594"/>
        <v>605473.92</v>
      </c>
      <c r="AP299" s="82">
        <f t="shared" si="1813"/>
        <v>206</v>
      </c>
      <c r="AQ299" s="82">
        <f t="shared" si="2595"/>
        <v>2598492.24</v>
      </c>
      <c r="AR299" s="82"/>
      <c r="AS299" s="82"/>
      <c r="AT299" s="82"/>
      <c r="AU299" s="82">
        <f t="shared" si="2596"/>
        <v>0</v>
      </c>
      <c r="AV299" s="82">
        <f t="shared" si="2597"/>
        <v>0</v>
      </c>
      <c r="AW299" s="82"/>
      <c r="AX299" s="82"/>
      <c r="AY299" s="82"/>
      <c r="AZ299" s="82"/>
      <c r="BA299" s="82">
        <f t="shared" si="2598"/>
        <v>0</v>
      </c>
      <c r="BB299" s="82">
        <f t="shared" si="2599"/>
        <v>0</v>
      </c>
      <c r="BC299" s="82">
        <f t="shared" si="1819"/>
        <v>206</v>
      </c>
      <c r="BD299" s="82">
        <f t="shared" si="2600"/>
        <v>2598492.24</v>
      </c>
      <c r="BE299" s="82">
        <f t="shared" si="2601"/>
        <v>0</v>
      </c>
      <c r="BF299" s="82">
        <f t="shared" si="2602"/>
        <v>49</v>
      </c>
      <c r="BG299" s="82">
        <f t="shared" si="1823"/>
        <v>206</v>
      </c>
      <c r="BH299" s="82">
        <f t="shared" si="2603"/>
        <v>2598492.24</v>
      </c>
      <c r="BI299" s="82"/>
      <c r="BJ299" s="83"/>
      <c r="BK299" s="82">
        <f t="shared" si="2604"/>
        <v>0</v>
      </c>
      <c r="BL299" s="82">
        <f t="shared" si="2605"/>
        <v>0</v>
      </c>
      <c r="BM299" s="83">
        <v>10.0</v>
      </c>
      <c r="BN299" s="83">
        <v>10.0</v>
      </c>
      <c r="BO299" s="83">
        <v>5.0</v>
      </c>
      <c r="BP299" s="83">
        <v>12.0</v>
      </c>
      <c r="BQ299" s="83">
        <v>8.0</v>
      </c>
      <c r="BR299" s="83">
        <v>12.0</v>
      </c>
      <c r="BS299" s="83">
        <v>48.0</v>
      </c>
      <c r="BT299" s="83">
        <v>48.0</v>
      </c>
      <c r="BU299" s="83"/>
      <c r="BV299" s="83">
        <v>10.0</v>
      </c>
      <c r="BW299" s="82">
        <f t="shared" si="2606"/>
        <v>163</v>
      </c>
      <c r="BX299" s="82">
        <f t="shared" si="2607"/>
        <v>2056088.52</v>
      </c>
      <c r="BY299" s="82">
        <f t="shared" si="1829"/>
        <v>43</v>
      </c>
      <c r="BZ299" s="82">
        <f t="shared" si="2608"/>
        <v>542403.72</v>
      </c>
      <c r="CA299" s="82"/>
      <c r="CB299" s="82"/>
      <c r="CC299" s="82">
        <f t="shared" si="2609"/>
        <v>0</v>
      </c>
      <c r="CD299" s="82">
        <f t="shared" si="2610"/>
        <v>0</v>
      </c>
      <c r="CE299" s="83">
        <v>8.0</v>
      </c>
      <c r="CF299" s="82"/>
      <c r="CG299" s="82"/>
      <c r="CH299" s="82"/>
      <c r="CI299" s="82">
        <f t="shared" si="2611"/>
        <v>8</v>
      </c>
      <c r="CJ299" s="82">
        <f t="shared" si="2612"/>
        <v>100912.32</v>
      </c>
      <c r="CK299" s="82">
        <f t="shared" si="1835"/>
        <v>35</v>
      </c>
      <c r="CL299" s="82">
        <f t="shared" si="2613"/>
        <v>441491.4</v>
      </c>
      <c r="CM299" s="82"/>
      <c r="CN299" s="82"/>
      <c r="CO299" s="82">
        <f t="shared" si="1837"/>
        <v>0</v>
      </c>
      <c r="CP299" s="82">
        <f t="shared" si="1838"/>
        <v>0</v>
      </c>
      <c r="CQ299" s="82"/>
      <c r="CR299" s="82"/>
      <c r="CS299" s="82"/>
      <c r="CT299" s="82"/>
      <c r="CU299" s="82">
        <f t="shared" si="2543"/>
        <v>0</v>
      </c>
      <c r="CV299" s="82">
        <f t="shared" si="2544"/>
        <v>0</v>
      </c>
      <c r="CW299" s="82">
        <f t="shared" si="1841"/>
        <v>35</v>
      </c>
      <c r="CX299" s="82">
        <f t="shared" si="2614"/>
        <v>441491.4</v>
      </c>
      <c r="CY299" s="82">
        <f t="shared" si="1843"/>
        <v>0</v>
      </c>
      <c r="CZ299" s="82">
        <f t="shared" si="1844"/>
        <v>171</v>
      </c>
      <c r="DA299" s="82">
        <f t="shared" si="1845"/>
        <v>35</v>
      </c>
      <c r="DB299" s="82">
        <f t="shared" si="1846"/>
        <v>441491.4</v>
      </c>
      <c r="DC299" s="91"/>
      <c r="DD299" s="82"/>
      <c r="DE299" s="82"/>
      <c r="DF299" s="82">
        <f t="shared" si="2546"/>
        <v>0</v>
      </c>
      <c r="DG299" s="82">
        <f t="shared" si="2547"/>
        <v>0</v>
      </c>
      <c r="DH299" s="82"/>
      <c r="DI299" s="82"/>
      <c r="DJ299" s="82"/>
      <c r="DK299" s="82"/>
      <c r="DL299" s="82">
        <f t="shared" si="2548"/>
        <v>0</v>
      </c>
      <c r="DM299" s="82">
        <f t="shared" si="2549"/>
        <v>0</v>
      </c>
      <c r="DN299" s="82">
        <f t="shared" si="2550"/>
        <v>35</v>
      </c>
      <c r="DO299" s="82">
        <f t="shared" si="2551"/>
        <v>441491.4</v>
      </c>
      <c r="DP299" s="82"/>
      <c r="DQ299" s="82"/>
      <c r="DR299" s="82">
        <f t="shared" si="2552"/>
        <v>0</v>
      </c>
      <c r="DS299" s="82">
        <f t="shared" si="2553"/>
        <v>0</v>
      </c>
      <c r="DT299" s="82"/>
      <c r="DU299" s="82"/>
      <c r="DV299" s="82"/>
      <c r="DW299" s="82"/>
      <c r="DX299" s="82">
        <f t="shared" si="2554"/>
        <v>0</v>
      </c>
      <c r="DY299" s="82">
        <f t="shared" si="2555"/>
        <v>0</v>
      </c>
      <c r="DZ299" s="82">
        <f t="shared" si="2556"/>
        <v>35</v>
      </c>
      <c r="EA299" s="82">
        <f t="shared" si="2557"/>
        <v>441491.4</v>
      </c>
      <c r="EB299" s="82"/>
      <c r="EC299" s="82"/>
      <c r="ED299" s="82">
        <f t="shared" si="2558"/>
        <v>0</v>
      </c>
      <c r="EE299" s="82">
        <f t="shared" si="2559"/>
        <v>0</v>
      </c>
      <c r="EF299" s="82"/>
      <c r="EG299" s="82"/>
      <c r="EH299" s="82"/>
      <c r="EI299" s="82"/>
      <c r="EJ299" s="82">
        <f t="shared" si="2560"/>
        <v>0</v>
      </c>
      <c r="EK299" s="82">
        <f t="shared" si="2561"/>
        <v>0</v>
      </c>
      <c r="EL299" s="82">
        <f t="shared" si="2562"/>
        <v>35</v>
      </c>
      <c r="EM299" s="82">
        <f t="shared" si="2563"/>
        <v>441491.4</v>
      </c>
      <c r="EN299" s="82">
        <f t="shared" si="2564"/>
        <v>0</v>
      </c>
      <c r="EO299" s="82">
        <f t="shared" si="2565"/>
        <v>0</v>
      </c>
      <c r="EP299" s="82">
        <f t="shared" si="2566"/>
        <v>35</v>
      </c>
      <c r="EQ299" s="82">
        <f t="shared" si="2567"/>
        <v>441491.4</v>
      </c>
      <c r="ER299" s="82"/>
      <c r="ES299" s="82"/>
      <c r="ET299" s="82">
        <f t="shared" si="2568"/>
        <v>0</v>
      </c>
      <c r="EU299" s="82">
        <f t="shared" si="2569"/>
        <v>0</v>
      </c>
      <c r="EV299" s="82"/>
      <c r="EW299" s="82"/>
      <c r="EX299" s="82"/>
      <c r="EY299" s="82"/>
      <c r="EZ299" s="82">
        <f t="shared" si="2570"/>
        <v>0</v>
      </c>
      <c r="FA299" s="82">
        <f t="shared" si="2571"/>
        <v>0</v>
      </c>
      <c r="FB299" s="82">
        <f t="shared" si="2572"/>
        <v>35</v>
      </c>
      <c r="FC299" s="82">
        <f t="shared" si="2573"/>
        <v>441491.4</v>
      </c>
      <c r="FD299" s="82"/>
      <c r="FE299" s="82"/>
      <c r="FF299" s="82">
        <f t="shared" si="2574"/>
        <v>0</v>
      </c>
      <c r="FG299" s="82">
        <f t="shared" si="2575"/>
        <v>0</v>
      </c>
      <c r="FH299" s="82"/>
      <c r="FI299" s="82"/>
      <c r="FJ299" s="82"/>
      <c r="FK299" s="82"/>
      <c r="FL299" s="82">
        <f t="shared" si="2576"/>
        <v>0</v>
      </c>
      <c r="FM299" s="82">
        <f t="shared" si="2577"/>
        <v>0</v>
      </c>
      <c r="FN299" s="82">
        <f t="shared" si="2578"/>
        <v>35</v>
      </c>
      <c r="FO299" s="82">
        <f t="shared" si="2579"/>
        <v>441491.4</v>
      </c>
      <c r="FP299" s="82"/>
      <c r="FQ299" s="82"/>
      <c r="FR299" s="82">
        <f t="shared" si="2580"/>
        <v>0</v>
      </c>
      <c r="FS299" s="82">
        <f t="shared" si="2581"/>
        <v>0</v>
      </c>
      <c r="FT299" s="82"/>
      <c r="FU299" s="82"/>
      <c r="FV299" s="82"/>
      <c r="FW299" s="82"/>
      <c r="FX299" s="82">
        <f t="shared" si="2582"/>
        <v>0</v>
      </c>
      <c r="FY299" s="82">
        <f t="shared" si="2583"/>
        <v>0</v>
      </c>
      <c r="FZ299" s="82">
        <f t="shared" si="2584"/>
        <v>35</v>
      </c>
      <c r="GA299" s="82">
        <f t="shared" si="2585"/>
        <v>441491.4</v>
      </c>
      <c r="GB299" s="82">
        <f t="shared" si="2586"/>
        <v>0</v>
      </c>
      <c r="GC299" s="82">
        <f t="shared" si="2587"/>
        <v>0</v>
      </c>
      <c r="GD299" s="82">
        <f t="shared" si="2588"/>
        <v>35</v>
      </c>
      <c r="GE299" s="82">
        <f t="shared" si="2589"/>
        <v>441491.4</v>
      </c>
      <c r="GF299" s="85"/>
    </row>
    <row r="300" ht="30.0" customHeight="1">
      <c r="A300" s="96"/>
      <c r="B300" s="58"/>
      <c r="C300" s="58"/>
      <c r="D300" s="78" t="s">
        <v>105</v>
      </c>
      <c r="E300" s="86">
        <v>17760.0</v>
      </c>
      <c r="F300" s="80" t="s">
        <v>281</v>
      </c>
      <c r="G300" s="90">
        <v>35.0</v>
      </c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3"/>
      <c r="AA300" s="82"/>
      <c r="AB300" s="82"/>
      <c r="AC300" s="82"/>
      <c r="AD300" s="82">
        <f t="shared" si="1807"/>
        <v>35</v>
      </c>
      <c r="AE300" s="83">
        <v>0.0</v>
      </c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>
        <f t="shared" si="1813"/>
        <v>35</v>
      </c>
      <c r="AQ300" s="82">
        <f>AP300*E299</f>
        <v>441491.4</v>
      </c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>
        <f t="shared" si="1819"/>
        <v>35</v>
      </c>
      <c r="BD300" s="82">
        <f>BC300*E299</f>
        <v>441491.4</v>
      </c>
      <c r="BE300" s="82"/>
      <c r="BF300" s="82"/>
      <c r="BG300" s="82">
        <f t="shared" si="1823"/>
        <v>35</v>
      </c>
      <c r="BH300" s="82"/>
      <c r="BI300" s="82"/>
      <c r="BJ300" s="83"/>
      <c r="BK300" s="82"/>
      <c r="BL300" s="82"/>
      <c r="BM300" s="82"/>
      <c r="BN300" s="82"/>
      <c r="BO300" s="82"/>
      <c r="BP300" s="83"/>
      <c r="BQ300" s="82"/>
      <c r="BR300" s="82"/>
      <c r="BS300" s="83"/>
      <c r="BT300" s="82"/>
      <c r="BU300" s="82"/>
      <c r="BV300" s="82"/>
      <c r="BW300" s="82"/>
      <c r="BX300" s="82"/>
      <c r="BY300" s="82">
        <f t="shared" si="1829"/>
        <v>35</v>
      </c>
      <c r="BZ300" s="82">
        <f>BY300*E299</f>
        <v>441491.4</v>
      </c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>
        <f t="shared" si="1835"/>
        <v>35</v>
      </c>
      <c r="CL300" s="82">
        <f>CK300*E299</f>
        <v>441491.4</v>
      </c>
      <c r="CM300" s="83">
        <v>255.0</v>
      </c>
      <c r="CN300" s="82"/>
      <c r="CO300" s="82">
        <f t="shared" si="1837"/>
        <v>255</v>
      </c>
      <c r="CP300" s="82">
        <f t="shared" si="1838"/>
        <v>4528800</v>
      </c>
      <c r="CQ300" s="82"/>
      <c r="CR300" s="82"/>
      <c r="CS300" s="82"/>
      <c r="CT300" s="82"/>
      <c r="CU300" s="82"/>
      <c r="CV300" s="82"/>
      <c r="CW300" s="82">
        <f t="shared" si="1841"/>
        <v>290</v>
      </c>
      <c r="CX300" s="82">
        <f>(CO300*E300)+(CK300*E299)</f>
        <v>4970291.4</v>
      </c>
      <c r="CY300" s="82">
        <f t="shared" si="1843"/>
        <v>255</v>
      </c>
      <c r="CZ300" s="82">
        <f t="shared" si="1844"/>
        <v>0</v>
      </c>
      <c r="DA300" s="82">
        <f t="shared" si="1845"/>
        <v>290</v>
      </c>
      <c r="DB300" s="82">
        <f t="shared" si="1846"/>
        <v>5150400</v>
      </c>
      <c r="DC300" s="91"/>
      <c r="DD300" s="82"/>
      <c r="DE300" s="82"/>
      <c r="DF300" s="82"/>
      <c r="DG300" s="82"/>
      <c r="DH300" s="82"/>
      <c r="DI300" s="82"/>
      <c r="DJ300" s="82"/>
      <c r="DK300" s="82"/>
      <c r="DL300" s="82"/>
      <c r="DM300" s="82"/>
      <c r="DN300" s="82"/>
      <c r="DO300" s="82"/>
      <c r="DP300" s="82"/>
      <c r="DQ300" s="82"/>
      <c r="DR300" s="82"/>
      <c r="DS300" s="82"/>
      <c r="DT300" s="82"/>
      <c r="DU300" s="82"/>
      <c r="DV300" s="82"/>
      <c r="DW300" s="82"/>
      <c r="DX300" s="82"/>
      <c r="DY300" s="82"/>
      <c r="DZ300" s="82"/>
      <c r="EA300" s="82"/>
      <c r="EB300" s="82"/>
      <c r="EC300" s="82"/>
      <c r="ED300" s="82"/>
      <c r="EE300" s="82"/>
      <c r="EF300" s="82"/>
      <c r="EG300" s="82"/>
      <c r="EH300" s="82"/>
      <c r="EI300" s="82"/>
      <c r="EJ300" s="82"/>
      <c r="EK300" s="82"/>
      <c r="EL300" s="82"/>
      <c r="EM300" s="82"/>
      <c r="EN300" s="82"/>
      <c r="EO300" s="82"/>
      <c r="EP300" s="82"/>
      <c r="EQ300" s="82"/>
      <c r="ER300" s="82"/>
      <c r="ES300" s="82"/>
      <c r="ET300" s="82"/>
      <c r="EU300" s="82"/>
      <c r="EV300" s="82"/>
      <c r="EW300" s="82"/>
      <c r="EX300" s="82"/>
      <c r="EY300" s="82"/>
      <c r="EZ300" s="82"/>
      <c r="FA300" s="82"/>
      <c r="FB300" s="82"/>
      <c r="FC300" s="82"/>
      <c r="FD300" s="82"/>
      <c r="FE300" s="82"/>
      <c r="FF300" s="82"/>
      <c r="FG300" s="82"/>
      <c r="FH300" s="82"/>
      <c r="FI300" s="82"/>
      <c r="FJ300" s="82"/>
      <c r="FK300" s="82"/>
      <c r="FL300" s="82"/>
      <c r="FM300" s="82"/>
      <c r="FN300" s="82"/>
      <c r="FO300" s="82"/>
      <c r="FP300" s="82"/>
      <c r="FQ300" s="82"/>
      <c r="FR300" s="82"/>
      <c r="FS300" s="82"/>
      <c r="FT300" s="82"/>
      <c r="FU300" s="82"/>
      <c r="FV300" s="82"/>
      <c r="FW300" s="82"/>
      <c r="FX300" s="82"/>
      <c r="FY300" s="82"/>
      <c r="FZ300" s="82"/>
      <c r="GA300" s="82"/>
      <c r="GB300" s="82"/>
      <c r="GC300" s="82"/>
      <c r="GD300" s="82"/>
      <c r="GE300" s="82"/>
      <c r="GF300" s="85"/>
    </row>
    <row r="301" ht="30.0" customHeight="1">
      <c r="A301" s="96">
        <v>34.0</v>
      </c>
      <c r="B301" s="58"/>
      <c r="C301" s="58" t="s">
        <v>317</v>
      </c>
      <c r="D301" s="78" t="s">
        <v>121</v>
      </c>
      <c r="E301" s="79">
        <v>22000.2</v>
      </c>
      <c r="F301" s="80" t="s">
        <v>280</v>
      </c>
      <c r="G301" s="81">
        <v>51.0</v>
      </c>
      <c r="H301" s="82">
        <v>1122010.2</v>
      </c>
      <c r="I301" s="82"/>
      <c r="J301" s="82"/>
      <c r="K301" s="82">
        <f>SUM(I301:J301)</f>
        <v>0</v>
      </c>
      <c r="L301" s="82">
        <f>K301*E301</f>
        <v>0</v>
      </c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3">
        <v>2.0</v>
      </c>
      <c r="AA301" s="82"/>
      <c r="AB301" s="82">
        <f t="shared" ref="AB301:AB305" si="2615">SUM(M301:AA301)</f>
        <v>2</v>
      </c>
      <c r="AC301" s="82">
        <f>AB301*E301</f>
        <v>44000.4</v>
      </c>
      <c r="AD301" s="82">
        <f t="shared" si="1807"/>
        <v>49</v>
      </c>
      <c r="AE301" s="82">
        <f>AD301*E301</f>
        <v>1078009.8</v>
      </c>
      <c r="AF301" s="82"/>
      <c r="AG301" s="82"/>
      <c r="AH301" s="82">
        <f>SUM(AF301:AG301)</f>
        <v>0</v>
      </c>
      <c r="AI301" s="82">
        <f>AH301*E301</f>
        <v>0</v>
      </c>
      <c r="AJ301" s="82"/>
      <c r="AK301" s="82"/>
      <c r="AL301" s="82"/>
      <c r="AM301" s="82"/>
      <c r="AN301" s="82">
        <f>SUM(AJ301:AM301)</f>
        <v>0</v>
      </c>
      <c r="AO301" s="82">
        <f>AN301*E301</f>
        <v>0</v>
      </c>
      <c r="AP301" s="82">
        <f t="shared" si="1813"/>
        <v>49</v>
      </c>
      <c r="AQ301" s="82">
        <f>AP301*E301</f>
        <v>1078009.8</v>
      </c>
      <c r="AR301" s="82"/>
      <c r="AS301" s="82"/>
      <c r="AT301" s="82"/>
      <c r="AU301" s="82">
        <f>SUM(AS301:AT301)</f>
        <v>0</v>
      </c>
      <c r="AV301" s="82">
        <f>AU301*AB301</f>
        <v>0</v>
      </c>
      <c r="AW301" s="82"/>
      <c r="AX301" s="82"/>
      <c r="AY301" s="82"/>
      <c r="AZ301" s="82"/>
      <c r="BA301" s="82">
        <f>SUM(AW301:AZ301)</f>
        <v>0</v>
      </c>
      <c r="BB301" s="82">
        <f>BA301*AB301</f>
        <v>0</v>
      </c>
      <c r="BC301" s="82">
        <f t="shared" si="1819"/>
        <v>49</v>
      </c>
      <c r="BD301" s="82">
        <f>BC301*E301</f>
        <v>1078009.8</v>
      </c>
      <c r="BE301" s="82">
        <f>K301+AH301+AU301</f>
        <v>0</v>
      </c>
      <c r="BF301" s="82">
        <f>AB301+AN301+BA301</f>
        <v>2</v>
      </c>
      <c r="BG301" s="82">
        <f t="shared" si="1823"/>
        <v>49</v>
      </c>
      <c r="BH301" s="82">
        <f>BG301*E301</f>
        <v>1078009.8</v>
      </c>
      <c r="BI301" s="82"/>
      <c r="BJ301" s="83"/>
      <c r="BK301" s="82">
        <f>SUM(BI301:BJ301)</f>
        <v>0</v>
      </c>
      <c r="BL301" s="82">
        <f>BK301*E301</f>
        <v>0</v>
      </c>
      <c r="BM301" s="82"/>
      <c r="BN301" s="82"/>
      <c r="BO301" s="82"/>
      <c r="BP301" s="82"/>
      <c r="BQ301" s="82"/>
      <c r="BR301" s="82"/>
      <c r="BS301" s="82"/>
      <c r="BT301" s="83">
        <v>2.0</v>
      </c>
      <c r="BU301" s="83"/>
      <c r="BV301" s="83">
        <v>3.0</v>
      </c>
      <c r="BW301" s="82">
        <f>SUM(BM301:BV301)</f>
        <v>5</v>
      </c>
      <c r="BX301" s="82">
        <f>BW301*E301</f>
        <v>110001</v>
      </c>
      <c r="BY301" s="82">
        <f t="shared" si="1829"/>
        <v>44</v>
      </c>
      <c r="BZ301" s="82">
        <f>BY301*E301</f>
        <v>968008.8</v>
      </c>
      <c r="CA301" s="82"/>
      <c r="CB301" s="82"/>
      <c r="CC301" s="82">
        <f>sum(CA301:CB301)</f>
        <v>0</v>
      </c>
      <c r="CD301" s="82">
        <f>CC301*E301</f>
        <v>0</v>
      </c>
      <c r="CE301" s="82"/>
      <c r="CF301" s="82"/>
      <c r="CG301" s="82"/>
      <c r="CH301" s="82"/>
      <c r="CI301" s="82">
        <f>sum(CE301:CH301)</f>
        <v>0</v>
      </c>
      <c r="CJ301" s="82">
        <f>CI301*E301</f>
        <v>0</v>
      </c>
      <c r="CK301" s="82">
        <f t="shared" si="1835"/>
        <v>44</v>
      </c>
      <c r="CL301" s="82">
        <f>CK301*E301</f>
        <v>968008.8</v>
      </c>
      <c r="CM301" s="82"/>
      <c r="CN301" s="82"/>
      <c r="CO301" s="82">
        <f t="shared" si="1837"/>
        <v>0</v>
      </c>
      <c r="CP301" s="82">
        <f t="shared" si="1838"/>
        <v>0</v>
      </c>
      <c r="CQ301" s="82"/>
      <c r="CR301" s="82"/>
      <c r="CS301" s="82"/>
      <c r="CT301" s="82"/>
      <c r="CU301" s="82">
        <f>sum(CQ301:CT301)</f>
        <v>0</v>
      </c>
      <c r="CV301" s="82">
        <f>CU301*E301</f>
        <v>0</v>
      </c>
      <c r="CW301" s="82">
        <f t="shared" si="1841"/>
        <v>44</v>
      </c>
      <c r="CX301" s="82">
        <f>CW301*E301</f>
        <v>968008.8</v>
      </c>
      <c r="CY301" s="82">
        <f t="shared" si="1843"/>
        <v>0</v>
      </c>
      <c r="CZ301" s="82">
        <f t="shared" si="1844"/>
        <v>5</v>
      </c>
      <c r="DA301" s="82">
        <f t="shared" si="1845"/>
        <v>44</v>
      </c>
      <c r="DB301" s="82">
        <f t="shared" si="1846"/>
        <v>968008.8</v>
      </c>
      <c r="DC301" s="91"/>
      <c r="DD301" s="82"/>
      <c r="DE301" s="82"/>
      <c r="DF301" s="82">
        <f>sum(DD301:DE301)</f>
        <v>0</v>
      </c>
      <c r="DG301" s="82">
        <f>DF301*E301</f>
        <v>0</v>
      </c>
      <c r="DH301" s="82"/>
      <c r="DI301" s="82"/>
      <c r="DJ301" s="82"/>
      <c r="DK301" s="82"/>
      <c r="DL301" s="82">
        <f>sum(DH301:DK301)</f>
        <v>0</v>
      </c>
      <c r="DM301" s="82">
        <f>DL301*E301</f>
        <v>0</v>
      </c>
      <c r="DN301" s="82">
        <f>DA301+DF301-DL301</f>
        <v>44</v>
      </c>
      <c r="DO301" s="82">
        <f>DN301*E301</f>
        <v>968008.8</v>
      </c>
      <c r="DP301" s="82"/>
      <c r="DQ301" s="82"/>
      <c r="DR301" s="82">
        <f>sum(DP301:DQ301)</f>
        <v>0</v>
      </c>
      <c r="DS301" s="82">
        <f>DR301*AB301</f>
        <v>0</v>
      </c>
      <c r="DT301" s="82"/>
      <c r="DU301" s="82"/>
      <c r="DV301" s="82"/>
      <c r="DW301" s="82"/>
      <c r="DX301" s="82">
        <f>sum(DT301:DW301)</f>
        <v>0</v>
      </c>
      <c r="DY301" s="82">
        <f>DX301*AB301</f>
        <v>0</v>
      </c>
      <c r="DZ301" s="82">
        <f>DN301+DR301-DX301</f>
        <v>44</v>
      </c>
      <c r="EA301" s="82">
        <f>DZ301*E301</f>
        <v>968008.8</v>
      </c>
      <c r="EB301" s="82"/>
      <c r="EC301" s="82"/>
      <c r="ED301" s="82">
        <f>sum(EB301:EC301)</f>
        <v>0</v>
      </c>
      <c r="EE301" s="82">
        <f>ED301*AN301</f>
        <v>0</v>
      </c>
      <c r="EF301" s="82"/>
      <c r="EG301" s="82"/>
      <c r="EH301" s="82"/>
      <c r="EI301" s="82"/>
      <c r="EJ301" s="82">
        <f>sum(EF301:EI301)</f>
        <v>0</v>
      </c>
      <c r="EK301" s="82">
        <f>EJ301*AN301</f>
        <v>0</v>
      </c>
      <c r="EL301" s="82">
        <f>DZ301+ED301-EJ301</f>
        <v>44</v>
      </c>
      <c r="EM301" s="82">
        <f>EL301*E301</f>
        <v>968008.8</v>
      </c>
      <c r="EN301" s="82">
        <f>DF301+DR301+ED301</f>
        <v>0</v>
      </c>
      <c r="EO301" s="82">
        <f>DL301+DX301+EJ301</f>
        <v>0</v>
      </c>
      <c r="EP301" s="82">
        <f>DA301+EN301-EO301</f>
        <v>44</v>
      </c>
      <c r="EQ301" s="82">
        <f>EP301*E301</f>
        <v>968008.8</v>
      </c>
      <c r="ER301" s="82"/>
      <c r="ES301" s="82"/>
      <c r="ET301" s="82">
        <f>sum(ER301:ES301)</f>
        <v>0</v>
      </c>
      <c r="EU301" s="82">
        <f>ET301*BE301</f>
        <v>0</v>
      </c>
      <c r="EV301" s="82"/>
      <c r="EW301" s="82"/>
      <c r="EX301" s="82"/>
      <c r="EY301" s="82"/>
      <c r="EZ301" s="82">
        <f>sum(EV301:EY301)</f>
        <v>0</v>
      </c>
      <c r="FA301" s="82">
        <f>EZ301*BE301</f>
        <v>0</v>
      </c>
      <c r="FB301" s="82">
        <f>EP301+ET301-EZ301</f>
        <v>44</v>
      </c>
      <c r="FC301" s="82">
        <f>FB301*E301</f>
        <v>968008.8</v>
      </c>
      <c r="FD301" s="82"/>
      <c r="FE301" s="82"/>
      <c r="FF301" s="82">
        <f>sum(FD301:FE301)</f>
        <v>0</v>
      </c>
      <c r="FG301" s="82">
        <f>FF301*BW301</f>
        <v>0</v>
      </c>
      <c r="FH301" s="82"/>
      <c r="FI301" s="82"/>
      <c r="FJ301" s="82"/>
      <c r="FK301" s="82"/>
      <c r="FL301" s="82">
        <f>sum(FH301:FK301)</f>
        <v>0</v>
      </c>
      <c r="FM301" s="82">
        <f>FL301*BW301</f>
        <v>0</v>
      </c>
      <c r="FN301" s="82">
        <f>FB301+FF301-FL301</f>
        <v>44</v>
      </c>
      <c r="FO301" s="82">
        <f>FN301*E301</f>
        <v>968008.8</v>
      </c>
      <c r="FP301" s="82"/>
      <c r="FQ301" s="82"/>
      <c r="FR301" s="82">
        <f>sum(FP301:FQ301)</f>
        <v>0</v>
      </c>
      <c r="FS301" s="82">
        <f>FR301*CI301</f>
        <v>0</v>
      </c>
      <c r="FT301" s="82"/>
      <c r="FU301" s="82"/>
      <c r="FV301" s="82"/>
      <c r="FW301" s="82"/>
      <c r="FX301" s="82">
        <f>sum(FT301:FW301)</f>
        <v>0</v>
      </c>
      <c r="FY301" s="82">
        <f>FX301*CI301</f>
        <v>0</v>
      </c>
      <c r="FZ301" s="82">
        <f>FN301+FR301-FX301</f>
        <v>44</v>
      </c>
      <c r="GA301" s="82">
        <f>FZ301*E301</f>
        <v>968008.8</v>
      </c>
      <c r="GB301" s="82">
        <f>ET301+FF301+FR301</f>
        <v>0</v>
      </c>
      <c r="GC301" s="82">
        <f>EZ301+FL301+FX301</f>
        <v>0</v>
      </c>
      <c r="GD301" s="82">
        <f>EP301+GB301-GC301</f>
        <v>44</v>
      </c>
      <c r="GE301" s="82">
        <f>GD301*E301</f>
        <v>968008.8</v>
      </c>
      <c r="GF301" s="85"/>
    </row>
    <row r="302" ht="1.5" customHeight="1">
      <c r="A302" s="101"/>
      <c r="B302" s="101"/>
      <c r="C302" s="101"/>
      <c r="D302" s="101"/>
      <c r="E302" s="101"/>
      <c r="F302" s="103"/>
      <c r="G302" s="132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33">
        <v>2.0</v>
      </c>
      <c r="W302" s="104"/>
      <c r="X302" s="104"/>
      <c r="Y302" s="104"/>
      <c r="Z302" s="104"/>
      <c r="AA302" s="104"/>
      <c r="AB302" s="82">
        <f t="shared" si="2615"/>
        <v>2</v>
      </c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82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  <c r="BY302" s="104"/>
      <c r="BZ302" s="104"/>
      <c r="CA302" s="104"/>
      <c r="CB302" s="104"/>
      <c r="CC302" s="104"/>
      <c r="CD302" s="104"/>
      <c r="CE302" s="104"/>
      <c r="CF302" s="104"/>
      <c r="CG302" s="104"/>
      <c r="CH302" s="104"/>
      <c r="CI302" s="104"/>
      <c r="CJ302" s="104"/>
      <c r="CK302" s="104"/>
      <c r="CL302" s="104"/>
      <c r="CM302" s="104"/>
      <c r="CN302" s="104"/>
      <c r="CO302" s="104"/>
      <c r="CP302" s="104"/>
      <c r="CQ302" s="104"/>
      <c r="CR302" s="104"/>
      <c r="CS302" s="104"/>
      <c r="CT302" s="104"/>
      <c r="CU302" s="104"/>
      <c r="CV302" s="104"/>
      <c r="CW302" s="104"/>
      <c r="CX302" s="104"/>
      <c r="CY302" s="104"/>
      <c r="CZ302" s="104"/>
      <c r="DA302" s="104"/>
      <c r="DB302" s="104"/>
      <c r="DC302" s="91"/>
      <c r="DD302" s="82"/>
      <c r="DE302" s="104"/>
      <c r="DF302" s="104"/>
      <c r="DG302" s="104"/>
      <c r="DH302" s="104"/>
      <c r="DI302" s="104"/>
      <c r="DJ302" s="104"/>
      <c r="DK302" s="104"/>
      <c r="DL302" s="104"/>
      <c r="DM302" s="104"/>
      <c r="DN302" s="104"/>
      <c r="DO302" s="104"/>
      <c r="DP302" s="104"/>
      <c r="DQ302" s="104"/>
      <c r="DR302" s="104"/>
      <c r="DS302" s="104"/>
      <c r="DT302" s="104"/>
      <c r="DU302" s="104"/>
      <c r="DV302" s="104"/>
      <c r="DW302" s="104"/>
      <c r="DX302" s="104"/>
      <c r="DY302" s="104"/>
      <c r="DZ302" s="104"/>
      <c r="EA302" s="104"/>
      <c r="EB302" s="104"/>
      <c r="EC302" s="104"/>
      <c r="ED302" s="104"/>
      <c r="EE302" s="104"/>
      <c r="EF302" s="104"/>
      <c r="EG302" s="104"/>
      <c r="EH302" s="104"/>
      <c r="EI302" s="104"/>
      <c r="EJ302" s="104"/>
      <c r="EK302" s="104"/>
      <c r="EL302" s="104"/>
      <c r="EM302" s="104"/>
      <c r="EN302" s="104"/>
      <c r="EO302" s="104"/>
      <c r="EP302" s="104"/>
      <c r="EQ302" s="104"/>
      <c r="ER302" s="104"/>
      <c r="ES302" s="104"/>
      <c r="ET302" s="104"/>
      <c r="EU302" s="104"/>
      <c r="EV302" s="104"/>
      <c r="EW302" s="104"/>
      <c r="EX302" s="104"/>
      <c r="EY302" s="104"/>
      <c r="EZ302" s="104"/>
      <c r="FA302" s="104"/>
      <c r="FB302" s="104"/>
      <c r="FC302" s="104"/>
      <c r="FD302" s="104"/>
      <c r="FE302" s="104"/>
      <c r="FF302" s="104"/>
      <c r="FG302" s="104"/>
      <c r="FH302" s="104"/>
      <c r="FI302" s="104"/>
      <c r="FJ302" s="104"/>
      <c r="FK302" s="104"/>
      <c r="FL302" s="104"/>
      <c r="FM302" s="104"/>
      <c r="FN302" s="104"/>
      <c r="FO302" s="104"/>
      <c r="FP302" s="104"/>
      <c r="FQ302" s="104"/>
      <c r="FR302" s="104"/>
      <c r="FS302" s="104"/>
      <c r="FT302" s="104"/>
      <c r="FU302" s="104"/>
      <c r="FV302" s="104"/>
      <c r="FW302" s="104"/>
      <c r="FX302" s="104"/>
      <c r="FY302" s="104"/>
      <c r="FZ302" s="104"/>
      <c r="GA302" s="104"/>
      <c r="GB302" s="104"/>
      <c r="GC302" s="104"/>
      <c r="GD302" s="104"/>
      <c r="GE302" s="104"/>
      <c r="GF302" s="105"/>
    </row>
    <row r="303" ht="36.0" customHeight="1">
      <c r="A303" s="108" t="s">
        <v>318</v>
      </c>
      <c r="B303" s="10"/>
      <c r="C303" s="10"/>
      <c r="D303" s="10"/>
      <c r="E303" s="14"/>
      <c r="F303" s="109"/>
      <c r="G303" s="134"/>
      <c r="H303" s="110">
        <f t="shared" ref="H303:AA303" si="2616">SUM(H249:H302)</f>
        <v>39317055.54</v>
      </c>
      <c r="I303" s="110">
        <f t="shared" si="2616"/>
        <v>0</v>
      </c>
      <c r="J303" s="110">
        <f t="shared" si="2616"/>
        <v>0</v>
      </c>
      <c r="K303" s="110">
        <f t="shared" si="2616"/>
        <v>0</v>
      </c>
      <c r="L303" s="110">
        <f t="shared" si="2616"/>
        <v>0</v>
      </c>
      <c r="M303" s="110">
        <f t="shared" si="2616"/>
        <v>27</v>
      </c>
      <c r="N303" s="110">
        <f t="shared" si="2616"/>
        <v>152</v>
      </c>
      <c r="O303" s="110">
        <f t="shared" si="2616"/>
        <v>50</v>
      </c>
      <c r="P303" s="110">
        <f t="shared" si="2616"/>
        <v>36</v>
      </c>
      <c r="Q303" s="110">
        <f t="shared" si="2616"/>
        <v>45</v>
      </c>
      <c r="R303" s="110">
        <f t="shared" si="2616"/>
        <v>28</v>
      </c>
      <c r="S303" s="110">
        <f t="shared" si="2616"/>
        <v>22</v>
      </c>
      <c r="T303" s="110">
        <f t="shared" si="2616"/>
        <v>20</v>
      </c>
      <c r="U303" s="110">
        <f t="shared" si="2616"/>
        <v>62</v>
      </c>
      <c r="V303" s="110">
        <f t="shared" si="2616"/>
        <v>44</v>
      </c>
      <c r="W303" s="110">
        <f t="shared" si="2616"/>
        <v>8</v>
      </c>
      <c r="X303" s="110">
        <f t="shared" si="2616"/>
        <v>27</v>
      </c>
      <c r="Y303" s="110">
        <f t="shared" si="2616"/>
        <v>8</v>
      </c>
      <c r="Z303" s="110">
        <f t="shared" si="2616"/>
        <v>42</v>
      </c>
      <c r="AA303" s="110">
        <f t="shared" si="2616"/>
        <v>0</v>
      </c>
      <c r="AB303" s="106">
        <f t="shared" si="2615"/>
        <v>571</v>
      </c>
      <c r="AC303" s="110">
        <f t="shared" ref="AC303:AQ303" si="2617">SUM(AC249:AC302)</f>
        <v>11591505.83</v>
      </c>
      <c r="AD303" s="110">
        <f t="shared" si="2617"/>
        <v>2321</v>
      </c>
      <c r="AE303" s="110">
        <f t="shared" si="2617"/>
        <v>25687589.71</v>
      </c>
      <c r="AF303" s="110">
        <f t="shared" si="2617"/>
        <v>0</v>
      </c>
      <c r="AG303" s="110">
        <f t="shared" si="2617"/>
        <v>0</v>
      </c>
      <c r="AH303" s="110">
        <f t="shared" si="2617"/>
        <v>0</v>
      </c>
      <c r="AI303" s="110">
        <f t="shared" si="2617"/>
        <v>0</v>
      </c>
      <c r="AJ303" s="110">
        <f t="shared" si="2617"/>
        <v>60</v>
      </c>
      <c r="AK303" s="110">
        <f t="shared" si="2617"/>
        <v>0</v>
      </c>
      <c r="AL303" s="110">
        <f t="shared" si="2617"/>
        <v>0</v>
      </c>
      <c r="AM303" s="110">
        <f t="shared" si="2617"/>
        <v>0</v>
      </c>
      <c r="AN303" s="110">
        <f t="shared" si="2617"/>
        <v>60</v>
      </c>
      <c r="AO303" s="110">
        <f t="shared" si="2617"/>
        <v>1084993.92</v>
      </c>
      <c r="AP303" s="110">
        <f t="shared" si="2617"/>
        <v>2261</v>
      </c>
      <c r="AQ303" s="110">
        <f t="shared" si="2617"/>
        <v>33645343.99</v>
      </c>
      <c r="AR303" s="110"/>
      <c r="AS303" s="110"/>
      <c r="AT303" s="82"/>
      <c r="AU303" s="110">
        <f t="shared" ref="AU303:BH303" si="2618">SUM(AU249:AU302)</f>
        <v>0</v>
      </c>
      <c r="AV303" s="110">
        <f t="shared" si="2618"/>
        <v>0</v>
      </c>
      <c r="AW303" s="110">
        <f t="shared" si="2618"/>
        <v>0</v>
      </c>
      <c r="AX303" s="110">
        <f t="shared" si="2618"/>
        <v>0</v>
      </c>
      <c r="AY303" s="110">
        <f t="shared" si="2618"/>
        <v>0</v>
      </c>
      <c r="AZ303" s="110">
        <f t="shared" si="2618"/>
        <v>0</v>
      </c>
      <c r="BA303" s="110">
        <f t="shared" si="2618"/>
        <v>0</v>
      </c>
      <c r="BB303" s="110">
        <f t="shared" si="2618"/>
        <v>0</v>
      </c>
      <c r="BC303" s="110">
        <f t="shared" si="2618"/>
        <v>2261</v>
      </c>
      <c r="BD303" s="110">
        <f t="shared" si="2618"/>
        <v>33645343.99</v>
      </c>
      <c r="BE303" s="110">
        <f t="shared" si="2618"/>
        <v>0</v>
      </c>
      <c r="BF303" s="110">
        <f t="shared" si="2618"/>
        <v>629</v>
      </c>
      <c r="BG303" s="110">
        <f t="shared" si="2618"/>
        <v>2261</v>
      </c>
      <c r="BH303" s="110">
        <f t="shared" si="2618"/>
        <v>24602595.79</v>
      </c>
      <c r="BI303" s="110"/>
      <c r="BJ303" s="110">
        <f t="shared" ref="BJ303:BQ303" si="2619">SUM(BJ249:BJ302)</f>
        <v>0</v>
      </c>
      <c r="BK303" s="110">
        <f t="shared" si="2619"/>
        <v>0</v>
      </c>
      <c r="BL303" s="110">
        <f t="shared" si="2619"/>
        <v>0</v>
      </c>
      <c r="BM303" s="110">
        <f t="shared" si="2619"/>
        <v>23</v>
      </c>
      <c r="BN303" s="110">
        <f t="shared" si="2619"/>
        <v>31</v>
      </c>
      <c r="BO303" s="110">
        <f t="shared" si="2619"/>
        <v>12</v>
      </c>
      <c r="BP303" s="110">
        <f t="shared" si="2619"/>
        <v>23</v>
      </c>
      <c r="BQ303" s="110">
        <f t="shared" si="2619"/>
        <v>28</v>
      </c>
      <c r="BR303" s="110"/>
      <c r="BS303" s="110"/>
      <c r="BT303" s="110"/>
      <c r="BU303" s="110"/>
      <c r="BV303" s="110">
        <f t="shared" ref="BV303:DB303" si="2620">SUM(BV249:BV302)</f>
        <v>30</v>
      </c>
      <c r="BW303" s="110">
        <f t="shared" si="2620"/>
        <v>475</v>
      </c>
      <c r="BX303" s="110">
        <f t="shared" si="2620"/>
        <v>7535402.76</v>
      </c>
      <c r="BY303" s="110">
        <f t="shared" si="2620"/>
        <v>1786</v>
      </c>
      <c r="BZ303" s="110">
        <f t="shared" si="2620"/>
        <v>26109941.23</v>
      </c>
      <c r="CA303" s="110">
        <f t="shared" si="2620"/>
        <v>0</v>
      </c>
      <c r="CB303" s="110">
        <f t="shared" si="2620"/>
        <v>0</v>
      </c>
      <c r="CC303" s="110">
        <f t="shared" si="2620"/>
        <v>0</v>
      </c>
      <c r="CD303" s="110">
        <f t="shared" si="2620"/>
        <v>0</v>
      </c>
      <c r="CE303" s="110">
        <f t="shared" si="2620"/>
        <v>52</v>
      </c>
      <c r="CF303" s="110">
        <f t="shared" si="2620"/>
        <v>0</v>
      </c>
      <c r="CG303" s="110">
        <f t="shared" si="2620"/>
        <v>0</v>
      </c>
      <c r="CH303" s="110">
        <f t="shared" si="2620"/>
        <v>0</v>
      </c>
      <c r="CI303" s="110">
        <f t="shared" si="2620"/>
        <v>52</v>
      </c>
      <c r="CJ303" s="110">
        <f t="shared" si="2620"/>
        <v>601448.39</v>
      </c>
      <c r="CK303" s="110">
        <f t="shared" si="2620"/>
        <v>1734</v>
      </c>
      <c r="CL303" s="110">
        <f t="shared" si="2620"/>
        <v>25508492.84</v>
      </c>
      <c r="CM303" s="110">
        <f t="shared" si="2620"/>
        <v>1579</v>
      </c>
      <c r="CN303" s="110">
        <f t="shared" si="2620"/>
        <v>0</v>
      </c>
      <c r="CO303" s="110">
        <f t="shared" si="2620"/>
        <v>1579</v>
      </c>
      <c r="CP303" s="110">
        <f t="shared" si="2620"/>
        <v>36540090</v>
      </c>
      <c r="CQ303" s="110">
        <f t="shared" si="2620"/>
        <v>3</v>
      </c>
      <c r="CR303" s="110">
        <f t="shared" si="2620"/>
        <v>45</v>
      </c>
      <c r="CS303" s="110">
        <f t="shared" si="2620"/>
        <v>0</v>
      </c>
      <c r="CT303" s="110">
        <f t="shared" si="2620"/>
        <v>0</v>
      </c>
      <c r="CU303" s="110">
        <f t="shared" si="2620"/>
        <v>45</v>
      </c>
      <c r="CV303" s="110">
        <f t="shared" si="2620"/>
        <v>1051054.56</v>
      </c>
      <c r="CW303" s="110">
        <f t="shared" si="2620"/>
        <v>3268</v>
      </c>
      <c r="CX303" s="110">
        <f t="shared" si="2620"/>
        <v>60997528.28</v>
      </c>
      <c r="CY303" s="110">
        <f t="shared" si="2620"/>
        <v>1579</v>
      </c>
      <c r="CZ303" s="110">
        <f t="shared" si="2620"/>
        <v>572</v>
      </c>
      <c r="DA303" s="110">
        <f t="shared" si="2620"/>
        <v>3268</v>
      </c>
      <c r="DB303" s="110">
        <f t="shared" si="2620"/>
        <v>64023810.08</v>
      </c>
      <c r="DC303" s="91"/>
      <c r="DD303" s="82"/>
      <c r="DE303" s="110">
        <f t="shared" ref="DE303:GE303" si="2621">SUM(DE249:DE302)</f>
        <v>0</v>
      </c>
      <c r="DF303" s="110">
        <f t="shared" si="2621"/>
        <v>0</v>
      </c>
      <c r="DG303" s="110">
        <f t="shared" si="2621"/>
        <v>0</v>
      </c>
      <c r="DH303" s="110">
        <f t="shared" si="2621"/>
        <v>15</v>
      </c>
      <c r="DI303" s="110">
        <f t="shared" si="2621"/>
        <v>0</v>
      </c>
      <c r="DJ303" s="110">
        <f t="shared" si="2621"/>
        <v>0</v>
      </c>
      <c r="DK303" s="110">
        <f t="shared" si="2621"/>
        <v>0</v>
      </c>
      <c r="DL303" s="110">
        <f t="shared" si="2621"/>
        <v>15</v>
      </c>
      <c r="DM303" s="110">
        <f t="shared" si="2621"/>
        <v>199800</v>
      </c>
      <c r="DN303" s="110">
        <f t="shared" si="2621"/>
        <v>1653</v>
      </c>
      <c r="DO303" s="110">
        <f t="shared" si="2621"/>
        <v>27073020.08</v>
      </c>
      <c r="DP303" s="110">
        <f t="shared" si="2621"/>
        <v>0</v>
      </c>
      <c r="DQ303" s="110">
        <f t="shared" si="2621"/>
        <v>0</v>
      </c>
      <c r="DR303" s="110">
        <f t="shared" si="2621"/>
        <v>0</v>
      </c>
      <c r="DS303" s="110">
        <f t="shared" si="2621"/>
        <v>0</v>
      </c>
      <c r="DT303" s="110">
        <f t="shared" si="2621"/>
        <v>0</v>
      </c>
      <c r="DU303" s="110">
        <f t="shared" si="2621"/>
        <v>0</v>
      </c>
      <c r="DV303" s="110">
        <f t="shared" si="2621"/>
        <v>0</v>
      </c>
      <c r="DW303" s="110">
        <f t="shared" si="2621"/>
        <v>0</v>
      </c>
      <c r="DX303" s="110">
        <f t="shared" si="2621"/>
        <v>0</v>
      </c>
      <c r="DY303" s="110">
        <f t="shared" si="2621"/>
        <v>0</v>
      </c>
      <c r="DZ303" s="110">
        <f t="shared" si="2621"/>
        <v>1653</v>
      </c>
      <c r="EA303" s="110">
        <f t="shared" si="2621"/>
        <v>27073020.08</v>
      </c>
      <c r="EB303" s="110">
        <f t="shared" si="2621"/>
        <v>0</v>
      </c>
      <c r="EC303" s="110">
        <f t="shared" si="2621"/>
        <v>0</v>
      </c>
      <c r="ED303" s="110">
        <f t="shared" si="2621"/>
        <v>0</v>
      </c>
      <c r="EE303" s="110">
        <f t="shared" si="2621"/>
        <v>0</v>
      </c>
      <c r="EF303" s="110">
        <f t="shared" si="2621"/>
        <v>0</v>
      </c>
      <c r="EG303" s="110">
        <f t="shared" si="2621"/>
        <v>0</v>
      </c>
      <c r="EH303" s="110">
        <f t="shared" si="2621"/>
        <v>0</v>
      </c>
      <c r="EI303" s="110">
        <f t="shared" si="2621"/>
        <v>0</v>
      </c>
      <c r="EJ303" s="110">
        <f t="shared" si="2621"/>
        <v>0</v>
      </c>
      <c r="EK303" s="110">
        <f t="shared" si="2621"/>
        <v>0</v>
      </c>
      <c r="EL303" s="110">
        <f t="shared" si="2621"/>
        <v>1653</v>
      </c>
      <c r="EM303" s="110">
        <f t="shared" si="2621"/>
        <v>27073020.08</v>
      </c>
      <c r="EN303" s="110">
        <f t="shared" si="2621"/>
        <v>0</v>
      </c>
      <c r="EO303" s="110">
        <f t="shared" si="2621"/>
        <v>15</v>
      </c>
      <c r="EP303" s="110">
        <f t="shared" si="2621"/>
        <v>1653</v>
      </c>
      <c r="EQ303" s="110">
        <f t="shared" si="2621"/>
        <v>27073020.08</v>
      </c>
      <c r="ER303" s="110">
        <f t="shared" si="2621"/>
        <v>0</v>
      </c>
      <c r="ES303" s="110">
        <f t="shared" si="2621"/>
        <v>0</v>
      </c>
      <c r="ET303" s="110">
        <f t="shared" si="2621"/>
        <v>0</v>
      </c>
      <c r="EU303" s="110">
        <f t="shared" si="2621"/>
        <v>0</v>
      </c>
      <c r="EV303" s="110">
        <f t="shared" si="2621"/>
        <v>0</v>
      </c>
      <c r="EW303" s="110">
        <f t="shared" si="2621"/>
        <v>0</v>
      </c>
      <c r="EX303" s="110">
        <f t="shared" si="2621"/>
        <v>0</v>
      </c>
      <c r="EY303" s="110">
        <f t="shared" si="2621"/>
        <v>0</v>
      </c>
      <c r="EZ303" s="110">
        <f t="shared" si="2621"/>
        <v>0</v>
      </c>
      <c r="FA303" s="110">
        <f t="shared" si="2621"/>
        <v>0</v>
      </c>
      <c r="FB303" s="110">
        <f t="shared" si="2621"/>
        <v>1653</v>
      </c>
      <c r="FC303" s="110">
        <f t="shared" si="2621"/>
        <v>27073020.08</v>
      </c>
      <c r="FD303" s="110">
        <f t="shared" si="2621"/>
        <v>0</v>
      </c>
      <c r="FE303" s="110">
        <f t="shared" si="2621"/>
        <v>0</v>
      </c>
      <c r="FF303" s="110">
        <f t="shared" si="2621"/>
        <v>0</v>
      </c>
      <c r="FG303" s="110">
        <f t="shared" si="2621"/>
        <v>0</v>
      </c>
      <c r="FH303" s="110">
        <f t="shared" si="2621"/>
        <v>0</v>
      </c>
      <c r="FI303" s="110">
        <f t="shared" si="2621"/>
        <v>0</v>
      </c>
      <c r="FJ303" s="110">
        <f t="shared" si="2621"/>
        <v>0</v>
      </c>
      <c r="FK303" s="110">
        <f t="shared" si="2621"/>
        <v>0</v>
      </c>
      <c r="FL303" s="110">
        <f t="shared" si="2621"/>
        <v>0</v>
      </c>
      <c r="FM303" s="110">
        <f t="shared" si="2621"/>
        <v>0</v>
      </c>
      <c r="FN303" s="110">
        <f t="shared" si="2621"/>
        <v>1653</v>
      </c>
      <c r="FO303" s="110">
        <f t="shared" si="2621"/>
        <v>27073020.08</v>
      </c>
      <c r="FP303" s="110">
        <f t="shared" si="2621"/>
        <v>0</v>
      </c>
      <c r="FQ303" s="110">
        <f t="shared" si="2621"/>
        <v>0</v>
      </c>
      <c r="FR303" s="110">
        <f t="shared" si="2621"/>
        <v>0</v>
      </c>
      <c r="FS303" s="110">
        <f t="shared" si="2621"/>
        <v>0</v>
      </c>
      <c r="FT303" s="110">
        <f t="shared" si="2621"/>
        <v>0</v>
      </c>
      <c r="FU303" s="110">
        <f t="shared" si="2621"/>
        <v>0</v>
      </c>
      <c r="FV303" s="110">
        <f t="shared" si="2621"/>
        <v>0</v>
      </c>
      <c r="FW303" s="110">
        <f t="shared" si="2621"/>
        <v>0</v>
      </c>
      <c r="FX303" s="110">
        <f t="shared" si="2621"/>
        <v>0</v>
      </c>
      <c r="FY303" s="110">
        <f t="shared" si="2621"/>
        <v>0</v>
      </c>
      <c r="FZ303" s="110">
        <f t="shared" si="2621"/>
        <v>1653</v>
      </c>
      <c r="GA303" s="110">
        <f t="shared" si="2621"/>
        <v>27073020.08</v>
      </c>
      <c r="GB303" s="110">
        <f t="shared" si="2621"/>
        <v>0</v>
      </c>
      <c r="GC303" s="110">
        <f t="shared" si="2621"/>
        <v>0</v>
      </c>
      <c r="GD303" s="110">
        <f t="shared" si="2621"/>
        <v>1653</v>
      </c>
      <c r="GE303" s="110">
        <f t="shared" si="2621"/>
        <v>27073020.08</v>
      </c>
      <c r="GF303" s="105"/>
    </row>
    <row r="304" ht="6.75" customHeight="1">
      <c r="A304" s="111"/>
      <c r="B304" s="111"/>
      <c r="C304" s="111"/>
      <c r="D304" s="111"/>
      <c r="E304" s="111"/>
      <c r="F304" s="112"/>
      <c r="G304" s="111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35">
        <f t="shared" si="2615"/>
        <v>0</v>
      </c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  <c r="BQ304" s="113"/>
      <c r="BR304" s="113"/>
      <c r="BS304" s="113"/>
      <c r="BT304" s="113"/>
      <c r="BU304" s="113"/>
      <c r="BV304" s="113"/>
      <c r="BW304" s="113"/>
      <c r="BX304" s="113"/>
      <c r="BY304" s="113"/>
      <c r="BZ304" s="113"/>
      <c r="CA304" s="113"/>
      <c r="CB304" s="113"/>
      <c r="CC304" s="113"/>
      <c r="CD304" s="113"/>
      <c r="CE304" s="113"/>
      <c r="CF304" s="113"/>
      <c r="CG304" s="113"/>
      <c r="CH304" s="113"/>
      <c r="CI304" s="113"/>
      <c r="CJ304" s="113"/>
      <c r="CK304" s="113"/>
      <c r="CL304" s="113"/>
      <c r="CM304" s="113"/>
      <c r="CN304" s="113"/>
      <c r="CO304" s="113"/>
      <c r="CP304" s="113"/>
      <c r="CQ304" s="113"/>
      <c r="CR304" s="113"/>
      <c r="CS304" s="113"/>
      <c r="CT304" s="113"/>
      <c r="CU304" s="113"/>
      <c r="CV304" s="113"/>
      <c r="CW304" s="113"/>
      <c r="CX304" s="113"/>
      <c r="CY304" s="113"/>
      <c r="CZ304" s="113"/>
      <c r="DA304" s="113"/>
      <c r="DB304" s="113"/>
      <c r="DC304" s="65"/>
      <c r="DD304" s="113"/>
      <c r="DE304" s="113"/>
      <c r="DF304" s="113"/>
      <c r="DG304" s="113"/>
      <c r="DH304" s="113"/>
      <c r="DI304" s="113"/>
      <c r="DJ304" s="113"/>
      <c r="DK304" s="113"/>
      <c r="DL304" s="113"/>
      <c r="DM304" s="113"/>
      <c r="DN304" s="113"/>
      <c r="DO304" s="113"/>
      <c r="DP304" s="113"/>
      <c r="DQ304" s="113"/>
      <c r="DR304" s="113"/>
      <c r="DS304" s="113"/>
      <c r="DT304" s="113"/>
      <c r="DU304" s="113"/>
      <c r="DV304" s="113"/>
      <c r="DW304" s="113"/>
      <c r="DX304" s="113"/>
      <c r="DY304" s="113"/>
      <c r="DZ304" s="113"/>
      <c r="EA304" s="113"/>
      <c r="EB304" s="113"/>
      <c r="EC304" s="113"/>
      <c r="ED304" s="113"/>
      <c r="EE304" s="113"/>
      <c r="EF304" s="113"/>
      <c r="EG304" s="113"/>
      <c r="EH304" s="113"/>
      <c r="EI304" s="113"/>
      <c r="EJ304" s="113"/>
      <c r="EK304" s="113"/>
      <c r="EL304" s="113"/>
      <c r="EM304" s="113"/>
      <c r="EN304" s="113"/>
      <c r="EO304" s="113"/>
      <c r="EP304" s="113"/>
      <c r="EQ304" s="113"/>
      <c r="ER304" s="113"/>
      <c r="ES304" s="113"/>
      <c r="ET304" s="113"/>
      <c r="EU304" s="113"/>
      <c r="EV304" s="113"/>
      <c r="EW304" s="113"/>
      <c r="EX304" s="113"/>
      <c r="EY304" s="113"/>
      <c r="EZ304" s="113"/>
      <c r="FA304" s="113"/>
      <c r="FB304" s="113"/>
      <c r="FC304" s="113"/>
      <c r="FD304" s="113"/>
      <c r="FE304" s="113"/>
      <c r="FF304" s="113"/>
      <c r="FG304" s="113"/>
      <c r="FH304" s="113"/>
      <c r="FI304" s="113"/>
      <c r="FJ304" s="113"/>
      <c r="FK304" s="113"/>
      <c r="FL304" s="113"/>
      <c r="FM304" s="113"/>
      <c r="FN304" s="113"/>
      <c r="FO304" s="113"/>
      <c r="FP304" s="113"/>
      <c r="FQ304" s="113"/>
      <c r="FR304" s="113"/>
      <c r="FS304" s="113"/>
      <c r="FT304" s="113"/>
      <c r="FU304" s="113"/>
      <c r="FV304" s="113"/>
      <c r="FW304" s="113"/>
      <c r="FX304" s="113"/>
      <c r="FY304" s="113"/>
      <c r="FZ304" s="113"/>
      <c r="GA304" s="113"/>
      <c r="GB304" s="113"/>
      <c r="GC304" s="113"/>
      <c r="GD304" s="113"/>
      <c r="GE304" s="113"/>
      <c r="GF304" s="64"/>
    </row>
    <row r="305" ht="36.0" customHeight="1">
      <c r="A305" s="136" t="s">
        <v>319</v>
      </c>
      <c r="B305" s="137"/>
      <c r="C305" s="137"/>
      <c r="D305" s="137"/>
      <c r="E305" s="137"/>
      <c r="F305" s="138"/>
      <c r="G305" s="137"/>
      <c r="H305" s="139">
        <f t="shared" ref="H305:AA305" si="2622">H155+H225+H244+H303</f>
        <v>401356228.4</v>
      </c>
      <c r="I305" s="139">
        <f t="shared" si="2622"/>
        <v>0</v>
      </c>
      <c r="J305" s="139">
        <f t="shared" si="2622"/>
        <v>0</v>
      </c>
      <c r="K305" s="139">
        <f t="shared" si="2622"/>
        <v>0</v>
      </c>
      <c r="L305" s="139">
        <f t="shared" si="2622"/>
        <v>0</v>
      </c>
      <c r="M305" s="139">
        <f t="shared" si="2622"/>
        <v>50</v>
      </c>
      <c r="N305" s="139">
        <f t="shared" si="2622"/>
        <v>360</v>
      </c>
      <c r="O305" s="139">
        <f t="shared" si="2622"/>
        <v>58</v>
      </c>
      <c r="P305" s="139">
        <f t="shared" si="2622"/>
        <v>86</v>
      </c>
      <c r="Q305" s="139">
        <f t="shared" si="2622"/>
        <v>67</v>
      </c>
      <c r="R305" s="139">
        <f t="shared" si="2622"/>
        <v>33</v>
      </c>
      <c r="S305" s="139">
        <f t="shared" si="2622"/>
        <v>39</v>
      </c>
      <c r="T305" s="139">
        <f t="shared" si="2622"/>
        <v>20</v>
      </c>
      <c r="U305" s="139">
        <f t="shared" si="2622"/>
        <v>136</v>
      </c>
      <c r="V305" s="139">
        <f t="shared" si="2622"/>
        <v>321</v>
      </c>
      <c r="W305" s="139">
        <f t="shared" si="2622"/>
        <v>8</v>
      </c>
      <c r="X305" s="139">
        <f t="shared" si="2622"/>
        <v>30</v>
      </c>
      <c r="Y305" s="139">
        <f t="shared" si="2622"/>
        <v>8</v>
      </c>
      <c r="Z305" s="139">
        <f t="shared" si="2622"/>
        <v>68</v>
      </c>
      <c r="AA305" s="139">
        <f t="shared" si="2622"/>
        <v>100</v>
      </c>
      <c r="AB305" s="140">
        <f t="shared" si="2615"/>
        <v>1384</v>
      </c>
      <c r="AC305" s="139">
        <f t="shared" ref="AC305:AQ305" si="2623">AC155+AC225+AC244+AC303</f>
        <v>36850075.52</v>
      </c>
      <c r="AD305" s="139">
        <f t="shared" si="2623"/>
        <v>22765</v>
      </c>
      <c r="AE305" s="139">
        <f t="shared" si="2623"/>
        <v>365739362.9</v>
      </c>
      <c r="AF305" s="139">
        <f t="shared" si="2623"/>
        <v>0</v>
      </c>
      <c r="AG305" s="139">
        <f t="shared" si="2623"/>
        <v>0</v>
      </c>
      <c r="AH305" s="139">
        <f t="shared" si="2623"/>
        <v>0</v>
      </c>
      <c r="AI305" s="139">
        <f t="shared" si="2623"/>
        <v>0</v>
      </c>
      <c r="AJ305" s="139">
        <f t="shared" si="2623"/>
        <v>82</v>
      </c>
      <c r="AK305" s="139">
        <f t="shared" si="2623"/>
        <v>3</v>
      </c>
      <c r="AL305" s="139">
        <f t="shared" si="2623"/>
        <v>0</v>
      </c>
      <c r="AM305" s="139">
        <f t="shared" si="2623"/>
        <v>0</v>
      </c>
      <c r="AN305" s="139">
        <f t="shared" si="2623"/>
        <v>85</v>
      </c>
      <c r="AO305" s="139">
        <f t="shared" si="2623"/>
        <v>8568396.922</v>
      </c>
      <c r="AP305" s="139">
        <f t="shared" si="2623"/>
        <v>22680</v>
      </c>
      <c r="AQ305" s="139">
        <f t="shared" si="2623"/>
        <v>373979286.2</v>
      </c>
      <c r="AR305" s="139"/>
      <c r="AS305" s="139">
        <f t="shared" ref="AS305:BH305" si="2624">AS155+AS225+AS244+AS303</f>
        <v>0</v>
      </c>
      <c r="AT305" s="139">
        <f t="shared" si="2624"/>
        <v>0</v>
      </c>
      <c r="AU305" s="139">
        <f t="shared" si="2624"/>
        <v>0</v>
      </c>
      <c r="AV305" s="139">
        <f t="shared" si="2624"/>
        <v>0</v>
      </c>
      <c r="AW305" s="139">
        <f t="shared" si="2624"/>
        <v>0</v>
      </c>
      <c r="AX305" s="139">
        <f t="shared" si="2624"/>
        <v>0</v>
      </c>
      <c r="AY305" s="139">
        <f t="shared" si="2624"/>
        <v>0</v>
      </c>
      <c r="AZ305" s="139">
        <f t="shared" si="2624"/>
        <v>0</v>
      </c>
      <c r="BA305" s="139">
        <f t="shared" si="2624"/>
        <v>0</v>
      </c>
      <c r="BB305" s="139">
        <f t="shared" si="2624"/>
        <v>0</v>
      </c>
      <c r="BC305" s="139">
        <f t="shared" si="2624"/>
        <v>22680</v>
      </c>
      <c r="BD305" s="139">
        <f t="shared" si="2624"/>
        <v>373979286.2</v>
      </c>
      <c r="BE305" s="139">
        <f t="shared" si="2624"/>
        <v>0</v>
      </c>
      <c r="BF305" s="139">
        <f t="shared" si="2624"/>
        <v>1449</v>
      </c>
      <c r="BG305" s="139">
        <f t="shared" si="2624"/>
        <v>22680</v>
      </c>
      <c r="BH305" s="139">
        <f t="shared" si="2624"/>
        <v>353805445.9</v>
      </c>
      <c r="BI305" s="139"/>
      <c r="BJ305" s="139">
        <f t="shared" ref="BJ305:BQ305" si="2625">BJ155+BJ225+BJ244+BJ303</f>
        <v>0</v>
      </c>
      <c r="BK305" s="139">
        <f t="shared" si="2625"/>
        <v>0</v>
      </c>
      <c r="BL305" s="139">
        <f t="shared" si="2625"/>
        <v>0</v>
      </c>
      <c r="BM305" s="139">
        <f t="shared" si="2625"/>
        <v>152</v>
      </c>
      <c r="BN305" s="139">
        <f t="shared" si="2625"/>
        <v>51</v>
      </c>
      <c r="BO305" s="139">
        <f t="shared" si="2625"/>
        <v>25</v>
      </c>
      <c r="BP305" s="139">
        <f t="shared" si="2625"/>
        <v>37</v>
      </c>
      <c r="BQ305" s="139">
        <f t="shared" si="2625"/>
        <v>39</v>
      </c>
      <c r="BR305" s="139"/>
      <c r="BS305" s="139"/>
      <c r="BT305" s="139"/>
      <c r="BU305" s="139"/>
      <c r="BV305" s="139">
        <f t="shared" ref="BV305:DB305" si="2626">BV155+BV225+BV244+BV303</f>
        <v>58</v>
      </c>
      <c r="BW305" s="139">
        <f t="shared" si="2626"/>
        <v>2351</v>
      </c>
      <c r="BX305" s="139">
        <f t="shared" si="2626"/>
        <v>88572658.13</v>
      </c>
      <c r="BY305" s="139">
        <f t="shared" si="2626"/>
        <v>20329</v>
      </c>
      <c r="BZ305" s="139">
        <f t="shared" si="2626"/>
        <v>285406628</v>
      </c>
      <c r="CA305" s="139">
        <f t="shared" si="2626"/>
        <v>0</v>
      </c>
      <c r="CB305" s="139">
        <f t="shared" si="2626"/>
        <v>0</v>
      </c>
      <c r="CC305" s="139">
        <f t="shared" si="2626"/>
        <v>0</v>
      </c>
      <c r="CD305" s="139">
        <f t="shared" si="2626"/>
        <v>0</v>
      </c>
      <c r="CE305" s="139">
        <f t="shared" si="2626"/>
        <v>124</v>
      </c>
      <c r="CF305" s="139">
        <f t="shared" si="2626"/>
        <v>1027</v>
      </c>
      <c r="CG305" s="139">
        <f t="shared" si="2626"/>
        <v>0</v>
      </c>
      <c r="CH305" s="139">
        <f t="shared" si="2626"/>
        <v>0</v>
      </c>
      <c r="CI305" s="139">
        <f t="shared" si="2626"/>
        <v>1151</v>
      </c>
      <c r="CJ305" s="139">
        <f t="shared" si="2626"/>
        <v>18335783.4</v>
      </c>
      <c r="CK305" s="139">
        <f t="shared" si="2626"/>
        <v>19177</v>
      </c>
      <c r="CL305" s="139">
        <f t="shared" si="2626"/>
        <v>267063074.6</v>
      </c>
      <c r="CM305" s="139">
        <f t="shared" si="2626"/>
        <v>2270</v>
      </c>
      <c r="CN305" s="139">
        <f t="shared" si="2626"/>
        <v>1</v>
      </c>
      <c r="CO305" s="139">
        <f t="shared" si="2626"/>
        <v>2271</v>
      </c>
      <c r="CP305" s="139">
        <f t="shared" si="2626"/>
        <v>64987170</v>
      </c>
      <c r="CQ305" s="139">
        <f t="shared" si="2626"/>
        <v>136</v>
      </c>
      <c r="CR305" s="139">
        <f t="shared" si="2626"/>
        <v>1047</v>
      </c>
      <c r="CS305" s="139">
        <f t="shared" si="2626"/>
        <v>0</v>
      </c>
      <c r="CT305" s="139">
        <f t="shared" si="2626"/>
        <v>0</v>
      </c>
      <c r="CU305" s="139">
        <f t="shared" si="2626"/>
        <v>1180</v>
      </c>
      <c r="CV305" s="139">
        <f t="shared" si="2626"/>
        <v>10742054.16</v>
      </c>
      <c r="CW305" s="139">
        <f t="shared" si="2626"/>
        <v>20268</v>
      </c>
      <c r="CX305" s="139">
        <f t="shared" si="2626"/>
        <v>321308190.5</v>
      </c>
      <c r="CY305" s="139">
        <f t="shared" si="2626"/>
        <v>2271</v>
      </c>
      <c r="CZ305" s="139">
        <f t="shared" si="2626"/>
        <v>4682</v>
      </c>
      <c r="DA305" s="139">
        <f t="shared" si="2626"/>
        <v>20269</v>
      </c>
      <c r="DB305" s="139">
        <f t="shared" si="2626"/>
        <v>325662020.2</v>
      </c>
      <c r="DC305" s="141"/>
      <c r="DD305" s="139">
        <f t="shared" ref="DD305:GE305" si="2627">DD155+DD225+DD244+DD303</f>
        <v>0</v>
      </c>
      <c r="DE305" s="139">
        <f t="shared" si="2627"/>
        <v>0</v>
      </c>
      <c r="DF305" s="139">
        <f t="shared" si="2627"/>
        <v>2661</v>
      </c>
      <c r="DG305" s="139">
        <f t="shared" si="2627"/>
        <v>52408983</v>
      </c>
      <c r="DH305" s="139">
        <f t="shared" si="2627"/>
        <v>47</v>
      </c>
      <c r="DI305" s="139">
        <f t="shared" si="2627"/>
        <v>0</v>
      </c>
      <c r="DJ305" s="139">
        <f t="shared" si="2627"/>
        <v>0</v>
      </c>
      <c r="DK305" s="139">
        <f t="shared" si="2627"/>
        <v>0</v>
      </c>
      <c r="DL305" s="139">
        <f t="shared" si="2627"/>
        <v>47</v>
      </c>
      <c r="DM305" s="139">
        <f t="shared" si="2627"/>
        <v>2849370</v>
      </c>
      <c r="DN305" s="139">
        <f t="shared" si="2627"/>
        <v>18459</v>
      </c>
      <c r="DO305" s="139">
        <f t="shared" si="2627"/>
        <v>284061773.2</v>
      </c>
      <c r="DP305" s="139">
        <f t="shared" si="2627"/>
        <v>0</v>
      </c>
      <c r="DQ305" s="139">
        <f t="shared" si="2627"/>
        <v>0</v>
      </c>
      <c r="DR305" s="139">
        <f t="shared" si="2627"/>
        <v>0</v>
      </c>
      <c r="DS305" s="139">
        <f t="shared" si="2627"/>
        <v>0</v>
      </c>
      <c r="DT305" s="139">
        <f t="shared" si="2627"/>
        <v>0</v>
      </c>
      <c r="DU305" s="139">
        <f t="shared" si="2627"/>
        <v>0</v>
      </c>
      <c r="DV305" s="139">
        <f t="shared" si="2627"/>
        <v>0</v>
      </c>
      <c r="DW305" s="139">
        <f t="shared" si="2627"/>
        <v>0</v>
      </c>
      <c r="DX305" s="139">
        <f t="shared" si="2627"/>
        <v>0</v>
      </c>
      <c r="DY305" s="139">
        <f t="shared" si="2627"/>
        <v>0</v>
      </c>
      <c r="DZ305" s="139">
        <f t="shared" si="2627"/>
        <v>18459</v>
      </c>
      <c r="EA305" s="139">
        <f t="shared" si="2627"/>
        <v>284061773.2</v>
      </c>
      <c r="EB305" s="139">
        <f t="shared" si="2627"/>
        <v>0</v>
      </c>
      <c r="EC305" s="139">
        <f t="shared" si="2627"/>
        <v>0</v>
      </c>
      <c r="ED305" s="139">
        <f t="shared" si="2627"/>
        <v>0</v>
      </c>
      <c r="EE305" s="139">
        <f t="shared" si="2627"/>
        <v>0</v>
      </c>
      <c r="EF305" s="139">
        <f t="shared" si="2627"/>
        <v>0</v>
      </c>
      <c r="EG305" s="139">
        <f t="shared" si="2627"/>
        <v>0</v>
      </c>
      <c r="EH305" s="139">
        <f t="shared" si="2627"/>
        <v>0</v>
      </c>
      <c r="EI305" s="139">
        <f t="shared" si="2627"/>
        <v>0</v>
      </c>
      <c r="EJ305" s="139">
        <f t="shared" si="2627"/>
        <v>0</v>
      </c>
      <c r="EK305" s="139">
        <f t="shared" si="2627"/>
        <v>0</v>
      </c>
      <c r="EL305" s="139">
        <f t="shared" si="2627"/>
        <v>18459</v>
      </c>
      <c r="EM305" s="139">
        <f t="shared" si="2627"/>
        <v>284061773.2</v>
      </c>
      <c r="EN305" s="139">
        <f t="shared" si="2627"/>
        <v>611</v>
      </c>
      <c r="EO305" s="139">
        <f t="shared" si="2627"/>
        <v>47</v>
      </c>
      <c r="EP305" s="139">
        <f t="shared" si="2627"/>
        <v>18459</v>
      </c>
      <c r="EQ305" s="139">
        <f t="shared" si="2627"/>
        <v>284061773.2</v>
      </c>
      <c r="ER305" s="139">
        <f t="shared" si="2627"/>
        <v>0</v>
      </c>
      <c r="ES305" s="139">
        <f t="shared" si="2627"/>
        <v>0</v>
      </c>
      <c r="ET305" s="139">
        <f t="shared" si="2627"/>
        <v>0</v>
      </c>
      <c r="EU305" s="139">
        <f t="shared" si="2627"/>
        <v>0</v>
      </c>
      <c r="EV305" s="139">
        <f t="shared" si="2627"/>
        <v>0</v>
      </c>
      <c r="EW305" s="139">
        <f t="shared" si="2627"/>
        <v>0</v>
      </c>
      <c r="EX305" s="139">
        <f t="shared" si="2627"/>
        <v>0</v>
      </c>
      <c r="EY305" s="139">
        <f t="shared" si="2627"/>
        <v>0</v>
      </c>
      <c r="EZ305" s="139">
        <f t="shared" si="2627"/>
        <v>0</v>
      </c>
      <c r="FA305" s="139">
        <f t="shared" si="2627"/>
        <v>0</v>
      </c>
      <c r="FB305" s="139">
        <f t="shared" si="2627"/>
        <v>18459</v>
      </c>
      <c r="FC305" s="139">
        <f t="shared" si="2627"/>
        <v>284061773.2</v>
      </c>
      <c r="FD305" s="139">
        <f t="shared" si="2627"/>
        <v>0</v>
      </c>
      <c r="FE305" s="139">
        <f t="shared" si="2627"/>
        <v>0</v>
      </c>
      <c r="FF305" s="139">
        <f t="shared" si="2627"/>
        <v>0</v>
      </c>
      <c r="FG305" s="139">
        <f t="shared" si="2627"/>
        <v>0</v>
      </c>
      <c r="FH305" s="139">
        <f t="shared" si="2627"/>
        <v>0</v>
      </c>
      <c r="FI305" s="139">
        <f t="shared" si="2627"/>
        <v>0</v>
      </c>
      <c r="FJ305" s="139">
        <f t="shared" si="2627"/>
        <v>0</v>
      </c>
      <c r="FK305" s="139">
        <f t="shared" si="2627"/>
        <v>0</v>
      </c>
      <c r="FL305" s="139">
        <f t="shared" si="2627"/>
        <v>0</v>
      </c>
      <c r="FM305" s="139">
        <f t="shared" si="2627"/>
        <v>0</v>
      </c>
      <c r="FN305" s="139">
        <f t="shared" si="2627"/>
        <v>18459</v>
      </c>
      <c r="FO305" s="139">
        <f t="shared" si="2627"/>
        <v>284061773.2</v>
      </c>
      <c r="FP305" s="139">
        <f t="shared" si="2627"/>
        <v>0</v>
      </c>
      <c r="FQ305" s="139">
        <f t="shared" si="2627"/>
        <v>0</v>
      </c>
      <c r="FR305" s="139">
        <f t="shared" si="2627"/>
        <v>0</v>
      </c>
      <c r="FS305" s="139">
        <f t="shared" si="2627"/>
        <v>0</v>
      </c>
      <c r="FT305" s="139">
        <f t="shared" si="2627"/>
        <v>0</v>
      </c>
      <c r="FU305" s="139">
        <f t="shared" si="2627"/>
        <v>0</v>
      </c>
      <c r="FV305" s="139">
        <f t="shared" si="2627"/>
        <v>0</v>
      </c>
      <c r="FW305" s="139">
        <f t="shared" si="2627"/>
        <v>0</v>
      </c>
      <c r="FX305" s="139">
        <f t="shared" si="2627"/>
        <v>0</v>
      </c>
      <c r="FY305" s="139">
        <f t="shared" si="2627"/>
        <v>0</v>
      </c>
      <c r="FZ305" s="139">
        <f t="shared" si="2627"/>
        <v>18459</v>
      </c>
      <c r="GA305" s="139">
        <f t="shared" si="2627"/>
        <v>284061773.2</v>
      </c>
      <c r="GB305" s="139">
        <f t="shared" si="2627"/>
        <v>0</v>
      </c>
      <c r="GC305" s="139">
        <f t="shared" si="2627"/>
        <v>0</v>
      </c>
      <c r="GD305" s="139">
        <f t="shared" si="2627"/>
        <v>18459</v>
      </c>
      <c r="GE305" s="139">
        <f t="shared" si="2627"/>
        <v>284061773.2</v>
      </c>
      <c r="GF305" s="142"/>
    </row>
    <row r="306" ht="1.5" customHeight="1">
      <c r="A306" s="143"/>
      <c r="B306" s="143"/>
      <c r="C306" s="143"/>
      <c r="D306" s="143"/>
      <c r="E306" s="143"/>
      <c r="F306" s="144"/>
      <c r="G306" s="143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5"/>
      <c r="AY306" s="145"/>
      <c r="AZ306" s="145"/>
      <c r="BA306" s="145"/>
      <c r="BB306" s="145"/>
      <c r="BC306" s="145"/>
      <c r="BD306" s="145"/>
      <c r="BE306" s="145"/>
      <c r="BF306" s="145"/>
      <c r="BG306" s="145"/>
      <c r="BH306" s="145"/>
      <c r="BI306" s="145"/>
      <c r="BJ306" s="145"/>
      <c r="BK306" s="145"/>
      <c r="BL306" s="145"/>
      <c r="BM306" s="145"/>
      <c r="BN306" s="145"/>
      <c r="BO306" s="145"/>
      <c r="BP306" s="145"/>
      <c r="BQ306" s="145"/>
      <c r="BR306" s="145"/>
      <c r="BS306" s="145"/>
      <c r="BT306" s="145"/>
      <c r="BU306" s="145"/>
      <c r="BV306" s="145"/>
      <c r="BW306" s="145"/>
      <c r="BX306" s="145"/>
      <c r="BY306" s="145"/>
      <c r="BZ306" s="145"/>
      <c r="CA306" s="145"/>
      <c r="CB306" s="145"/>
      <c r="CC306" s="145"/>
      <c r="CD306" s="145"/>
      <c r="CE306" s="145"/>
      <c r="CF306" s="145"/>
      <c r="CG306" s="145"/>
      <c r="CH306" s="145"/>
      <c r="CI306" s="145"/>
      <c r="CJ306" s="145"/>
      <c r="CK306" s="145"/>
      <c r="CL306" s="145"/>
      <c r="CM306" s="145"/>
      <c r="CN306" s="145"/>
      <c r="CO306" s="145"/>
      <c r="CP306" s="145"/>
      <c r="CQ306" s="145"/>
      <c r="CR306" s="145"/>
      <c r="CS306" s="145"/>
      <c r="CT306" s="145"/>
      <c r="CU306" s="145"/>
      <c r="CV306" s="145"/>
      <c r="CW306" s="145"/>
      <c r="CX306" s="145"/>
      <c r="CY306" s="145"/>
      <c r="CZ306" s="145"/>
      <c r="DA306" s="145"/>
      <c r="DB306" s="145"/>
      <c r="DC306" s="146"/>
      <c r="DD306" s="145"/>
      <c r="DE306" s="145"/>
      <c r="DF306" s="145"/>
      <c r="DG306" s="145"/>
      <c r="DH306" s="145"/>
      <c r="DI306" s="145"/>
      <c r="DJ306" s="145"/>
      <c r="DK306" s="145"/>
      <c r="DL306" s="145"/>
      <c r="DM306" s="145"/>
      <c r="DN306" s="145"/>
      <c r="DO306" s="145"/>
      <c r="DP306" s="145"/>
      <c r="DQ306" s="145"/>
      <c r="DR306" s="145"/>
      <c r="DS306" s="145"/>
      <c r="DT306" s="145"/>
      <c r="DU306" s="145"/>
      <c r="DV306" s="145"/>
      <c r="DW306" s="145"/>
      <c r="DX306" s="145"/>
      <c r="DY306" s="145"/>
      <c r="DZ306" s="145"/>
      <c r="EA306" s="145"/>
      <c r="EB306" s="145"/>
      <c r="EC306" s="145"/>
      <c r="ED306" s="145"/>
      <c r="EE306" s="145"/>
      <c r="EF306" s="145"/>
      <c r="EG306" s="145"/>
      <c r="EH306" s="145"/>
      <c r="EI306" s="145"/>
      <c r="EJ306" s="145"/>
      <c r="EK306" s="145"/>
      <c r="EL306" s="145"/>
      <c r="EM306" s="145"/>
      <c r="EN306" s="145"/>
      <c r="EO306" s="145"/>
      <c r="EP306" s="145"/>
      <c r="EQ306" s="145"/>
      <c r="ER306" s="145"/>
      <c r="ES306" s="145"/>
      <c r="ET306" s="145"/>
      <c r="EU306" s="145"/>
      <c r="EV306" s="145"/>
      <c r="EW306" s="145"/>
      <c r="EX306" s="145"/>
      <c r="EY306" s="145"/>
      <c r="EZ306" s="145"/>
      <c r="FA306" s="145"/>
      <c r="FB306" s="145"/>
      <c r="FC306" s="145"/>
      <c r="FD306" s="145"/>
      <c r="FE306" s="145"/>
      <c r="FF306" s="145"/>
      <c r="FG306" s="145"/>
      <c r="FH306" s="145"/>
      <c r="FI306" s="145"/>
      <c r="FJ306" s="145"/>
      <c r="FK306" s="145"/>
      <c r="FL306" s="145"/>
      <c r="FM306" s="145"/>
      <c r="FN306" s="145"/>
      <c r="FO306" s="145"/>
      <c r="FP306" s="145"/>
      <c r="FQ306" s="145"/>
      <c r="FR306" s="145"/>
      <c r="FS306" s="145"/>
      <c r="FT306" s="145"/>
      <c r="FU306" s="145"/>
      <c r="FV306" s="145"/>
      <c r="FW306" s="145"/>
      <c r="FX306" s="145"/>
      <c r="FY306" s="145"/>
      <c r="FZ306" s="145"/>
      <c r="GA306" s="145"/>
      <c r="GB306" s="145"/>
      <c r="GC306" s="145"/>
      <c r="GD306" s="145"/>
      <c r="GE306" s="145"/>
      <c r="GF306" s="147"/>
    </row>
    <row r="307">
      <c r="A307" s="115"/>
      <c r="B307" s="115"/>
      <c r="C307" s="115"/>
      <c r="D307" s="115"/>
      <c r="E307" s="115"/>
      <c r="F307" s="116"/>
      <c r="G307" s="115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148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5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  <c r="FN307" s="64"/>
      <c r="FO307" s="64"/>
      <c r="FP307" s="64"/>
      <c r="FQ307" s="64"/>
      <c r="FR307" s="64"/>
      <c r="FS307" s="64"/>
      <c r="FT307" s="64"/>
      <c r="FU307" s="64"/>
      <c r="FV307" s="64"/>
      <c r="FW307" s="64"/>
      <c r="FX307" s="64"/>
      <c r="FY307" s="64"/>
      <c r="FZ307" s="64"/>
      <c r="GA307" s="64"/>
      <c r="GB307" s="64"/>
      <c r="GC307" s="64"/>
      <c r="GD307" s="64"/>
      <c r="GE307" s="64"/>
      <c r="GF307" s="64"/>
    </row>
    <row r="308">
      <c r="A308" s="115"/>
      <c r="B308" s="115"/>
      <c r="C308" s="115"/>
      <c r="D308" s="115"/>
      <c r="E308" s="115"/>
      <c r="F308" s="116"/>
      <c r="G308" s="115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5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  <c r="FN308" s="64"/>
      <c r="FO308" s="64"/>
      <c r="FP308" s="64"/>
      <c r="FQ308" s="64"/>
      <c r="FR308" s="64"/>
      <c r="FS308" s="64"/>
      <c r="FT308" s="64"/>
      <c r="FU308" s="64"/>
      <c r="FV308" s="64"/>
      <c r="FW308" s="64"/>
      <c r="FX308" s="64"/>
      <c r="FY308" s="64"/>
      <c r="FZ308" s="64"/>
      <c r="GA308" s="64"/>
      <c r="GB308" s="64"/>
      <c r="GC308" s="64"/>
      <c r="GD308" s="64"/>
      <c r="GE308" s="64"/>
      <c r="GF308" s="64"/>
    </row>
    <row r="309">
      <c r="A309" s="115"/>
      <c r="B309" s="115"/>
      <c r="C309" s="115"/>
      <c r="D309" s="115"/>
      <c r="E309" s="115"/>
      <c r="F309" s="116"/>
      <c r="G309" s="115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>
        <f>AD311-AE303</f>
        <v>2037960</v>
      </c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5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  <c r="FN309" s="64"/>
      <c r="FO309" s="64"/>
      <c r="FP309" s="64"/>
      <c r="FQ309" s="64"/>
      <c r="FR309" s="64"/>
      <c r="FS309" s="64"/>
      <c r="FT309" s="64"/>
      <c r="FU309" s="64"/>
      <c r="FV309" s="64"/>
      <c r="FW309" s="64"/>
      <c r="FX309" s="64"/>
      <c r="FY309" s="64"/>
      <c r="FZ309" s="64"/>
      <c r="GA309" s="64"/>
      <c r="GB309" s="64"/>
      <c r="GC309" s="64"/>
      <c r="GD309" s="64"/>
      <c r="GE309" s="64"/>
      <c r="GF309" s="64"/>
    </row>
    <row r="310">
      <c r="A310" s="115"/>
      <c r="B310" s="115"/>
      <c r="C310" s="115"/>
      <c r="D310" s="115"/>
      <c r="E310" s="115"/>
      <c r="F310" s="116"/>
      <c r="G310" s="115"/>
      <c r="H310" s="64">
        <f>G298*E298</f>
        <v>996427</v>
      </c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5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  <c r="FN310" s="64"/>
      <c r="FO310" s="64"/>
      <c r="FP310" s="64"/>
      <c r="FQ310" s="64"/>
      <c r="FR310" s="64"/>
      <c r="FS310" s="64"/>
      <c r="FT310" s="64"/>
      <c r="FU310" s="64"/>
      <c r="FV310" s="64"/>
      <c r="FW310" s="64"/>
      <c r="FX310" s="64"/>
      <c r="FY310" s="64"/>
      <c r="FZ310" s="64"/>
      <c r="GA310" s="64"/>
      <c r="GB310" s="64"/>
      <c r="GC310" s="64"/>
      <c r="GD310" s="64"/>
      <c r="GE310" s="64"/>
      <c r="GF310" s="64"/>
    </row>
    <row r="311">
      <c r="A311" s="115"/>
      <c r="B311" s="115"/>
      <c r="C311" s="149" t="s">
        <v>320</v>
      </c>
      <c r="D311" s="115"/>
      <c r="E311" s="115"/>
      <c r="F311" s="116"/>
      <c r="G311" s="115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>
        <f>H303-AC303</f>
        <v>27725549.71</v>
      </c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5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  <c r="FN311" s="64"/>
      <c r="FO311" s="64"/>
      <c r="FP311" s="64"/>
      <c r="FQ311" s="64"/>
      <c r="FR311" s="64"/>
      <c r="FS311" s="64"/>
      <c r="FT311" s="64"/>
      <c r="FU311" s="64"/>
      <c r="FV311" s="64"/>
      <c r="FW311" s="64"/>
      <c r="FX311" s="64"/>
      <c r="FY311" s="64"/>
      <c r="FZ311" s="64"/>
      <c r="GA311" s="64"/>
      <c r="GB311" s="64"/>
      <c r="GC311" s="64"/>
      <c r="GD311" s="64"/>
      <c r="GE311" s="64"/>
      <c r="GF311" s="64"/>
    </row>
    <row r="312">
      <c r="A312" s="115"/>
      <c r="B312" s="115"/>
      <c r="C312" s="149" t="s">
        <v>321</v>
      </c>
      <c r="D312" s="149" t="s">
        <v>322</v>
      </c>
      <c r="E312" s="149" t="s">
        <v>323</v>
      </c>
      <c r="F312" s="150" t="s">
        <v>324</v>
      </c>
      <c r="G312" s="115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5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  <c r="FN312" s="64"/>
      <c r="FO312" s="64"/>
      <c r="FP312" s="64"/>
      <c r="FQ312" s="64"/>
      <c r="FR312" s="64"/>
      <c r="FS312" s="64"/>
      <c r="FT312" s="64"/>
      <c r="FU312" s="64"/>
      <c r="FV312" s="64"/>
      <c r="FW312" s="64"/>
      <c r="FX312" s="64"/>
      <c r="FY312" s="64"/>
      <c r="FZ312" s="64"/>
      <c r="GA312" s="64"/>
      <c r="GB312" s="64"/>
      <c r="GC312" s="64"/>
      <c r="GD312" s="64"/>
      <c r="GE312" s="64"/>
      <c r="GF312" s="64"/>
    </row>
    <row r="313">
      <c r="A313" s="115"/>
      <c r="B313" s="149" t="s">
        <v>325</v>
      </c>
      <c r="C313" s="64">
        <f>L155+AI155+AV155</f>
        <v>0</v>
      </c>
      <c r="D313" s="64">
        <f>AI303+L303+AV303</f>
        <v>0</v>
      </c>
      <c r="E313" s="64">
        <f>L225+AI225+AV225</f>
        <v>0</v>
      </c>
      <c r="F313" s="151">
        <f>L244+AI244+AV244</f>
        <v>0</v>
      </c>
      <c r="G313" s="115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5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  <c r="FN313" s="64"/>
      <c r="FO313" s="64"/>
      <c r="FP313" s="64"/>
      <c r="FQ313" s="64"/>
      <c r="FR313" s="64"/>
      <c r="FS313" s="64"/>
      <c r="FT313" s="64"/>
      <c r="FU313" s="64"/>
      <c r="FV313" s="64"/>
      <c r="FW313" s="64"/>
      <c r="FX313" s="64"/>
      <c r="FY313" s="64"/>
      <c r="FZ313" s="64"/>
      <c r="GA313" s="64"/>
      <c r="GB313" s="64"/>
      <c r="GC313" s="64"/>
      <c r="GD313" s="64"/>
      <c r="GE313" s="64"/>
      <c r="GF313" s="64"/>
    </row>
    <row r="314">
      <c r="A314" s="115"/>
      <c r="B314" s="149" t="s">
        <v>326</v>
      </c>
      <c r="C314" s="64">
        <f>BL155+CD155+CP155</f>
        <v>28447080</v>
      </c>
      <c r="D314" s="64">
        <f>BL303+CD303+CP303</f>
        <v>36540090</v>
      </c>
      <c r="E314" s="64">
        <f>BL225+CD225+CO225</f>
        <v>0</v>
      </c>
      <c r="F314" s="151">
        <f>BL245+CD245+CP245</f>
        <v>0</v>
      </c>
      <c r="G314" s="115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5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  <c r="FN314" s="64"/>
      <c r="FO314" s="64"/>
      <c r="FP314" s="64"/>
      <c r="FQ314" s="64"/>
      <c r="FR314" s="64"/>
      <c r="FS314" s="64"/>
      <c r="FT314" s="64"/>
      <c r="FU314" s="64"/>
      <c r="FV314" s="64"/>
      <c r="FW314" s="64"/>
      <c r="FX314" s="64"/>
      <c r="FY314" s="64"/>
      <c r="FZ314" s="64"/>
      <c r="GA314" s="64"/>
      <c r="GB314" s="64"/>
      <c r="GC314" s="64"/>
      <c r="GD314" s="64"/>
      <c r="GE314" s="64"/>
      <c r="GF314" s="64"/>
    </row>
    <row r="315">
      <c r="A315" s="115"/>
      <c r="B315" s="149" t="s">
        <v>327</v>
      </c>
      <c r="C315" s="115"/>
      <c r="D315" s="115"/>
      <c r="E315" s="115"/>
      <c r="F315" s="116"/>
      <c r="G315" s="115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5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  <c r="FN315" s="64"/>
      <c r="FO315" s="64"/>
      <c r="FP315" s="64"/>
      <c r="FQ315" s="64"/>
      <c r="FR315" s="64"/>
      <c r="FS315" s="64"/>
      <c r="FT315" s="64"/>
      <c r="FU315" s="64"/>
      <c r="FV315" s="64"/>
      <c r="FW315" s="64"/>
      <c r="FX315" s="64"/>
      <c r="FY315" s="64"/>
      <c r="FZ315" s="64"/>
      <c r="GA315" s="64"/>
      <c r="GB315" s="64"/>
      <c r="GC315" s="64"/>
      <c r="GD315" s="64"/>
      <c r="GE315" s="64"/>
      <c r="GF315" s="64"/>
    </row>
    <row r="316">
      <c r="A316" s="115"/>
      <c r="B316" s="149" t="s">
        <v>328</v>
      </c>
      <c r="C316" s="115"/>
      <c r="D316" s="115"/>
      <c r="E316" s="115"/>
      <c r="F316" s="116"/>
      <c r="G316" s="115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5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  <c r="FN316" s="64"/>
      <c r="FO316" s="64"/>
      <c r="FP316" s="64"/>
      <c r="FQ316" s="64"/>
      <c r="FR316" s="64"/>
      <c r="FS316" s="64"/>
      <c r="FT316" s="64"/>
      <c r="FU316" s="64"/>
      <c r="FV316" s="64"/>
      <c r="FW316" s="64"/>
      <c r="FX316" s="64"/>
      <c r="FY316" s="64"/>
      <c r="FZ316" s="64"/>
      <c r="GA316" s="64"/>
      <c r="GB316" s="64"/>
      <c r="GC316" s="64"/>
      <c r="GD316" s="64"/>
      <c r="GE316" s="64"/>
      <c r="GF316" s="64"/>
    </row>
    <row r="317">
      <c r="A317" s="115"/>
      <c r="B317" s="115"/>
      <c r="C317" s="115"/>
      <c r="D317" s="115"/>
      <c r="E317" s="115"/>
      <c r="F317" s="116"/>
      <c r="G317" s="115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5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  <c r="FN317" s="64"/>
      <c r="FO317" s="64"/>
      <c r="FP317" s="64"/>
      <c r="FQ317" s="64"/>
      <c r="FR317" s="64"/>
      <c r="FS317" s="64"/>
      <c r="FT317" s="64"/>
      <c r="FU317" s="64"/>
      <c r="FV317" s="64"/>
      <c r="FW317" s="64"/>
      <c r="FX317" s="64"/>
      <c r="FY317" s="64"/>
      <c r="FZ317" s="64"/>
      <c r="GA317" s="64"/>
      <c r="GB317" s="64"/>
      <c r="GC317" s="64"/>
      <c r="GD317" s="64"/>
      <c r="GE317" s="64"/>
      <c r="GF317" s="64"/>
    </row>
    <row r="318">
      <c r="A318" s="115"/>
      <c r="B318" s="115"/>
      <c r="C318" s="115"/>
      <c r="D318" s="115"/>
      <c r="E318" s="115"/>
      <c r="F318" s="116"/>
      <c r="G318" s="115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5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  <c r="FN318" s="64"/>
      <c r="FO318" s="64"/>
      <c r="FP318" s="64"/>
      <c r="FQ318" s="64"/>
      <c r="FR318" s="64"/>
      <c r="FS318" s="64"/>
      <c r="FT318" s="64"/>
      <c r="FU318" s="64"/>
      <c r="FV318" s="64"/>
      <c r="FW318" s="64"/>
      <c r="FX318" s="64"/>
      <c r="FY318" s="64"/>
      <c r="FZ318" s="64"/>
      <c r="GA318" s="64"/>
      <c r="GB318" s="64"/>
      <c r="GC318" s="64"/>
      <c r="GD318" s="64"/>
      <c r="GE318" s="64"/>
      <c r="GF318" s="64"/>
    </row>
    <row r="319">
      <c r="A319" s="115"/>
      <c r="B319" s="115"/>
      <c r="C319" s="149" t="s">
        <v>329</v>
      </c>
      <c r="D319" s="115"/>
      <c r="E319" s="115"/>
      <c r="F319" s="116"/>
      <c r="G319" s="115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5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  <c r="FN319" s="64"/>
      <c r="FO319" s="64"/>
      <c r="FP319" s="64"/>
      <c r="FQ319" s="64"/>
      <c r="FR319" s="64"/>
      <c r="FS319" s="64"/>
      <c r="FT319" s="64"/>
      <c r="FU319" s="64"/>
      <c r="FV319" s="64"/>
      <c r="FW319" s="64"/>
      <c r="FX319" s="64"/>
      <c r="FY319" s="64"/>
      <c r="FZ319" s="64"/>
      <c r="GA319" s="64"/>
      <c r="GB319" s="64"/>
      <c r="GC319" s="64"/>
      <c r="GD319" s="64"/>
      <c r="GE319" s="64"/>
      <c r="GF319" s="64"/>
    </row>
    <row r="320">
      <c r="A320" s="115"/>
      <c r="B320" s="115"/>
      <c r="C320" s="149" t="s">
        <v>321</v>
      </c>
      <c r="D320" s="149" t="s">
        <v>322</v>
      </c>
      <c r="E320" s="149" t="s">
        <v>323</v>
      </c>
      <c r="F320" s="150" t="s">
        <v>324</v>
      </c>
      <c r="G320" s="115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5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  <c r="FN320" s="64"/>
      <c r="FO320" s="64"/>
      <c r="FP320" s="64"/>
      <c r="FQ320" s="64"/>
      <c r="FR320" s="64"/>
      <c r="FS320" s="64"/>
      <c r="FT320" s="64"/>
      <c r="FU320" s="64"/>
      <c r="FV320" s="64"/>
      <c r="FW320" s="64"/>
      <c r="FX320" s="64"/>
      <c r="FY320" s="64"/>
      <c r="FZ320" s="64"/>
      <c r="GA320" s="64"/>
      <c r="GB320" s="64"/>
      <c r="GC320" s="64"/>
      <c r="GD320" s="64"/>
      <c r="GE320" s="64"/>
      <c r="GF320" s="64"/>
    </row>
    <row r="321">
      <c r="A321" s="115"/>
      <c r="B321" s="149" t="s">
        <v>325</v>
      </c>
      <c r="C321" s="64">
        <f>AC155+AO155+BB155</f>
        <v>25894320.74</v>
      </c>
      <c r="D321" s="64">
        <f>AC303+AO303+BB303</f>
        <v>12676499.75</v>
      </c>
      <c r="E321" s="64">
        <f>AC225+AO225+BB225</f>
        <v>6847651.95</v>
      </c>
      <c r="F321" s="151">
        <f>AC244+AO244+BB244</f>
        <v>0</v>
      </c>
      <c r="G321" s="115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5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  <c r="FN321" s="64"/>
      <c r="FO321" s="64"/>
      <c r="FP321" s="64"/>
      <c r="FQ321" s="64"/>
      <c r="FR321" s="64"/>
      <c r="FS321" s="64"/>
      <c r="FT321" s="64"/>
      <c r="FU321" s="64"/>
      <c r="FV321" s="64"/>
      <c r="FW321" s="64"/>
      <c r="FX321" s="64"/>
      <c r="FY321" s="64"/>
      <c r="FZ321" s="64"/>
      <c r="GA321" s="64"/>
      <c r="GB321" s="64"/>
      <c r="GC321" s="64"/>
      <c r="GD321" s="64"/>
      <c r="GE321" s="64"/>
      <c r="GF321" s="64"/>
    </row>
    <row r="322">
      <c r="A322" s="115"/>
      <c r="B322" s="149" t="s">
        <v>326</v>
      </c>
      <c r="C322" s="64">
        <f>BX155+CJ155+CV155</f>
        <v>86600502.48</v>
      </c>
      <c r="D322" s="64">
        <f>BX303+CJ303+CV303</f>
        <v>9187905.71</v>
      </c>
      <c r="E322" s="64">
        <f>BX225+CJ225+CV225</f>
        <v>21216787.5</v>
      </c>
      <c r="F322" s="151">
        <f>BX244+CJ244+CV244</f>
        <v>645300</v>
      </c>
      <c r="G322" s="115"/>
      <c r="H322" s="148" t="s">
        <v>330</v>
      </c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5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  <c r="FN322" s="64"/>
      <c r="FO322" s="64"/>
      <c r="FP322" s="64"/>
      <c r="FQ322" s="64"/>
      <c r="FR322" s="64"/>
      <c r="FS322" s="64"/>
      <c r="FT322" s="64"/>
      <c r="FU322" s="64"/>
      <c r="FV322" s="64"/>
      <c r="FW322" s="64"/>
      <c r="FX322" s="64"/>
      <c r="FY322" s="64"/>
      <c r="FZ322" s="64"/>
      <c r="GA322" s="64"/>
      <c r="GB322" s="64"/>
      <c r="GC322" s="64"/>
      <c r="GD322" s="64"/>
      <c r="GE322" s="64"/>
      <c r="GF322" s="64"/>
    </row>
    <row r="323">
      <c r="A323" s="115"/>
      <c r="B323" s="149" t="s">
        <v>327</v>
      </c>
      <c r="C323" s="115"/>
      <c r="D323" s="115"/>
      <c r="E323" s="115"/>
      <c r="F323" s="116"/>
      <c r="G323" s="115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5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  <c r="FN323" s="64"/>
      <c r="FO323" s="64"/>
      <c r="FP323" s="64"/>
      <c r="FQ323" s="64"/>
      <c r="FR323" s="64"/>
      <c r="FS323" s="64"/>
      <c r="FT323" s="64"/>
      <c r="FU323" s="64"/>
      <c r="FV323" s="64"/>
      <c r="FW323" s="64"/>
      <c r="FX323" s="64"/>
      <c r="FY323" s="64"/>
      <c r="FZ323" s="64"/>
      <c r="GA323" s="64"/>
      <c r="GB323" s="64"/>
      <c r="GC323" s="64"/>
      <c r="GD323" s="64"/>
      <c r="GE323" s="64"/>
      <c r="GF323" s="64"/>
    </row>
    <row r="324">
      <c r="A324" s="115"/>
      <c r="B324" s="149" t="s">
        <v>328</v>
      </c>
      <c r="C324" s="115"/>
      <c r="D324" s="115"/>
      <c r="E324" s="115"/>
      <c r="F324" s="116"/>
      <c r="G324" s="115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5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  <c r="FN324" s="64"/>
      <c r="FO324" s="64"/>
      <c r="FP324" s="64"/>
      <c r="FQ324" s="64"/>
      <c r="FR324" s="64"/>
      <c r="FS324" s="64"/>
      <c r="FT324" s="64"/>
      <c r="FU324" s="64"/>
      <c r="FV324" s="64"/>
      <c r="FW324" s="64"/>
      <c r="FX324" s="64"/>
      <c r="FY324" s="64"/>
      <c r="FZ324" s="64"/>
      <c r="GA324" s="64"/>
      <c r="GB324" s="64"/>
      <c r="GC324" s="64"/>
      <c r="GD324" s="64"/>
      <c r="GE324" s="64"/>
      <c r="GF324" s="64"/>
    </row>
    <row r="325">
      <c r="A325" s="115"/>
      <c r="B325" s="115"/>
      <c r="C325" s="115"/>
      <c r="D325" s="115"/>
      <c r="E325" s="115"/>
      <c r="F325" s="116"/>
      <c r="G325" s="115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5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  <c r="FN325" s="64"/>
      <c r="FO325" s="64"/>
      <c r="FP325" s="64"/>
      <c r="FQ325" s="64"/>
      <c r="FR325" s="64"/>
      <c r="FS325" s="64"/>
      <c r="FT325" s="64"/>
      <c r="FU325" s="64"/>
      <c r="FV325" s="64"/>
      <c r="FW325" s="64"/>
      <c r="FX325" s="64"/>
      <c r="FY325" s="64"/>
      <c r="FZ325" s="64"/>
      <c r="GA325" s="64"/>
      <c r="GB325" s="64"/>
      <c r="GC325" s="64"/>
      <c r="GD325" s="64"/>
      <c r="GE325" s="64"/>
      <c r="GF325" s="64"/>
    </row>
    <row r="326">
      <c r="A326" s="115"/>
      <c r="B326" s="115"/>
      <c r="C326" s="115"/>
      <c r="D326" s="115"/>
      <c r="E326" s="115"/>
      <c r="F326" s="116"/>
      <c r="G326" s="115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5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  <c r="FN326" s="64"/>
      <c r="FO326" s="64"/>
      <c r="FP326" s="64"/>
      <c r="FQ326" s="64"/>
      <c r="FR326" s="64"/>
      <c r="FS326" s="64"/>
      <c r="FT326" s="64"/>
      <c r="FU326" s="64"/>
      <c r="FV326" s="64"/>
      <c r="FW326" s="64"/>
      <c r="FX326" s="64"/>
      <c r="FY326" s="64"/>
      <c r="FZ326" s="64"/>
      <c r="GA326" s="64"/>
      <c r="GB326" s="64"/>
      <c r="GC326" s="64"/>
      <c r="GD326" s="64"/>
      <c r="GE326" s="64"/>
      <c r="GF326" s="64"/>
    </row>
  </sheetData>
  <autoFilter ref="$C$248:$H$301"/>
  <mergeCells count="332">
    <mergeCell ref="I7:L7"/>
    <mergeCell ref="M7:AC7"/>
    <mergeCell ref="BB8:BB11"/>
    <mergeCell ref="BC8:BC11"/>
    <mergeCell ref="BF6:BF11"/>
    <mergeCell ref="BG8:BG11"/>
    <mergeCell ref="BH8:BH11"/>
    <mergeCell ref="BK8:BK11"/>
    <mergeCell ref="BL8:BL11"/>
    <mergeCell ref="BW8:BW11"/>
    <mergeCell ref="BX8:BX11"/>
    <mergeCell ref="BY8:BY11"/>
    <mergeCell ref="I6:AE6"/>
    <mergeCell ref="AF6:AQ6"/>
    <mergeCell ref="AS6:BD6"/>
    <mergeCell ref="BE6:BE11"/>
    <mergeCell ref="BG6:BH7"/>
    <mergeCell ref="BI6:BZ6"/>
    <mergeCell ref="BD8:BD11"/>
    <mergeCell ref="BZ8:BZ11"/>
    <mergeCell ref="AS7:AV7"/>
    <mergeCell ref="AW7:BB7"/>
    <mergeCell ref="BC7:BD7"/>
    <mergeCell ref="BI7:BL7"/>
    <mergeCell ref="BM7:BX7"/>
    <mergeCell ref="BY7:BZ7"/>
    <mergeCell ref="K8:K11"/>
    <mergeCell ref="L8:L11"/>
    <mergeCell ref="AB8:AB11"/>
    <mergeCell ref="AC8:AC11"/>
    <mergeCell ref="AD8:AD11"/>
    <mergeCell ref="AE8:AE11"/>
    <mergeCell ref="AH8:AH11"/>
    <mergeCell ref="AI8:AI11"/>
    <mergeCell ref="AV8:AV11"/>
    <mergeCell ref="BA8:BA11"/>
    <mergeCell ref="AJ7:AO7"/>
    <mergeCell ref="AP7:AQ7"/>
    <mergeCell ref="AN8:AN11"/>
    <mergeCell ref="AO8:AO11"/>
    <mergeCell ref="AP8:AP11"/>
    <mergeCell ref="AQ8:AQ11"/>
    <mergeCell ref="AU8:AU11"/>
    <mergeCell ref="DD7:DG7"/>
    <mergeCell ref="DH7:DM7"/>
    <mergeCell ref="DR8:DR11"/>
    <mergeCell ref="DS8:DS11"/>
    <mergeCell ref="DX8:DX11"/>
    <mergeCell ref="DY8:DY11"/>
    <mergeCell ref="DZ8:DZ11"/>
    <mergeCell ref="EA8:EA11"/>
    <mergeCell ref="CA6:CL6"/>
    <mergeCell ref="CM6:CX6"/>
    <mergeCell ref="CY6:CY11"/>
    <mergeCell ref="CZ6:CZ11"/>
    <mergeCell ref="DA6:DB7"/>
    <mergeCell ref="DD6:DO6"/>
    <mergeCell ref="DP6:EA6"/>
    <mergeCell ref="CA7:CD7"/>
    <mergeCell ref="CE7:CJ7"/>
    <mergeCell ref="CQ7:CV7"/>
    <mergeCell ref="CW7:CX7"/>
    <mergeCell ref="DN7:DO7"/>
    <mergeCell ref="DP7:DS7"/>
    <mergeCell ref="DT7:DY7"/>
    <mergeCell ref="DZ7:EA7"/>
    <mergeCell ref="CC8:CC11"/>
    <mergeCell ref="CD8:CD11"/>
    <mergeCell ref="CI8:CI11"/>
    <mergeCell ref="CJ8:CJ11"/>
    <mergeCell ref="CK8:CK11"/>
    <mergeCell ref="CL8:CL11"/>
    <mergeCell ref="DN8:DN11"/>
    <mergeCell ref="DO8:DO11"/>
    <mergeCell ref="CX8:CX11"/>
    <mergeCell ref="DA8:DA11"/>
    <mergeCell ref="DB8:DB11"/>
    <mergeCell ref="DF8:DF11"/>
    <mergeCell ref="DG8:DG11"/>
    <mergeCell ref="DL8:DL11"/>
    <mergeCell ref="DM8:DM11"/>
    <mergeCell ref="FD7:FG7"/>
    <mergeCell ref="FH7:FM7"/>
    <mergeCell ref="EB6:EM6"/>
    <mergeCell ref="EN6:EN11"/>
    <mergeCell ref="EO6:EO11"/>
    <mergeCell ref="EP6:EQ7"/>
    <mergeCell ref="ER6:FC6"/>
    <mergeCell ref="FD6:FO6"/>
    <mergeCell ref="FP6:GA6"/>
    <mergeCell ref="EL7:EM7"/>
    <mergeCell ref="ER7:EU7"/>
    <mergeCell ref="EV7:FA7"/>
    <mergeCell ref="FB7:FC7"/>
    <mergeCell ref="FN7:FO7"/>
    <mergeCell ref="FP7:FS7"/>
    <mergeCell ref="FR8:FR11"/>
    <mergeCell ref="FS8:FS11"/>
    <mergeCell ref="FX8:FX11"/>
    <mergeCell ref="FY8:FY11"/>
    <mergeCell ref="FZ8:FZ11"/>
    <mergeCell ref="GA8:GA11"/>
    <mergeCell ref="FT7:FY7"/>
    <mergeCell ref="FZ7:GA7"/>
    <mergeCell ref="ED8:ED11"/>
    <mergeCell ref="EE8:EE11"/>
    <mergeCell ref="EJ8:EJ11"/>
    <mergeCell ref="EK8:EK11"/>
    <mergeCell ref="EL8:EL11"/>
    <mergeCell ref="EM8:EM11"/>
    <mergeCell ref="FN8:FN11"/>
    <mergeCell ref="FO8:FO11"/>
    <mergeCell ref="FA8:FA11"/>
    <mergeCell ref="FB8:FB11"/>
    <mergeCell ref="FC8:FC11"/>
    <mergeCell ref="FF8:FF11"/>
    <mergeCell ref="FG8:FG11"/>
    <mergeCell ref="FL8:FL11"/>
    <mergeCell ref="FM8:FM11"/>
    <mergeCell ref="I5:BH5"/>
    <mergeCell ref="BI5:DB5"/>
    <mergeCell ref="DD5:EQ5"/>
    <mergeCell ref="ER5:GE5"/>
    <mergeCell ref="GB6:GB11"/>
    <mergeCell ref="GC6:GC11"/>
    <mergeCell ref="GD6:GE7"/>
    <mergeCell ref="GD8:GD11"/>
    <mergeCell ref="GE8:GE11"/>
    <mergeCell ref="AD7:AE7"/>
    <mergeCell ref="AF7:AI7"/>
    <mergeCell ref="G8:G11"/>
    <mergeCell ref="H8:H11"/>
    <mergeCell ref="CK7:CL7"/>
    <mergeCell ref="CM7:CP7"/>
    <mergeCell ref="CO8:CO11"/>
    <mergeCell ref="CP8:CP11"/>
    <mergeCell ref="CU8:CU11"/>
    <mergeCell ref="CV8:CV11"/>
    <mergeCell ref="CW8:CW11"/>
    <mergeCell ref="EB7:EE7"/>
    <mergeCell ref="EF7:EK7"/>
    <mergeCell ref="EP8:EP11"/>
    <mergeCell ref="EQ8:EQ11"/>
    <mergeCell ref="ET8:ET11"/>
    <mergeCell ref="EU8:EU11"/>
    <mergeCell ref="EZ8:EZ11"/>
    <mergeCell ref="A5:A11"/>
    <mergeCell ref="B5:B11"/>
    <mergeCell ref="C5:C11"/>
    <mergeCell ref="D5:D11"/>
    <mergeCell ref="E5:E11"/>
    <mergeCell ref="F5:F11"/>
    <mergeCell ref="G5:H7"/>
    <mergeCell ref="B69:B70"/>
    <mergeCell ref="C69:C70"/>
    <mergeCell ref="A64:A65"/>
    <mergeCell ref="B64:B65"/>
    <mergeCell ref="C64:C65"/>
    <mergeCell ref="A67:A68"/>
    <mergeCell ref="B67:B68"/>
    <mergeCell ref="C67:C68"/>
    <mergeCell ref="A69:A70"/>
    <mergeCell ref="B81:B83"/>
    <mergeCell ref="C81:C83"/>
    <mergeCell ref="A72:A73"/>
    <mergeCell ref="B72:B73"/>
    <mergeCell ref="C72:C73"/>
    <mergeCell ref="A77:A78"/>
    <mergeCell ref="B77:B78"/>
    <mergeCell ref="C77:C78"/>
    <mergeCell ref="A81:A83"/>
    <mergeCell ref="B109:B110"/>
    <mergeCell ref="C109:C110"/>
    <mergeCell ref="A103:A104"/>
    <mergeCell ref="B103:B104"/>
    <mergeCell ref="C103:C104"/>
    <mergeCell ref="A105:A107"/>
    <mergeCell ref="B105:B107"/>
    <mergeCell ref="C105:C107"/>
    <mergeCell ref="A109:A110"/>
    <mergeCell ref="B118:B119"/>
    <mergeCell ref="C118:C119"/>
    <mergeCell ref="A112:A113"/>
    <mergeCell ref="B112:B113"/>
    <mergeCell ref="C112:C113"/>
    <mergeCell ref="A114:A116"/>
    <mergeCell ref="B114:B116"/>
    <mergeCell ref="C114:C116"/>
    <mergeCell ref="A118:A119"/>
    <mergeCell ref="B197:B198"/>
    <mergeCell ref="C197:C198"/>
    <mergeCell ref="A183:A184"/>
    <mergeCell ref="B183:B184"/>
    <mergeCell ref="C183:C184"/>
    <mergeCell ref="A185:A186"/>
    <mergeCell ref="B185:B186"/>
    <mergeCell ref="C185:C186"/>
    <mergeCell ref="A197:A198"/>
    <mergeCell ref="B221:B222"/>
    <mergeCell ref="C221:C222"/>
    <mergeCell ref="A216:A217"/>
    <mergeCell ref="B216:B217"/>
    <mergeCell ref="C216:C217"/>
    <mergeCell ref="A218:A219"/>
    <mergeCell ref="B218:B219"/>
    <mergeCell ref="C218:C219"/>
    <mergeCell ref="A221:A222"/>
    <mergeCell ref="B274:B276"/>
    <mergeCell ref="C274:C276"/>
    <mergeCell ref="A231:A232"/>
    <mergeCell ref="B231:B232"/>
    <mergeCell ref="C231:C232"/>
    <mergeCell ref="A266:A267"/>
    <mergeCell ref="B266:B267"/>
    <mergeCell ref="C266:C267"/>
    <mergeCell ref="A274:A276"/>
    <mergeCell ref="B295:B296"/>
    <mergeCell ref="C295:C296"/>
    <mergeCell ref="A278:A280"/>
    <mergeCell ref="B278:B280"/>
    <mergeCell ref="C278:C280"/>
    <mergeCell ref="A288:A289"/>
    <mergeCell ref="B288:B289"/>
    <mergeCell ref="C288:C289"/>
    <mergeCell ref="A295:A296"/>
    <mergeCell ref="A14:A15"/>
    <mergeCell ref="B14:B15"/>
    <mergeCell ref="C14:C15"/>
    <mergeCell ref="A18:A19"/>
    <mergeCell ref="B18:B19"/>
    <mergeCell ref="B20:B21"/>
    <mergeCell ref="C20:C21"/>
    <mergeCell ref="A20:A21"/>
    <mergeCell ref="A23:A24"/>
    <mergeCell ref="B23:B24"/>
    <mergeCell ref="C23:C24"/>
    <mergeCell ref="A27:A28"/>
    <mergeCell ref="B27:B28"/>
    <mergeCell ref="C27:C28"/>
    <mergeCell ref="B36:B37"/>
    <mergeCell ref="C36:C37"/>
    <mergeCell ref="A29:A30"/>
    <mergeCell ref="B29:B30"/>
    <mergeCell ref="C29:C30"/>
    <mergeCell ref="A32:A33"/>
    <mergeCell ref="B32:B33"/>
    <mergeCell ref="C32:C33"/>
    <mergeCell ref="A36:A37"/>
    <mergeCell ref="A44:A45"/>
    <mergeCell ref="B44:B45"/>
    <mergeCell ref="C44:C45"/>
    <mergeCell ref="A49:A50"/>
    <mergeCell ref="B49:B50"/>
    <mergeCell ref="B52:B53"/>
    <mergeCell ref="C52:C53"/>
    <mergeCell ref="A52:A53"/>
    <mergeCell ref="A55:A56"/>
    <mergeCell ref="B55:B56"/>
    <mergeCell ref="C55:C56"/>
    <mergeCell ref="A59:A60"/>
    <mergeCell ref="B59:B60"/>
    <mergeCell ref="C59:C60"/>
    <mergeCell ref="A298:A299"/>
    <mergeCell ref="B298:B299"/>
    <mergeCell ref="C298:C299"/>
    <mergeCell ref="B99:B100"/>
    <mergeCell ref="C99:C100"/>
    <mergeCell ref="A85:A87"/>
    <mergeCell ref="B85:B87"/>
    <mergeCell ref="C85:C87"/>
    <mergeCell ref="A90:A91"/>
    <mergeCell ref="B90:B91"/>
    <mergeCell ref="C90:C91"/>
    <mergeCell ref="A99:A100"/>
    <mergeCell ref="B126:B127"/>
    <mergeCell ref="C126:C127"/>
    <mergeCell ref="A122:A123"/>
    <mergeCell ref="B122:B123"/>
    <mergeCell ref="C122:C123"/>
    <mergeCell ref="A124:A125"/>
    <mergeCell ref="B124:B125"/>
    <mergeCell ref="C124:C125"/>
    <mergeCell ref="A126:A127"/>
    <mergeCell ref="B133:B134"/>
    <mergeCell ref="C133:C134"/>
    <mergeCell ref="A128:A129"/>
    <mergeCell ref="B128:B129"/>
    <mergeCell ref="C128:C129"/>
    <mergeCell ref="A131:A132"/>
    <mergeCell ref="B131:B132"/>
    <mergeCell ref="C131:C132"/>
    <mergeCell ref="A133:A134"/>
    <mergeCell ref="B139:B140"/>
    <mergeCell ref="C139:C140"/>
    <mergeCell ref="A155:E155"/>
    <mergeCell ref="A135:A136"/>
    <mergeCell ref="B135:B136"/>
    <mergeCell ref="C135:C136"/>
    <mergeCell ref="A137:A138"/>
    <mergeCell ref="B137:B138"/>
    <mergeCell ref="C137:C138"/>
    <mergeCell ref="A139:A140"/>
    <mergeCell ref="B160:B161"/>
    <mergeCell ref="C160:C161"/>
    <mergeCell ref="A148:A150"/>
    <mergeCell ref="B148:B150"/>
    <mergeCell ref="C148:C150"/>
    <mergeCell ref="A151:A153"/>
    <mergeCell ref="B151:B153"/>
    <mergeCell ref="C151:C153"/>
    <mergeCell ref="A160:A161"/>
    <mergeCell ref="B168:B171"/>
    <mergeCell ref="C168:C171"/>
    <mergeCell ref="A163:A164"/>
    <mergeCell ref="B163:B164"/>
    <mergeCell ref="C163:C164"/>
    <mergeCell ref="A166:A167"/>
    <mergeCell ref="B166:B167"/>
    <mergeCell ref="C166:C167"/>
    <mergeCell ref="A168:A171"/>
    <mergeCell ref="B212:B213"/>
    <mergeCell ref="C212:C213"/>
    <mergeCell ref="A225:E225"/>
    <mergeCell ref="A244:E244"/>
    <mergeCell ref="A303:E303"/>
    <mergeCell ref="A202:A203"/>
    <mergeCell ref="B202:B203"/>
    <mergeCell ref="C202:C203"/>
    <mergeCell ref="A208:A210"/>
    <mergeCell ref="B208:B210"/>
    <mergeCell ref="C208:C210"/>
    <mergeCell ref="A212:A213"/>
  </mergeCells>
  <conditionalFormatting sqref="AD1:AD326">
    <cfRule type="cellIs" dxfId="0" priority="1" operator="lessThan">
      <formula>0</formula>
    </cfRule>
  </conditionalFormatting>
  <printOptions horizontalCentered="1"/>
  <pageMargins bottom="0.75" footer="0.0" header="0.0" left="0.7" right="0.7" top="0.75"/>
  <pageSetup fitToHeight="0" paperSize="9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29"/>
    <col customWidth="1" min="4" max="4" width="15.86"/>
  </cols>
  <sheetData>
    <row r="1">
      <c r="A1" s="152" t="s">
        <v>331</v>
      </c>
    </row>
    <row r="3" ht="16.5" customHeight="1">
      <c r="A3" s="153">
        <v>1.0</v>
      </c>
      <c r="B3" s="154" t="s">
        <v>40</v>
      </c>
      <c r="C3" s="155" t="s">
        <v>15</v>
      </c>
      <c r="D3" s="155" t="s">
        <v>16</v>
      </c>
      <c r="E3" s="155" t="s">
        <v>17</v>
      </c>
      <c r="F3" s="156" t="s">
        <v>325</v>
      </c>
      <c r="G3" s="155" t="s">
        <v>21</v>
      </c>
      <c r="H3" s="155" t="s">
        <v>22</v>
      </c>
      <c r="I3" s="155" t="s">
        <v>23</v>
      </c>
      <c r="J3" s="156" t="s">
        <v>326</v>
      </c>
      <c r="K3" s="155" t="s">
        <v>27</v>
      </c>
      <c r="L3" s="155" t="s">
        <v>28</v>
      </c>
      <c r="M3" s="155" t="s">
        <v>29</v>
      </c>
      <c r="N3" s="156" t="s">
        <v>327</v>
      </c>
      <c r="O3" s="155" t="s">
        <v>33</v>
      </c>
      <c r="P3" s="155" t="s">
        <v>332</v>
      </c>
      <c r="Q3" s="157" t="s">
        <v>35</v>
      </c>
      <c r="R3" s="156" t="s">
        <v>328</v>
      </c>
      <c r="S3" s="158" t="s">
        <v>333</v>
      </c>
    </row>
    <row r="4" ht="16.5" customHeight="1">
      <c r="A4" s="159"/>
      <c r="B4" s="160" t="s">
        <v>321</v>
      </c>
      <c r="C4" s="161">
        <v>1.46160848752E7</v>
      </c>
      <c r="D4" s="161">
        <v>6634110.469699999</v>
      </c>
      <c r="E4" s="161">
        <v>1638500.0265000002</v>
      </c>
      <c r="F4" s="162">
        <f t="shared" ref="F4:F8" si="3">SUM(C4:E4)</f>
        <v>22888695.37</v>
      </c>
      <c r="G4" s="161">
        <v>6319280.424</v>
      </c>
      <c r="H4" s="161">
        <v>1.45557423212E7</v>
      </c>
      <c r="I4" s="161">
        <v>781470.0</v>
      </c>
      <c r="J4" s="162">
        <f t="shared" ref="J4:J8" si="4">SUM(G4:I4)</f>
        <v>21656492.75</v>
      </c>
      <c r="K4" s="163" t="str">
        <f t="shared" ref="K4:M4" si="1">#REF!</f>
        <v>#REF!</v>
      </c>
      <c r="L4" s="163" t="str">
        <f t="shared" si="1"/>
        <v>#REF!</v>
      </c>
      <c r="M4" s="163" t="str">
        <f t="shared" si="1"/>
        <v>#REF!</v>
      </c>
      <c r="N4" s="162" t="str">
        <f t="shared" ref="N4:N8" si="6">SUM(K4:M4)</f>
        <v>#REF!</v>
      </c>
      <c r="O4" s="163" t="str">
        <f t="shared" ref="O4:Q4" si="2">#REF!</f>
        <v>#REF!</v>
      </c>
      <c r="P4" s="163" t="str">
        <f t="shared" si="2"/>
        <v>#REF!</v>
      </c>
      <c r="Q4" s="163" t="str">
        <f t="shared" si="2"/>
        <v>#REF!</v>
      </c>
      <c r="R4" s="162" t="str">
        <f t="shared" ref="R4:R8" si="8">SUM(O4:Q4)</f>
        <v>#REF!</v>
      </c>
      <c r="S4" s="164" t="str">
        <f t="shared" ref="S4:S8" si="9">F4+J4+N4+R4</f>
        <v>#REF!</v>
      </c>
    </row>
    <row r="5" ht="16.5" customHeight="1">
      <c r="A5" s="159"/>
      <c r="B5" s="160" t="s">
        <v>211</v>
      </c>
      <c r="C5" s="161">
        <v>5057235.0</v>
      </c>
      <c r="D5" s="161">
        <v>127750.0</v>
      </c>
      <c r="E5" s="161">
        <v>0.0</v>
      </c>
      <c r="F5" s="162">
        <f t="shared" si="3"/>
        <v>5184985</v>
      </c>
      <c r="G5" s="161">
        <v>481725.0</v>
      </c>
      <c r="H5" s="161">
        <v>1731060.0</v>
      </c>
      <c r="I5" s="165">
        <v>0.0</v>
      </c>
      <c r="J5" s="162">
        <f t="shared" si="4"/>
        <v>2212785</v>
      </c>
      <c r="K5" s="163" t="str">
        <f t="shared" ref="K5:M5" si="5">#REF!</f>
        <v>#REF!</v>
      </c>
      <c r="L5" s="163" t="str">
        <f t="shared" si="5"/>
        <v>#REF!</v>
      </c>
      <c r="M5" s="163" t="str">
        <f t="shared" si="5"/>
        <v>#REF!</v>
      </c>
      <c r="N5" s="162" t="str">
        <f t="shared" si="6"/>
        <v>#REF!</v>
      </c>
      <c r="O5" s="163" t="str">
        <f t="shared" ref="O5:Q5" si="7">#REF!</f>
        <v>#REF!</v>
      </c>
      <c r="P5" s="163" t="str">
        <f t="shared" si="7"/>
        <v>#REF!</v>
      </c>
      <c r="Q5" s="163" t="str">
        <f t="shared" si="7"/>
        <v>#REF!</v>
      </c>
      <c r="R5" s="162" t="str">
        <f t="shared" si="8"/>
        <v>#REF!</v>
      </c>
      <c r="S5" s="164" t="str">
        <f t="shared" si="9"/>
        <v>#REF!</v>
      </c>
    </row>
    <row r="6" ht="16.5" customHeight="1">
      <c r="A6" s="159"/>
      <c r="B6" s="160" t="s">
        <v>262</v>
      </c>
      <c r="C6" s="165">
        <v>0.0</v>
      </c>
      <c r="D6" s="165">
        <v>0.0</v>
      </c>
      <c r="E6" s="165">
        <v>0.0</v>
      </c>
      <c r="F6" s="162">
        <f t="shared" si="3"/>
        <v>0</v>
      </c>
      <c r="G6" s="165">
        <v>0.0</v>
      </c>
      <c r="H6" s="165">
        <v>0.0</v>
      </c>
      <c r="I6" s="161">
        <v>1.2124515E7</v>
      </c>
      <c r="J6" s="162">
        <f t="shared" si="4"/>
        <v>12124515</v>
      </c>
      <c r="K6" s="163" t="str">
        <f t="shared" ref="K6:M6" si="10">#REF!</f>
        <v>#REF!</v>
      </c>
      <c r="L6" s="163" t="str">
        <f t="shared" si="10"/>
        <v>#REF!</v>
      </c>
      <c r="M6" s="163" t="str">
        <f t="shared" si="10"/>
        <v>#REF!</v>
      </c>
      <c r="N6" s="162" t="str">
        <f t="shared" si="6"/>
        <v>#REF!</v>
      </c>
      <c r="O6" s="163" t="str">
        <f t="shared" ref="O6:Q6" si="11">#REF!</f>
        <v>#REF!</v>
      </c>
      <c r="P6" s="163" t="str">
        <f t="shared" si="11"/>
        <v>#REF!</v>
      </c>
      <c r="Q6" s="163" t="str">
        <f t="shared" si="11"/>
        <v>#REF!</v>
      </c>
      <c r="R6" s="162" t="str">
        <f t="shared" si="8"/>
        <v>#REF!</v>
      </c>
      <c r="S6" s="164" t="str">
        <f t="shared" si="9"/>
        <v>#REF!</v>
      </c>
    </row>
    <row r="7" ht="16.5" customHeight="1">
      <c r="A7" s="159"/>
      <c r="B7" s="160" t="s">
        <v>322</v>
      </c>
      <c r="C7" s="161">
        <v>6219061.5</v>
      </c>
      <c r="D7" s="161">
        <v>3587871.5</v>
      </c>
      <c r="E7" s="161">
        <v>0.0</v>
      </c>
      <c r="F7" s="162">
        <f t="shared" si="3"/>
        <v>9806933</v>
      </c>
      <c r="G7" s="161">
        <v>1155134.5</v>
      </c>
      <c r="H7" s="161">
        <v>3426885.0</v>
      </c>
      <c r="I7" s="161">
        <v>1720805.0</v>
      </c>
      <c r="J7" s="162">
        <f t="shared" si="4"/>
        <v>6302824.5</v>
      </c>
      <c r="K7" s="163" t="str">
        <f t="shared" ref="K7:M7" si="12">#REF!</f>
        <v>#REF!</v>
      </c>
      <c r="L7" s="163" t="str">
        <f t="shared" si="12"/>
        <v>#REF!</v>
      </c>
      <c r="M7" s="163" t="str">
        <f t="shared" si="12"/>
        <v>#REF!</v>
      </c>
      <c r="N7" s="162" t="str">
        <f t="shared" si="6"/>
        <v>#REF!</v>
      </c>
      <c r="O7" s="163" t="str">
        <f t="shared" ref="O7:Q7" si="13">#REF!</f>
        <v>#REF!</v>
      </c>
      <c r="P7" s="163" t="str">
        <f t="shared" si="13"/>
        <v>#REF!</v>
      </c>
      <c r="Q7" s="163" t="str">
        <f t="shared" si="13"/>
        <v>#REF!</v>
      </c>
      <c r="R7" s="162" t="str">
        <f t="shared" si="8"/>
        <v>#REF!</v>
      </c>
      <c r="S7" s="164" t="str">
        <f t="shared" si="9"/>
        <v>#REF!</v>
      </c>
    </row>
    <row r="8" ht="16.5" customHeight="1">
      <c r="A8" s="159"/>
      <c r="B8" s="166" t="s">
        <v>334</v>
      </c>
      <c r="C8" s="167">
        <f t="shared" ref="C8:E8" si="14">SUM(C4:C7)</f>
        <v>25892381.38</v>
      </c>
      <c r="D8" s="167">
        <f t="shared" si="14"/>
        <v>10349731.97</v>
      </c>
      <c r="E8" s="167">
        <f t="shared" si="14"/>
        <v>1638500.027</v>
      </c>
      <c r="F8" s="168">
        <f t="shared" si="3"/>
        <v>37880613.37</v>
      </c>
      <c r="G8" s="167">
        <f t="shared" ref="G8:I8" si="15">SUM(G4:G7)</f>
        <v>7956139.924</v>
      </c>
      <c r="H8" s="167">
        <f t="shared" si="15"/>
        <v>19713687.32</v>
      </c>
      <c r="I8" s="167">
        <f t="shared" si="15"/>
        <v>14626790</v>
      </c>
      <c r="J8" s="168">
        <f t="shared" si="4"/>
        <v>42296617.25</v>
      </c>
      <c r="K8" s="167" t="str">
        <f t="shared" ref="K8:M8" si="16">SUM(K4:K7)</f>
        <v>#REF!</v>
      </c>
      <c r="L8" s="167" t="str">
        <f t="shared" si="16"/>
        <v>#REF!</v>
      </c>
      <c r="M8" s="167" t="str">
        <f t="shared" si="16"/>
        <v>#REF!</v>
      </c>
      <c r="N8" s="168" t="str">
        <f t="shared" si="6"/>
        <v>#REF!</v>
      </c>
      <c r="O8" s="167" t="str">
        <f t="shared" ref="O8:Q8" si="17">SUM(O4:O7)</f>
        <v>#REF!</v>
      </c>
      <c r="P8" s="167" t="str">
        <f t="shared" si="17"/>
        <v>#REF!</v>
      </c>
      <c r="Q8" s="167" t="str">
        <f t="shared" si="17"/>
        <v>#REF!</v>
      </c>
      <c r="R8" s="168" t="str">
        <f t="shared" si="8"/>
        <v>#REF!</v>
      </c>
      <c r="S8" s="169" t="str">
        <f t="shared" si="9"/>
        <v>#REF!</v>
      </c>
    </row>
    <row r="9" ht="6.0" customHeight="1">
      <c r="A9" s="159"/>
      <c r="B9" s="170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</row>
    <row r="10" ht="18.0" customHeight="1">
      <c r="A10" s="159"/>
      <c r="B10" s="172" t="s">
        <v>335</v>
      </c>
      <c r="C10" s="160"/>
      <c r="D10" s="160"/>
      <c r="E10" s="160"/>
      <c r="F10" s="173">
        <v>2.5813431837E8</v>
      </c>
      <c r="G10" s="160"/>
      <c r="H10" s="160"/>
      <c r="I10" s="160"/>
      <c r="J10" s="173">
        <v>2.7134095625E8</v>
      </c>
      <c r="K10" s="160"/>
      <c r="L10" s="160"/>
      <c r="M10" s="160"/>
      <c r="N10" s="173">
        <v>2.9705062107E8</v>
      </c>
      <c r="O10" s="160"/>
      <c r="P10" s="160"/>
      <c r="Q10" s="160"/>
      <c r="R10" s="173">
        <v>3.8021674652E8</v>
      </c>
      <c r="S10" s="160"/>
    </row>
    <row r="11" ht="18.0" customHeight="1">
      <c r="A11" s="159"/>
      <c r="B11" s="172" t="s">
        <v>336</v>
      </c>
      <c r="C11" s="160"/>
      <c r="D11" s="160"/>
      <c r="E11" s="160"/>
      <c r="F11" s="173">
        <v>7.228151174E7</v>
      </c>
      <c r="G11" s="160"/>
      <c r="H11" s="160"/>
      <c r="I11" s="160"/>
      <c r="J11" s="173">
        <v>4.8607175E7</v>
      </c>
      <c r="K11" s="160"/>
      <c r="L11" s="160"/>
      <c r="M11" s="160"/>
      <c r="N11" s="173">
        <v>1.39225819E8</v>
      </c>
      <c r="O11" s="160"/>
      <c r="P11" s="160"/>
      <c r="Q11" s="160"/>
      <c r="R11" s="173">
        <v>9.54415703E7</v>
      </c>
      <c r="S11" s="160"/>
    </row>
    <row r="12" ht="18.0" customHeight="1">
      <c r="A12" s="159"/>
      <c r="B12" s="172" t="s">
        <v>337</v>
      </c>
      <c r="C12" s="160"/>
      <c r="D12" s="160"/>
      <c r="E12" s="160"/>
      <c r="F12" s="173">
        <v>1.3304458632E8</v>
      </c>
      <c r="G12" s="160"/>
      <c r="H12" s="160"/>
      <c r="I12" s="160"/>
      <c r="J12" s="173">
        <v>2.3393275712E8</v>
      </c>
      <c r="K12" s="160"/>
      <c r="L12" s="160"/>
      <c r="M12" s="160"/>
      <c r="N12" s="173">
        <v>4.5595915189E8</v>
      </c>
      <c r="O12" s="160"/>
      <c r="P12" s="160"/>
      <c r="Q12" s="160"/>
      <c r="R12" s="173">
        <v>7.8981930189E8</v>
      </c>
      <c r="S12" s="160"/>
    </row>
    <row r="13" ht="16.5" customHeight="1">
      <c r="A13" s="159"/>
      <c r="B13" s="166" t="s">
        <v>334</v>
      </c>
      <c r="C13" s="167">
        <f t="shared" ref="C13:R13" si="18">SUM(C10:C12)</f>
        <v>0</v>
      </c>
      <c r="D13" s="167">
        <f t="shared" si="18"/>
        <v>0</v>
      </c>
      <c r="E13" s="167">
        <f t="shared" si="18"/>
        <v>0</v>
      </c>
      <c r="F13" s="168">
        <f t="shared" si="18"/>
        <v>463460416.4</v>
      </c>
      <c r="G13" s="167">
        <f t="shared" si="18"/>
        <v>0</v>
      </c>
      <c r="H13" s="167">
        <f t="shared" si="18"/>
        <v>0</v>
      </c>
      <c r="I13" s="167">
        <f t="shared" si="18"/>
        <v>0</v>
      </c>
      <c r="J13" s="168">
        <f t="shared" si="18"/>
        <v>553880888.4</v>
      </c>
      <c r="K13" s="167">
        <f t="shared" si="18"/>
        <v>0</v>
      </c>
      <c r="L13" s="167">
        <f t="shared" si="18"/>
        <v>0</v>
      </c>
      <c r="M13" s="167">
        <f t="shared" si="18"/>
        <v>0</v>
      </c>
      <c r="N13" s="168">
        <f t="shared" si="18"/>
        <v>892235592</v>
      </c>
      <c r="O13" s="167">
        <f t="shared" si="18"/>
        <v>0</v>
      </c>
      <c r="P13" s="167">
        <f t="shared" si="18"/>
        <v>0</v>
      </c>
      <c r="Q13" s="167">
        <f t="shared" si="18"/>
        <v>0</v>
      </c>
      <c r="R13" s="168">
        <f t="shared" si="18"/>
        <v>1265477619</v>
      </c>
      <c r="S13" s="169">
        <f>F13+J13+N13+R13</f>
        <v>3175054515</v>
      </c>
    </row>
    <row r="14" ht="5.25" customHeight="1">
      <c r="A14" s="159"/>
      <c r="B14" s="170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</row>
    <row r="15" ht="21.0" customHeight="1">
      <c r="A15" s="159"/>
      <c r="B15" s="172" t="s">
        <v>338</v>
      </c>
      <c r="C15" s="172"/>
      <c r="D15" s="160"/>
      <c r="E15" s="160"/>
      <c r="F15" s="174">
        <v>1.2235127885E8</v>
      </c>
      <c r="G15" s="160"/>
      <c r="H15" s="160"/>
      <c r="I15" s="160"/>
      <c r="J15" s="174">
        <v>1.5456547117E8</v>
      </c>
      <c r="K15" s="160"/>
      <c r="L15" s="160"/>
      <c r="M15" s="160"/>
      <c r="N15" s="173">
        <v>4.2188079937E8</v>
      </c>
      <c r="O15" s="160"/>
      <c r="P15" s="160"/>
      <c r="Q15" s="160"/>
      <c r="R15" s="175">
        <v>2.5540703916E8</v>
      </c>
      <c r="S15" s="160"/>
    </row>
    <row r="16" ht="18.75" customHeight="1">
      <c r="A16" s="159"/>
      <c r="B16" s="166" t="s">
        <v>334</v>
      </c>
      <c r="C16" s="167" t="str">
        <f t="shared" ref="C16:R16" si="19">C15</f>
        <v/>
      </c>
      <c r="D16" s="167" t="str">
        <f t="shared" si="19"/>
        <v/>
      </c>
      <c r="E16" s="167" t="str">
        <f t="shared" si="19"/>
        <v/>
      </c>
      <c r="F16" s="168">
        <f t="shared" si="19"/>
        <v>122351278.9</v>
      </c>
      <c r="G16" s="167" t="str">
        <f t="shared" si="19"/>
        <v/>
      </c>
      <c r="H16" s="167" t="str">
        <f t="shared" si="19"/>
        <v/>
      </c>
      <c r="I16" s="167" t="str">
        <f t="shared" si="19"/>
        <v/>
      </c>
      <c r="J16" s="168">
        <f t="shared" si="19"/>
        <v>154565471.2</v>
      </c>
      <c r="K16" s="167" t="str">
        <f t="shared" si="19"/>
        <v/>
      </c>
      <c r="L16" s="167" t="str">
        <f t="shared" si="19"/>
        <v/>
      </c>
      <c r="M16" s="167" t="str">
        <f t="shared" si="19"/>
        <v/>
      </c>
      <c r="N16" s="168">
        <f t="shared" si="19"/>
        <v>421880799.4</v>
      </c>
      <c r="O16" s="167" t="str">
        <f t="shared" si="19"/>
        <v/>
      </c>
      <c r="P16" s="167" t="str">
        <f t="shared" si="19"/>
        <v/>
      </c>
      <c r="Q16" s="167" t="str">
        <f t="shared" si="19"/>
        <v/>
      </c>
      <c r="R16" s="168">
        <f t="shared" si="19"/>
        <v>255407039.2</v>
      </c>
      <c r="S16" s="169">
        <f>F16+J16+N16+R16</f>
        <v>954204588.6</v>
      </c>
    </row>
    <row r="17" ht="6.75" customHeight="1">
      <c r="A17" s="159"/>
      <c r="B17" s="170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</row>
    <row r="18" ht="23.25" customHeight="1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</row>
    <row r="19" ht="12.0" customHeight="1">
      <c r="A19" s="159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</row>
    <row r="20" ht="16.5" customHeight="1">
      <c r="A20" s="176">
        <v>2.0</v>
      </c>
      <c r="B20" s="177" t="s">
        <v>39</v>
      </c>
      <c r="C20" s="155" t="s">
        <v>15</v>
      </c>
      <c r="D20" s="155" t="s">
        <v>16</v>
      </c>
      <c r="E20" s="155" t="s">
        <v>17</v>
      </c>
      <c r="F20" s="156" t="s">
        <v>325</v>
      </c>
      <c r="G20" s="155" t="s">
        <v>21</v>
      </c>
      <c r="H20" s="155" t="s">
        <v>22</v>
      </c>
      <c r="I20" s="155" t="s">
        <v>23</v>
      </c>
      <c r="J20" s="156" t="s">
        <v>326</v>
      </c>
      <c r="K20" s="155" t="s">
        <v>27</v>
      </c>
      <c r="L20" s="155" t="s">
        <v>28</v>
      </c>
      <c r="M20" s="155" t="s">
        <v>29</v>
      </c>
      <c r="N20" s="156" t="s">
        <v>327</v>
      </c>
      <c r="O20" s="155" t="s">
        <v>33</v>
      </c>
      <c r="P20" s="155" t="s">
        <v>332</v>
      </c>
      <c r="Q20" s="157" t="s">
        <v>35</v>
      </c>
      <c r="R20" s="156" t="s">
        <v>328</v>
      </c>
      <c r="S20" s="158" t="s">
        <v>333</v>
      </c>
    </row>
    <row r="21" ht="16.5" customHeight="1">
      <c r="B21" s="160" t="s">
        <v>321</v>
      </c>
      <c r="C21" s="165">
        <v>0.0</v>
      </c>
      <c r="D21" s="165">
        <v>0.0</v>
      </c>
      <c r="E21" s="161">
        <v>5.64760000775E7</v>
      </c>
      <c r="F21" s="162">
        <f t="shared" ref="F21:F24" si="22">SUM(C21:E21)</f>
        <v>56476000.08</v>
      </c>
      <c r="G21" s="165">
        <v>0.0</v>
      </c>
      <c r="H21" s="165">
        <v>0.0</v>
      </c>
      <c r="I21" s="165">
        <v>0.0</v>
      </c>
      <c r="J21" s="162">
        <f t="shared" ref="J21:J24" si="23">SUM(G21:I21)</f>
        <v>0</v>
      </c>
      <c r="K21" s="163" t="str">
        <f t="shared" ref="K21:M21" si="20">#REF!</f>
        <v>#REF!</v>
      </c>
      <c r="L21" s="178" t="str">
        <f t="shared" si="20"/>
        <v>#REF!</v>
      </c>
      <c r="M21" s="163" t="str">
        <f t="shared" si="20"/>
        <v>#REF!</v>
      </c>
      <c r="N21" s="162" t="str">
        <f t="shared" ref="N21:N24" si="25">sum(K21:M21)</f>
        <v>#REF!</v>
      </c>
      <c r="O21" s="163" t="str">
        <f t="shared" ref="O21:Q21" si="21">#REF!</f>
        <v>#REF!</v>
      </c>
      <c r="P21" s="178" t="str">
        <f t="shared" si="21"/>
        <v>#REF!</v>
      </c>
      <c r="Q21" s="163" t="str">
        <f t="shared" si="21"/>
        <v>#REF!</v>
      </c>
      <c r="R21" s="163" t="str">
        <f t="shared" ref="R21:R24" si="27">SUM(O21:Q21)</f>
        <v>#REF!</v>
      </c>
      <c r="S21" s="164" t="str">
        <f t="shared" ref="S21:S24" si="28">F21+J21+N21+R21</f>
        <v>#REF!</v>
      </c>
    </row>
    <row r="22" ht="16.5" customHeight="1">
      <c r="B22" s="160" t="s">
        <v>211</v>
      </c>
      <c r="C22" s="165">
        <v>0.0</v>
      </c>
      <c r="D22" s="165">
        <v>0.0</v>
      </c>
      <c r="E22" s="165">
        <v>0.0</v>
      </c>
      <c r="F22" s="162">
        <f t="shared" si="22"/>
        <v>0</v>
      </c>
      <c r="G22" s="165">
        <v>0.0</v>
      </c>
      <c r="H22" s="165">
        <v>0.0</v>
      </c>
      <c r="I22" s="165">
        <v>0.0</v>
      </c>
      <c r="J22" s="162">
        <f t="shared" si="23"/>
        <v>0</v>
      </c>
      <c r="K22" s="163" t="str">
        <f t="shared" ref="K22:M22" si="24">#REF!</f>
        <v>#REF!</v>
      </c>
      <c r="L22" s="178" t="str">
        <f t="shared" si="24"/>
        <v>#REF!</v>
      </c>
      <c r="M22" s="163" t="str">
        <f t="shared" si="24"/>
        <v>#REF!</v>
      </c>
      <c r="N22" s="162" t="str">
        <f t="shared" si="25"/>
        <v>#REF!</v>
      </c>
      <c r="O22" s="163" t="str">
        <f t="shared" ref="O22:Q22" si="26">#REF!</f>
        <v>#REF!</v>
      </c>
      <c r="P22" s="178" t="str">
        <f t="shared" si="26"/>
        <v>#REF!</v>
      </c>
      <c r="Q22" s="163" t="str">
        <f t="shared" si="26"/>
        <v>#REF!</v>
      </c>
      <c r="R22" s="163" t="str">
        <f t="shared" si="27"/>
        <v>#REF!</v>
      </c>
      <c r="S22" s="164" t="str">
        <f t="shared" si="28"/>
        <v>#REF!</v>
      </c>
    </row>
    <row r="23" ht="16.5" customHeight="1">
      <c r="B23" s="160" t="s">
        <v>262</v>
      </c>
      <c r="C23" s="165">
        <v>0.0</v>
      </c>
      <c r="D23" s="165">
        <v>0.0</v>
      </c>
      <c r="E23" s="165">
        <v>0.0</v>
      </c>
      <c r="F23" s="162">
        <f t="shared" si="22"/>
        <v>0</v>
      </c>
      <c r="G23" s="165">
        <v>0.0</v>
      </c>
      <c r="H23" s="165">
        <v>0.0</v>
      </c>
      <c r="I23" s="165">
        <v>0.0</v>
      </c>
      <c r="J23" s="162">
        <f t="shared" si="23"/>
        <v>0</v>
      </c>
      <c r="K23" s="163" t="str">
        <f t="shared" ref="K23:M23" si="29">#REF!</f>
        <v>#REF!</v>
      </c>
      <c r="L23" s="178" t="str">
        <f t="shared" si="29"/>
        <v>#REF!</v>
      </c>
      <c r="M23" s="178" t="str">
        <f t="shared" si="29"/>
        <v>#REF!</v>
      </c>
      <c r="N23" s="162" t="str">
        <f t="shared" si="25"/>
        <v>#REF!</v>
      </c>
      <c r="O23" s="163" t="str">
        <f t="shared" ref="O23:Q23" si="30">#REF!</f>
        <v>#REF!</v>
      </c>
      <c r="P23" s="178" t="str">
        <f t="shared" si="30"/>
        <v>#REF!</v>
      </c>
      <c r="Q23" s="163" t="str">
        <f t="shared" si="30"/>
        <v>#REF!</v>
      </c>
      <c r="R23" s="163" t="str">
        <f t="shared" si="27"/>
        <v>#REF!</v>
      </c>
      <c r="S23" s="164" t="str">
        <f t="shared" si="28"/>
        <v>#REF!</v>
      </c>
    </row>
    <row r="24" ht="16.5" customHeight="1">
      <c r="B24" s="160" t="s">
        <v>322</v>
      </c>
      <c r="C24" s="165">
        <v>0.0</v>
      </c>
      <c r="D24" s="165">
        <v>0.0</v>
      </c>
      <c r="E24" s="165">
        <v>6850000.0</v>
      </c>
      <c r="F24" s="162">
        <f t="shared" si="22"/>
        <v>6850000</v>
      </c>
      <c r="G24" s="165">
        <v>0.0</v>
      </c>
      <c r="H24" s="165">
        <v>0.0</v>
      </c>
      <c r="I24" s="165">
        <v>0.0</v>
      </c>
      <c r="J24" s="162">
        <f t="shared" si="23"/>
        <v>0</v>
      </c>
      <c r="K24" s="163" t="str">
        <f t="shared" ref="K24:M24" si="31">#REF!</f>
        <v>#REF!</v>
      </c>
      <c r="L24" s="178" t="str">
        <f t="shared" si="31"/>
        <v>#REF!</v>
      </c>
      <c r="M24" s="178" t="str">
        <f t="shared" si="31"/>
        <v>#REF!</v>
      </c>
      <c r="N24" s="162" t="str">
        <f t="shared" si="25"/>
        <v>#REF!</v>
      </c>
      <c r="O24" s="163" t="str">
        <f t="shared" ref="O24:Q24" si="32">#REF!</f>
        <v>#REF!</v>
      </c>
      <c r="P24" s="178" t="str">
        <f t="shared" si="32"/>
        <v>#REF!</v>
      </c>
      <c r="Q24" s="163" t="str">
        <f t="shared" si="32"/>
        <v>#REF!</v>
      </c>
      <c r="R24" s="163" t="str">
        <f t="shared" si="27"/>
        <v>#REF!</v>
      </c>
      <c r="S24" s="164" t="str">
        <f t="shared" si="28"/>
        <v>#REF!</v>
      </c>
    </row>
    <row r="25" ht="16.5" customHeight="1">
      <c r="B25" s="166" t="s">
        <v>334</v>
      </c>
      <c r="C25" s="167">
        <f t="shared" ref="C25:S25" si="33">SUM(C21:C24)</f>
        <v>0</v>
      </c>
      <c r="D25" s="167">
        <f t="shared" si="33"/>
        <v>0</v>
      </c>
      <c r="E25" s="167">
        <f t="shared" si="33"/>
        <v>63326000.08</v>
      </c>
      <c r="F25" s="167">
        <f t="shared" si="33"/>
        <v>63326000.08</v>
      </c>
      <c r="G25" s="167">
        <f t="shared" si="33"/>
        <v>0</v>
      </c>
      <c r="H25" s="167">
        <f t="shared" si="33"/>
        <v>0</v>
      </c>
      <c r="I25" s="179">
        <f t="shared" si="33"/>
        <v>0</v>
      </c>
      <c r="J25" s="167">
        <f t="shared" si="33"/>
        <v>0</v>
      </c>
      <c r="K25" s="179" t="str">
        <f t="shared" si="33"/>
        <v>#REF!</v>
      </c>
      <c r="L25" s="180" t="str">
        <f t="shared" si="33"/>
        <v>#REF!</v>
      </c>
      <c r="M25" s="179" t="str">
        <f t="shared" si="33"/>
        <v>#REF!</v>
      </c>
      <c r="N25" s="167" t="str">
        <f t="shared" si="33"/>
        <v>#REF!</v>
      </c>
      <c r="O25" s="179" t="str">
        <f t="shared" si="33"/>
        <v>#REF!</v>
      </c>
      <c r="P25" s="180" t="str">
        <f t="shared" si="33"/>
        <v>#REF!</v>
      </c>
      <c r="Q25" s="179" t="str">
        <f t="shared" si="33"/>
        <v>#REF!</v>
      </c>
      <c r="R25" s="167" t="str">
        <f t="shared" si="33"/>
        <v>#REF!</v>
      </c>
      <c r="S25" s="181" t="str">
        <f t="shared" si="33"/>
        <v>#REF!</v>
      </c>
    </row>
    <row r="26" ht="4.5" customHeight="1">
      <c r="A26" s="159"/>
      <c r="B26" s="170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</row>
    <row r="27" ht="16.5" customHeight="1">
      <c r="A27" s="159"/>
      <c r="B27" s="172" t="s">
        <v>335</v>
      </c>
      <c r="C27" s="160"/>
      <c r="D27" s="160"/>
      <c r="E27" s="160"/>
      <c r="F27" s="173">
        <v>1.98964164E8</v>
      </c>
      <c r="G27" s="160"/>
      <c r="H27" s="160"/>
      <c r="I27" s="160"/>
      <c r="J27" s="173">
        <v>4.53586933E8</v>
      </c>
      <c r="K27" s="160"/>
      <c r="L27" s="160"/>
      <c r="M27" s="160"/>
      <c r="N27" s="173">
        <v>5.5565945E8</v>
      </c>
      <c r="O27" s="160"/>
      <c r="P27" s="160"/>
      <c r="Q27" s="160"/>
      <c r="R27" s="175">
        <v>4.3637655162E8</v>
      </c>
      <c r="S27" s="160"/>
    </row>
    <row r="28" ht="16.5" customHeight="1">
      <c r="A28" s="159"/>
      <c r="B28" s="172" t="s">
        <v>336</v>
      </c>
      <c r="C28" s="160"/>
      <c r="D28" s="160"/>
      <c r="E28" s="160"/>
      <c r="F28" s="173">
        <v>2.5041805E7</v>
      </c>
      <c r="G28" s="160"/>
      <c r="H28" s="160"/>
      <c r="I28" s="160"/>
      <c r="J28" s="173">
        <v>3.19207688E8</v>
      </c>
      <c r="K28" s="160"/>
      <c r="L28" s="160"/>
      <c r="M28" s="160"/>
      <c r="N28" s="173">
        <v>6.540349E7</v>
      </c>
      <c r="O28" s="160"/>
      <c r="P28" s="160"/>
      <c r="Q28" s="160"/>
      <c r="R28" s="175">
        <v>9.411977259E7</v>
      </c>
      <c r="S28" s="160"/>
    </row>
    <row r="29" ht="16.5" customHeight="1">
      <c r="A29" s="159"/>
      <c r="B29" s="172" t="s">
        <v>337</v>
      </c>
      <c r="C29" s="160"/>
      <c r="D29" s="160"/>
      <c r="E29" s="160"/>
      <c r="F29" s="173">
        <v>3.8616572E8</v>
      </c>
      <c r="G29" s="160"/>
      <c r="H29" s="160"/>
      <c r="I29" s="160"/>
      <c r="J29" s="173">
        <v>1.94455775E8</v>
      </c>
      <c r="K29" s="160"/>
      <c r="L29" s="160"/>
      <c r="M29" s="160"/>
      <c r="N29" s="173">
        <v>5.32737863E8</v>
      </c>
      <c r="O29" s="160"/>
      <c r="P29" s="160"/>
      <c r="Q29" s="160"/>
      <c r="R29" s="175">
        <v>1.08142543489E9</v>
      </c>
      <c r="S29" s="160"/>
    </row>
    <row r="30" ht="16.5" customHeight="1">
      <c r="A30" s="159"/>
      <c r="B30" s="166" t="s">
        <v>334</v>
      </c>
      <c r="C30" s="167">
        <f t="shared" ref="C30:R30" si="34">SUM(C27:C29)</f>
        <v>0</v>
      </c>
      <c r="D30" s="167">
        <f t="shared" si="34"/>
        <v>0</v>
      </c>
      <c r="E30" s="167">
        <f t="shared" si="34"/>
        <v>0</v>
      </c>
      <c r="F30" s="168">
        <f t="shared" si="34"/>
        <v>610171689</v>
      </c>
      <c r="G30" s="167">
        <f t="shared" si="34"/>
        <v>0</v>
      </c>
      <c r="H30" s="167">
        <f t="shared" si="34"/>
        <v>0</v>
      </c>
      <c r="I30" s="167">
        <f t="shared" si="34"/>
        <v>0</v>
      </c>
      <c r="J30" s="168">
        <f t="shared" si="34"/>
        <v>967250396</v>
      </c>
      <c r="K30" s="167">
        <f t="shared" si="34"/>
        <v>0</v>
      </c>
      <c r="L30" s="167">
        <f t="shared" si="34"/>
        <v>0</v>
      </c>
      <c r="M30" s="167">
        <f t="shared" si="34"/>
        <v>0</v>
      </c>
      <c r="N30" s="168">
        <f t="shared" si="34"/>
        <v>1153800803</v>
      </c>
      <c r="O30" s="167">
        <f t="shared" si="34"/>
        <v>0</v>
      </c>
      <c r="P30" s="167">
        <f t="shared" si="34"/>
        <v>0</v>
      </c>
      <c r="Q30" s="167">
        <f t="shared" si="34"/>
        <v>0</v>
      </c>
      <c r="R30" s="168">
        <f t="shared" si="34"/>
        <v>1611921759</v>
      </c>
      <c r="S30" s="169">
        <f>F30+J30+N30+R30</f>
        <v>4343144647</v>
      </c>
    </row>
    <row r="31" ht="5.25" customHeight="1">
      <c r="B31" s="170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</row>
    <row r="32">
      <c r="B32" s="172" t="s">
        <v>338</v>
      </c>
      <c r="C32" s="172"/>
      <c r="D32" s="160"/>
      <c r="E32" s="160"/>
      <c r="F32" s="173">
        <v>7.13E7</v>
      </c>
      <c r="G32" s="160"/>
      <c r="H32" s="160"/>
      <c r="I32" s="160"/>
      <c r="J32" s="173">
        <v>3.92E7</v>
      </c>
      <c r="K32" s="160"/>
      <c r="L32" s="160"/>
      <c r="M32" s="160"/>
      <c r="N32" s="173">
        <v>1.557125809E9</v>
      </c>
      <c r="O32" s="160"/>
      <c r="P32" s="160"/>
      <c r="Q32" s="160"/>
      <c r="R32" s="175">
        <v>7706568.0</v>
      </c>
      <c r="S32" s="160"/>
    </row>
    <row r="33">
      <c r="B33" s="166" t="s">
        <v>334</v>
      </c>
      <c r="C33" s="167" t="str">
        <f t="shared" ref="C33:R33" si="35">C32</f>
        <v/>
      </c>
      <c r="D33" s="167" t="str">
        <f t="shared" si="35"/>
        <v/>
      </c>
      <c r="E33" s="167" t="str">
        <f t="shared" si="35"/>
        <v/>
      </c>
      <c r="F33" s="168">
        <f t="shared" si="35"/>
        <v>71300000</v>
      </c>
      <c r="G33" s="167" t="str">
        <f t="shared" si="35"/>
        <v/>
      </c>
      <c r="H33" s="167" t="str">
        <f t="shared" si="35"/>
        <v/>
      </c>
      <c r="I33" s="167" t="str">
        <f t="shared" si="35"/>
        <v/>
      </c>
      <c r="J33" s="168">
        <f t="shared" si="35"/>
        <v>39200000</v>
      </c>
      <c r="K33" s="167" t="str">
        <f t="shared" si="35"/>
        <v/>
      </c>
      <c r="L33" s="167" t="str">
        <f t="shared" si="35"/>
        <v/>
      </c>
      <c r="M33" s="167" t="str">
        <f t="shared" si="35"/>
        <v/>
      </c>
      <c r="N33" s="168">
        <f t="shared" si="35"/>
        <v>1557125809</v>
      </c>
      <c r="O33" s="167" t="str">
        <f t="shared" si="35"/>
        <v/>
      </c>
      <c r="P33" s="167" t="str">
        <f t="shared" si="35"/>
        <v/>
      </c>
      <c r="Q33" s="167" t="str">
        <f t="shared" si="35"/>
        <v/>
      </c>
      <c r="R33" s="168">
        <f t="shared" si="35"/>
        <v>7706568</v>
      </c>
      <c r="S33" s="169">
        <f>F33+J33+N33+R33</f>
        <v>1675332377</v>
      </c>
    </row>
    <row r="34" ht="6.75" customHeight="1">
      <c r="B34" s="170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</row>
    <row r="35">
      <c r="B35" s="182"/>
      <c r="C35" s="183"/>
      <c r="D35" s="183"/>
      <c r="E35" s="184"/>
      <c r="F35" s="185"/>
      <c r="G35" s="185"/>
      <c r="H35" s="184"/>
      <c r="I35" s="184"/>
    </row>
    <row r="36">
      <c r="B36" s="182"/>
      <c r="C36" s="183"/>
      <c r="D36" s="183"/>
      <c r="E36" s="184"/>
      <c r="F36" s="185"/>
      <c r="G36" s="185"/>
      <c r="H36" s="184"/>
      <c r="I36" s="184"/>
    </row>
    <row r="37">
      <c r="B37" s="182"/>
      <c r="C37" s="183"/>
      <c r="D37" s="183"/>
      <c r="E37" s="184"/>
      <c r="F37" s="185"/>
      <c r="G37" s="185"/>
      <c r="H37" s="184"/>
      <c r="I37" s="184"/>
    </row>
    <row r="38">
      <c r="B38" s="182"/>
      <c r="C38" s="183"/>
      <c r="D38" s="183"/>
      <c r="E38" s="184"/>
      <c r="F38" s="185"/>
      <c r="G38" s="185"/>
      <c r="H38" s="184"/>
      <c r="I38" s="184"/>
    </row>
    <row r="39">
      <c r="B39" s="186" t="s">
        <v>339</v>
      </c>
      <c r="C39" s="187" t="s">
        <v>325</v>
      </c>
      <c r="D39" s="187" t="s">
        <v>326</v>
      </c>
      <c r="E39" s="188" t="s">
        <v>340</v>
      </c>
      <c r="F39" s="189" t="s">
        <v>327</v>
      </c>
      <c r="G39" s="189" t="s">
        <v>328</v>
      </c>
      <c r="H39" s="188" t="s">
        <v>341</v>
      </c>
      <c r="I39" s="190" t="s">
        <v>342</v>
      </c>
    </row>
    <row r="40" ht="20.25" customHeight="1">
      <c r="A40" s="191"/>
      <c r="B40" s="192" t="s">
        <v>40</v>
      </c>
      <c r="C40" s="193">
        <v>3.78806133714E7</v>
      </c>
      <c r="D40" s="193">
        <v>4.229661724519999E7</v>
      </c>
      <c r="E40" s="194">
        <f t="shared" ref="E40:E41" si="36">SUM(C40:D40)</f>
        <v>80177230.62</v>
      </c>
      <c r="F40" s="193">
        <v>2.07709089476E7</v>
      </c>
      <c r="G40" s="193">
        <v>5.99074596425E7</v>
      </c>
      <c r="H40" s="194">
        <f t="shared" ref="H40:H41" si="37">SUM(F40:G40)</f>
        <v>80678368.59</v>
      </c>
      <c r="I40" s="195">
        <f t="shared" ref="I40:I41" si="38">E40+H40</f>
        <v>160855599.2</v>
      </c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ht="20.25" customHeight="1">
      <c r="A41" s="191"/>
      <c r="B41" s="192" t="s">
        <v>39</v>
      </c>
      <c r="C41" s="193">
        <v>6.33260000775E7</v>
      </c>
      <c r="D41" s="192">
        <v>0.0</v>
      </c>
      <c r="E41" s="194">
        <f t="shared" si="36"/>
        <v>63326000.08</v>
      </c>
      <c r="F41" s="193">
        <v>5.7797263E7</v>
      </c>
      <c r="G41" s="193">
        <v>2.1902552189999998E8</v>
      </c>
      <c r="H41" s="194">
        <f t="shared" si="37"/>
        <v>276822784.9</v>
      </c>
      <c r="I41" s="195">
        <f t="shared" si="38"/>
        <v>340148785</v>
      </c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4">
      <c r="B44" s="186" t="s">
        <v>343</v>
      </c>
      <c r="C44" s="187" t="s">
        <v>325</v>
      </c>
      <c r="D44" s="187" t="s">
        <v>326</v>
      </c>
      <c r="E44" s="188" t="s">
        <v>340</v>
      </c>
      <c r="F44" s="189" t="s">
        <v>327</v>
      </c>
      <c r="G44" s="189" t="s">
        <v>328</v>
      </c>
      <c r="H44" s="188" t="s">
        <v>341</v>
      </c>
      <c r="I44" s="190" t="s">
        <v>342</v>
      </c>
    </row>
    <row r="45">
      <c r="B45" s="192" t="s">
        <v>40</v>
      </c>
      <c r="C45" s="193">
        <v>4.6346041643E8</v>
      </c>
      <c r="D45" s="193">
        <v>5.5388088837E8</v>
      </c>
      <c r="E45" s="194">
        <f t="shared" ref="E45:E46" si="39">SUM(C45:D45)</f>
        <v>1017341305</v>
      </c>
      <c r="F45" s="193">
        <v>8.9223559196E8</v>
      </c>
      <c r="G45" s="193">
        <v>1.26547761871E9</v>
      </c>
      <c r="H45" s="194">
        <f t="shared" ref="H45:H46" si="40">SUM(F45:G45)</f>
        <v>2157713211</v>
      </c>
      <c r="I45" s="195">
        <f t="shared" ref="I45:I46" si="41">E45+H45</f>
        <v>3175054515</v>
      </c>
    </row>
    <row r="46">
      <c r="B46" s="192" t="s">
        <v>39</v>
      </c>
      <c r="C46" s="193">
        <v>6.10171689E8</v>
      </c>
      <c r="D46" s="193">
        <v>9.67250396E8</v>
      </c>
      <c r="E46" s="194">
        <f t="shared" si="39"/>
        <v>1577422085</v>
      </c>
      <c r="F46" s="193">
        <v>1.153800803E9</v>
      </c>
      <c r="G46" s="193">
        <v>1.6119217591000001E9</v>
      </c>
      <c r="H46" s="194">
        <f t="shared" si="40"/>
        <v>2765722562</v>
      </c>
      <c r="I46" s="195">
        <f t="shared" si="41"/>
        <v>4343144647</v>
      </c>
    </row>
    <row r="49">
      <c r="B49" s="186" t="s">
        <v>338</v>
      </c>
      <c r="C49" s="187" t="s">
        <v>325</v>
      </c>
      <c r="D49" s="187" t="s">
        <v>326</v>
      </c>
      <c r="E49" s="188" t="s">
        <v>340</v>
      </c>
      <c r="F49" s="189" t="s">
        <v>327</v>
      </c>
      <c r="G49" s="189" t="s">
        <v>328</v>
      </c>
      <c r="H49" s="188" t="s">
        <v>341</v>
      </c>
      <c r="I49" s="190" t="s">
        <v>342</v>
      </c>
    </row>
    <row r="50">
      <c r="B50" s="192" t="s">
        <v>40</v>
      </c>
      <c r="C50" s="196">
        <v>1.2224667985E8</v>
      </c>
      <c r="D50" s="196">
        <v>1.4209090219E8</v>
      </c>
      <c r="E50" s="194">
        <f t="shared" ref="E50:E51" si="42">SUM(C50:D50)</f>
        <v>264337582</v>
      </c>
      <c r="F50" s="193">
        <v>4.2188079937E8</v>
      </c>
      <c r="G50" s="193">
        <v>2.5540703916E8</v>
      </c>
      <c r="H50" s="194">
        <f t="shared" ref="H50:H51" si="43">SUM(F50:G50)</f>
        <v>677287838.5</v>
      </c>
      <c r="I50" s="195">
        <f t="shared" ref="I50:I51" si="44">E50+H50</f>
        <v>941625420.6</v>
      </c>
    </row>
    <row r="51">
      <c r="B51" s="192" t="s">
        <v>39</v>
      </c>
      <c r="C51" s="197">
        <v>7.13E7</v>
      </c>
      <c r="D51" s="198">
        <v>3.92E7</v>
      </c>
      <c r="E51" s="194">
        <f t="shared" si="42"/>
        <v>110500000</v>
      </c>
      <c r="F51" s="193">
        <v>1.557125809E9</v>
      </c>
      <c r="G51" s="193">
        <v>7706568.0</v>
      </c>
      <c r="H51" s="194">
        <f t="shared" si="43"/>
        <v>1564832377</v>
      </c>
      <c r="I51" s="195">
        <f t="shared" si="44"/>
        <v>1675332377</v>
      </c>
    </row>
    <row r="54">
      <c r="B54" s="184" t="s">
        <v>344</v>
      </c>
    </row>
    <row r="55">
      <c r="B55" s="199" t="s">
        <v>40</v>
      </c>
      <c r="C55" s="200" t="s">
        <v>340</v>
      </c>
      <c r="D55" s="200" t="s">
        <v>341</v>
      </c>
    </row>
    <row r="56">
      <c r="B56" s="183" t="s">
        <v>339</v>
      </c>
      <c r="C56" s="201">
        <v>8.017723061659999E7</v>
      </c>
      <c r="D56" s="201">
        <v>8.067836859009999E7</v>
      </c>
    </row>
    <row r="57">
      <c r="B57" s="183" t="s">
        <v>343</v>
      </c>
      <c r="C57" s="201">
        <v>1.0173413048E9</v>
      </c>
      <c r="D57" s="201">
        <v>2.15771321067E9</v>
      </c>
    </row>
    <row r="58">
      <c r="B58" s="183" t="s">
        <v>338</v>
      </c>
      <c r="C58" s="201">
        <v>2.6433758204E8</v>
      </c>
      <c r="D58" s="201">
        <v>6.7728783853E8</v>
      </c>
    </row>
    <row r="59">
      <c r="B59" s="202" t="s">
        <v>334</v>
      </c>
      <c r="C59" s="203">
        <f t="shared" ref="C59:D59" si="45">SUM(C56:C58)</f>
        <v>1361856117</v>
      </c>
      <c r="D59" s="203">
        <f t="shared" si="45"/>
        <v>2915679418</v>
      </c>
      <c r="E59" s="201"/>
    </row>
    <row r="60">
      <c r="B60" s="204" t="s">
        <v>345</v>
      </c>
      <c r="C60" s="205">
        <v>1.2324991E7</v>
      </c>
      <c r="D60" s="206">
        <v>1.7699621E7</v>
      </c>
    </row>
    <row r="62">
      <c r="B62" s="207" t="s">
        <v>39</v>
      </c>
      <c r="C62" s="208" t="s">
        <v>340</v>
      </c>
      <c r="D62" s="208" t="s">
        <v>341</v>
      </c>
    </row>
    <row r="63">
      <c r="B63" s="183" t="s">
        <v>339</v>
      </c>
      <c r="C63" s="201">
        <v>6.33260000775E7</v>
      </c>
      <c r="D63" s="201">
        <v>2.768227849E8</v>
      </c>
    </row>
    <row r="64">
      <c r="B64" s="183" t="s">
        <v>343</v>
      </c>
      <c r="C64" s="201">
        <v>1.577422085E9</v>
      </c>
      <c r="D64" s="201">
        <v>2.7657225621000004E9</v>
      </c>
    </row>
    <row r="65">
      <c r="B65" s="183" t="s">
        <v>338</v>
      </c>
      <c r="C65" s="201">
        <v>1.105E8</v>
      </c>
      <c r="D65" s="201">
        <v>1.564832377E9</v>
      </c>
    </row>
    <row r="66">
      <c r="B66" s="202" t="s">
        <v>334</v>
      </c>
      <c r="C66" s="203">
        <f t="shared" ref="C66:D66" si="46">SUM(C63:C65)</f>
        <v>1751248085</v>
      </c>
      <c r="D66" s="203">
        <f t="shared" si="46"/>
        <v>4607377724</v>
      </c>
      <c r="E66" s="201"/>
    </row>
    <row r="70">
      <c r="D70" s="209"/>
    </row>
    <row r="71">
      <c r="D71" s="20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2.86"/>
    <col customWidth="1" min="3" max="3" width="30.43"/>
    <col customWidth="1" min="4" max="4" width="10.43"/>
    <col customWidth="1" min="5" max="5" width="16.43"/>
    <col customWidth="1" min="6" max="6" width="11.71"/>
    <col customWidth="1" min="7" max="7" width="17.14"/>
    <col customWidth="1" min="8" max="8" width="11.71"/>
    <col customWidth="1" min="9" max="9" width="17.86"/>
    <col customWidth="1" min="10" max="10" width="19.71"/>
  </cols>
  <sheetData>
    <row r="1">
      <c r="A1" s="210" t="s">
        <v>346</v>
      </c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</row>
    <row r="2">
      <c r="A2" s="211" t="s">
        <v>12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>
      <c r="A3" s="211" t="s">
        <v>347</v>
      </c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</row>
    <row r="4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</row>
    <row r="5">
      <c r="A5" s="213" t="s">
        <v>348</v>
      </c>
      <c r="B5" s="214" t="s">
        <v>349</v>
      </c>
      <c r="C5" s="214" t="s">
        <v>350</v>
      </c>
      <c r="D5" s="214" t="s">
        <v>7</v>
      </c>
      <c r="E5" s="214" t="s">
        <v>351</v>
      </c>
      <c r="F5" s="215" t="s">
        <v>352</v>
      </c>
      <c r="G5" s="30"/>
      <c r="H5" s="215" t="s">
        <v>353</v>
      </c>
      <c r="I5" s="30"/>
      <c r="J5" s="214" t="s">
        <v>354</v>
      </c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</row>
    <row r="6">
      <c r="A6" s="50"/>
      <c r="B6" s="30"/>
      <c r="C6" s="30"/>
      <c r="D6" s="30"/>
      <c r="E6" s="30"/>
      <c r="F6" s="216" t="s">
        <v>355</v>
      </c>
      <c r="G6" s="216" t="s">
        <v>356</v>
      </c>
      <c r="H6" s="216" t="s">
        <v>355</v>
      </c>
      <c r="I6" s="216" t="s">
        <v>356</v>
      </c>
      <c r="J6" s="30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</row>
    <row r="7">
      <c r="A7" s="217">
        <v>1.0</v>
      </c>
      <c r="B7" s="218">
        <v>2.0</v>
      </c>
      <c r="C7" s="218">
        <v>3.0</v>
      </c>
      <c r="D7" s="218">
        <v>4.0</v>
      </c>
      <c r="E7" s="218">
        <v>5.0</v>
      </c>
      <c r="F7" s="218">
        <v>6.0</v>
      </c>
      <c r="G7" s="218">
        <v>7.0</v>
      </c>
      <c r="H7" s="218">
        <v>8.0</v>
      </c>
      <c r="I7" s="218">
        <v>9.0</v>
      </c>
      <c r="J7" s="218">
        <v>10.0</v>
      </c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</row>
    <row r="8">
      <c r="A8" s="76">
        <v>1.0</v>
      </c>
      <c r="B8" s="77"/>
      <c r="C8" s="77" t="s">
        <v>83</v>
      </c>
      <c r="D8" s="78" t="s">
        <v>84</v>
      </c>
      <c r="E8" s="79">
        <v>24500.0</v>
      </c>
      <c r="F8" s="219">
        <v>2.0</v>
      </c>
      <c r="G8" s="220">
        <f t="shared" ref="G8:G111" si="1">E8*F8</f>
        <v>49000</v>
      </c>
      <c r="H8" s="96"/>
      <c r="I8" s="96"/>
      <c r="J8" s="61" t="s">
        <v>156</v>
      </c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</row>
    <row r="9">
      <c r="A9" s="16"/>
      <c r="B9" s="16"/>
      <c r="C9" s="16"/>
      <c r="D9" s="78" t="s">
        <v>84</v>
      </c>
      <c r="E9" s="79">
        <v>24500.0</v>
      </c>
      <c r="F9" s="219">
        <v>24.0</v>
      </c>
      <c r="G9" s="220">
        <f t="shared" si="1"/>
        <v>588000</v>
      </c>
      <c r="H9" s="96"/>
      <c r="I9" s="96"/>
      <c r="J9" s="221" t="s">
        <v>85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</row>
    <row r="10">
      <c r="A10" s="76">
        <v>2.0</v>
      </c>
      <c r="B10" s="77"/>
      <c r="C10" s="77" t="s">
        <v>90</v>
      </c>
      <c r="D10" s="92" t="s">
        <v>91</v>
      </c>
      <c r="E10" s="79">
        <v>62160.0</v>
      </c>
      <c r="F10" s="219">
        <v>19.0</v>
      </c>
      <c r="G10" s="220">
        <f t="shared" si="1"/>
        <v>1181040</v>
      </c>
      <c r="H10" s="96"/>
      <c r="I10" s="96"/>
      <c r="J10" s="61" t="s">
        <v>92</v>
      </c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</row>
    <row r="11">
      <c r="A11" s="76">
        <v>3.0</v>
      </c>
      <c r="B11" s="77"/>
      <c r="C11" s="77" t="s">
        <v>93</v>
      </c>
      <c r="D11" s="78" t="s">
        <v>84</v>
      </c>
      <c r="E11" s="79">
        <v>16500.0</v>
      </c>
      <c r="F11" s="219">
        <v>17.0</v>
      </c>
      <c r="G11" s="220">
        <f t="shared" si="1"/>
        <v>280500</v>
      </c>
      <c r="H11" s="96"/>
      <c r="I11" s="96"/>
      <c r="J11" s="221" t="s">
        <v>85</v>
      </c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</row>
    <row r="12">
      <c r="A12" s="96">
        <v>4.0</v>
      </c>
      <c r="B12" s="58"/>
      <c r="C12" s="58" t="s">
        <v>95</v>
      </c>
      <c r="D12" s="78" t="s">
        <v>96</v>
      </c>
      <c r="E12" s="79">
        <v>33300.0</v>
      </c>
      <c r="F12" s="219">
        <v>13.0</v>
      </c>
      <c r="G12" s="220">
        <f t="shared" si="1"/>
        <v>432900</v>
      </c>
      <c r="H12" s="96"/>
      <c r="I12" s="96"/>
      <c r="J12" s="61" t="s">
        <v>97</v>
      </c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</row>
    <row r="13">
      <c r="A13" s="76">
        <v>5.0</v>
      </c>
      <c r="B13" s="77"/>
      <c r="C13" s="77" t="s">
        <v>98</v>
      </c>
      <c r="D13" s="78" t="s">
        <v>99</v>
      </c>
      <c r="E13" s="79">
        <v>11655.0</v>
      </c>
      <c r="F13" s="219">
        <v>16.0</v>
      </c>
      <c r="G13" s="220">
        <f t="shared" si="1"/>
        <v>186480</v>
      </c>
      <c r="H13" s="96"/>
      <c r="I13" s="96"/>
      <c r="J13" s="61" t="s">
        <v>100</v>
      </c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</row>
    <row r="14">
      <c r="A14" s="76">
        <v>6.0</v>
      </c>
      <c r="B14" s="77"/>
      <c r="C14" s="77" t="s">
        <v>101</v>
      </c>
      <c r="D14" s="78" t="s">
        <v>96</v>
      </c>
      <c r="E14" s="79">
        <v>17760.0</v>
      </c>
      <c r="F14" s="219">
        <v>1.0</v>
      </c>
      <c r="G14" s="220">
        <f t="shared" si="1"/>
        <v>17760</v>
      </c>
      <c r="H14" s="96"/>
      <c r="I14" s="96"/>
      <c r="J14" s="61" t="s">
        <v>92</v>
      </c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</row>
    <row r="15">
      <c r="A15" s="76">
        <v>7.0</v>
      </c>
      <c r="B15" s="77"/>
      <c r="C15" s="77" t="s">
        <v>102</v>
      </c>
      <c r="D15" s="78" t="s">
        <v>96</v>
      </c>
      <c r="E15" s="79">
        <v>11988.0</v>
      </c>
      <c r="F15" s="219">
        <v>0.0</v>
      </c>
      <c r="G15" s="220">
        <f t="shared" si="1"/>
        <v>0</v>
      </c>
      <c r="H15" s="96"/>
      <c r="I15" s="96"/>
      <c r="J15" s="61" t="s">
        <v>110</v>
      </c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</row>
    <row r="16">
      <c r="A16" s="96">
        <v>8.0</v>
      </c>
      <c r="B16" s="58"/>
      <c r="C16" s="58" t="s">
        <v>103</v>
      </c>
      <c r="D16" s="92" t="s">
        <v>96</v>
      </c>
      <c r="E16" s="79">
        <v>16983.0</v>
      </c>
      <c r="F16" s="219">
        <v>19.0</v>
      </c>
      <c r="G16" s="220">
        <f t="shared" si="1"/>
        <v>322677</v>
      </c>
      <c r="H16" s="96"/>
      <c r="I16" s="96"/>
      <c r="J16" s="61" t="s">
        <v>97</v>
      </c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</row>
    <row r="17">
      <c r="A17" s="76">
        <v>9.0</v>
      </c>
      <c r="B17" s="77"/>
      <c r="C17" s="77" t="s">
        <v>104</v>
      </c>
      <c r="D17" s="78" t="s">
        <v>105</v>
      </c>
      <c r="E17" s="79">
        <v>3657.5</v>
      </c>
      <c r="F17" s="219">
        <v>1057.0</v>
      </c>
      <c r="G17" s="220">
        <f t="shared" si="1"/>
        <v>3865977.5</v>
      </c>
      <c r="H17" s="96"/>
      <c r="I17" s="96"/>
      <c r="J17" s="222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</row>
    <row r="18">
      <c r="A18" s="50"/>
      <c r="B18" s="50"/>
      <c r="C18" s="50"/>
      <c r="D18" s="78" t="s">
        <v>105</v>
      </c>
      <c r="E18" s="79">
        <v>3885.0</v>
      </c>
      <c r="F18" s="219">
        <v>65.0</v>
      </c>
      <c r="G18" s="220">
        <f t="shared" si="1"/>
        <v>252525</v>
      </c>
      <c r="H18" s="96"/>
      <c r="I18" s="96"/>
      <c r="J18" s="61" t="s">
        <v>92</v>
      </c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</row>
    <row r="19">
      <c r="A19" s="76">
        <v>10.0</v>
      </c>
      <c r="B19" s="77"/>
      <c r="C19" s="77" t="s">
        <v>106</v>
      </c>
      <c r="D19" s="78" t="s">
        <v>105</v>
      </c>
      <c r="E19" s="79">
        <v>4400.0</v>
      </c>
      <c r="F19" s="219">
        <v>358.0</v>
      </c>
      <c r="G19" s="220">
        <f t="shared" si="1"/>
        <v>1575200</v>
      </c>
      <c r="H19" s="96"/>
      <c r="I19" s="96"/>
      <c r="J19" s="222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</row>
    <row r="20">
      <c r="A20" s="50"/>
      <c r="B20" s="50"/>
      <c r="C20" s="50"/>
      <c r="D20" s="78" t="s">
        <v>105</v>
      </c>
      <c r="E20" s="79">
        <v>4995.0</v>
      </c>
      <c r="F20" s="219">
        <v>16.0</v>
      </c>
      <c r="G20" s="220">
        <f t="shared" si="1"/>
        <v>79920</v>
      </c>
      <c r="H20" s="96"/>
      <c r="I20" s="96"/>
      <c r="J20" s="61" t="s">
        <v>92</v>
      </c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</row>
    <row r="21">
      <c r="A21" s="76">
        <v>11.0</v>
      </c>
      <c r="B21" s="77"/>
      <c r="C21" s="77" t="s">
        <v>107</v>
      </c>
      <c r="D21" s="78" t="s">
        <v>105</v>
      </c>
      <c r="E21" s="79">
        <v>6600.0</v>
      </c>
      <c r="F21" s="219">
        <v>240.0</v>
      </c>
      <c r="G21" s="220">
        <f t="shared" si="1"/>
        <v>1584000</v>
      </c>
      <c r="H21" s="96"/>
      <c r="I21" s="96"/>
      <c r="J21" s="222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</row>
    <row r="22">
      <c r="A22" s="76">
        <v>12.0</v>
      </c>
      <c r="B22" s="77"/>
      <c r="C22" s="77" t="s">
        <v>108</v>
      </c>
      <c r="D22" s="78" t="s">
        <v>105</v>
      </c>
      <c r="E22" s="79">
        <v>11000.0</v>
      </c>
      <c r="F22" s="219">
        <v>158.0</v>
      </c>
      <c r="G22" s="220">
        <f t="shared" si="1"/>
        <v>1738000</v>
      </c>
      <c r="H22" s="96"/>
      <c r="I22" s="96"/>
      <c r="J22" s="222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</row>
    <row r="23">
      <c r="A23" s="50"/>
      <c r="B23" s="50"/>
      <c r="C23" s="50"/>
      <c r="D23" s="78" t="s">
        <v>105</v>
      </c>
      <c r="E23" s="79">
        <v>11877.0</v>
      </c>
      <c r="F23" s="219">
        <v>22.0</v>
      </c>
      <c r="G23" s="220">
        <f t="shared" si="1"/>
        <v>261294</v>
      </c>
      <c r="H23" s="96"/>
      <c r="I23" s="96"/>
      <c r="J23" s="61" t="s">
        <v>92</v>
      </c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</row>
    <row r="24">
      <c r="A24" s="96">
        <v>13.0</v>
      </c>
      <c r="B24" s="77"/>
      <c r="C24" s="77" t="s">
        <v>109</v>
      </c>
      <c r="D24" s="78" t="s">
        <v>105</v>
      </c>
      <c r="E24" s="79">
        <v>20945.7</v>
      </c>
      <c r="F24" s="219">
        <v>53.0</v>
      </c>
      <c r="G24" s="220">
        <f t="shared" si="1"/>
        <v>1110122.1</v>
      </c>
      <c r="H24" s="96"/>
      <c r="I24" s="96"/>
      <c r="J24" s="61" t="s">
        <v>110</v>
      </c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</row>
    <row r="25">
      <c r="A25" s="96">
        <v>14.0</v>
      </c>
      <c r="B25" s="58"/>
      <c r="C25" s="58" t="s">
        <v>111</v>
      </c>
      <c r="D25" s="78" t="s">
        <v>105</v>
      </c>
      <c r="E25" s="79">
        <v>45000.0</v>
      </c>
      <c r="F25" s="219">
        <v>43.0</v>
      </c>
      <c r="G25" s="220">
        <f t="shared" si="1"/>
        <v>1935000</v>
      </c>
      <c r="H25" s="96"/>
      <c r="I25" s="96"/>
      <c r="J25" s="61" t="s">
        <v>112</v>
      </c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</row>
    <row r="26">
      <c r="A26" s="96">
        <v>15.0</v>
      </c>
      <c r="B26" s="58"/>
      <c r="C26" s="58" t="s">
        <v>113</v>
      </c>
      <c r="D26" s="92" t="s">
        <v>114</v>
      </c>
      <c r="E26" s="79">
        <v>5106.0</v>
      </c>
      <c r="F26" s="219">
        <v>9.0</v>
      </c>
      <c r="G26" s="220">
        <f t="shared" si="1"/>
        <v>45954</v>
      </c>
      <c r="H26" s="96"/>
      <c r="I26" s="96"/>
      <c r="J26" s="61" t="s">
        <v>97</v>
      </c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</row>
    <row r="27">
      <c r="A27" s="76">
        <v>16.0</v>
      </c>
      <c r="B27" s="77"/>
      <c r="C27" s="77" t="s">
        <v>115</v>
      </c>
      <c r="D27" s="78" t="s">
        <v>91</v>
      </c>
      <c r="E27" s="79">
        <v>53280.0</v>
      </c>
      <c r="F27" s="219">
        <v>14.0</v>
      </c>
      <c r="G27" s="220">
        <f t="shared" si="1"/>
        <v>745920</v>
      </c>
      <c r="H27" s="96"/>
      <c r="I27" s="96"/>
      <c r="J27" s="61" t="s">
        <v>92</v>
      </c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</row>
    <row r="28">
      <c r="A28" s="96">
        <v>17.0</v>
      </c>
      <c r="B28" s="58"/>
      <c r="C28" s="58" t="s">
        <v>116</v>
      </c>
      <c r="D28" s="78" t="s">
        <v>96</v>
      </c>
      <c r="E28" s="79">
        <v>8041.95</v>
      </c>
      <c r="F28" s="219">
        <v>4.0</v>
      </c>
      <c r="G28" s="220">
        <f t="shared" si="1"/>
        <v>32167.8</v>
      </c>
      <c r="H28" s="96"/>
      <c r="I28" s="96"/>
      <c r="J28" s="61" t="s">
        <v>97</v>
      </c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</row>
    <row r="29">
      <c r="A29" s="96">
        <v>18.0</v>
      </c>
      <c r="B29" s="100"/>
      <c r="C29" s="100" t="s">
        <v>117</v>
      </c>
      <c r="D29" s="78" t="s">
        <v>96</v>
      </c>
      <c r="E29" s="79">
        <v>7215.0</v>
      </c>
      <c r="F29" s="219">
        <v>0.0</v>
      </c>
      <c r="G29" s="220">
        <f t="shared" si="1"/>
        <v>0</v>
      </c>
      <c r="H29" s="96"/>
      <c r="I29" s="96"/>
      <c r="J29" s="61" t="s">
        <v>110</v>
      </c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</row>
    <row r="30">
      <c r="A30" s="96">
        <v>19.0</v>
      </c>
      <c r="B30" s="77"/>
      <c r="C30" s="77" t="s">
        <v>120</v>
      </c>
      <c r="D30" s="92" t="s">
        <v>121</v>
      </c>
      <c r="E30" s="79">
        <v>44400.0</v>
      </c>
      <c r="F30" s="219">
        <v>2.0</v>
      </c>
      <c r="G30" s="220">
        <f t="shared" si="1"/>
        <v>88800</v>
      </c>
      <c r="H30" s="96"/>
      <c r="I30" s="96"/>
      <c r="J30" s="61" t="s">
        <v>92</v>
      </c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</row>
    <row r="31">
      <c r="A31" s="96">
        <v>20.0</v>
      </c>
      <c r="B31" s="58"/>
      <c r="C31" s="58" t="s">
        <v>122</v>
      </c>
      <c r="D31" s="92" t="s">
        <v>114</v>
      </c>
      <c r="E31" s="79">
        <v>66600.0</v>
      </c>
      <c r="F31" s="219">
        <v>0.0</v>
      </c>
      <c r="G31" s="220">
        <f t="shared" si="1"/>
        <v>0</v>
      </c>
      <c r="H31" s="96"/>
      <c r="I31" s="96"/>
      <c r="J31" s="61" t="s">
        <v>97</v>
      </c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</row>
    <row r="32">
      <c r="A32" s="96">
        <v>21.0</v>
      </c>
      <c r="B32" s="58"/>
      <c r="C32" s="58" t="s">
        <v>123</v>
      </c>
      <c r="D32" s="92" t="s">
        <v>114</v>
      </c>
      <c r="E32" s="79">
        <v>3157.95</v>
      </c>
      <c r="F32" s="219">
        <v>13.0</v>
      </c>
      <c r="G32" s="220">
        <f t="shared" si="1"/>
        <v>41053.35</v>
      </c>
      <c r="H32" s="96"/>
      <c r="I32" s="96"/>
      <c r="J32" s="61" t="s">
        <v>97</v>
      </c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</row>
    <row r="33">
      <c r="A33" s="96">
        <v>22.0</v>
      </c>
      <c r="B33" s="58"/>
      <c r="C33" s="58" t="s">
        <v>124</v>
      </c>
      <c r="D33" s="78" t="s">
        <v>96</v>
      </c>
      <c r="E33" s="79">
        <v>8880.0</v>
      </c>
      <c r="F33" s="219">
        <v>0.0</v>
      </c>
      <c r="G33" s="220">
        <f t="shared" si="1"/>
        <v>0</v>
      </c>
      <c r="H33" s="96"/>
      <c r="I33" s="96"/>
      <c r="J33" s="61" t="s">
        <v>97</v>
      </c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</row>
    <row r="34">
      <c r="A34" s="96">
        <v>23.0</v>
      </c>
      <c r="B34" s="58"/>
      <c r="C34" s="58" t="s">
        <v>125</v>
      </c>
      <c r="D34" s="99" t="s">
        <v>126</v>
      </c>
      <c r="E34" s="79">
        <v>1320.0</v>
      </c>
      <c r="F34" s="219">
        <v>3826.0</v>
      </c>
      <c r="G34" s="220">
        <f t="shared" si="1"/>
        <v>5050320</v>
      </c>
      <c r="H34" s="96"/>
      <c r="I34" s="96"/>
      <c r="J34" s="222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</row>
    <row r="35">
      <c r="A35" s="96">
        <v>24.0</v>
      </c>
      <c r="B35" s="58"/>
      <c r="C35" s="58" t="s">
        <v>127</v>
      </c>
      <c r="D35" s="99" t="s">
        <v>126</v>
      </c>
      <c r="E35" s="79">
        <v>5610.0</v>
      </c>
      <c r="F35" s="219">
        <v>1567.0</v>
      </c>
      <c r="G35" s="220">
        <f t="shared" si="1"/>
        <v>8790870</v>
      </c>
      <c r="H35" s="96"/>
      <c r="I35" s="96"/>
      <c r="J35" s="222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</row>
    <row r="36">
      <c r="A36" s="76">
        <v>25.0</v>
      </c>
      <c r="B36" s="77"/>
      <c r="C36" s="77" t="s">
        <v>128</v>
      </c>
      <c r="D36" s="92" t="s">
        <v>121</v>
      </c>
      <c r="E36" s="79">
        <v>4995.0</v>
      </c>
      <c r="F36" s="219">
        <v>0.0</v>
      </c>
      <c r="G36" s="220">
        <f t="shared" si="1"/>
        <v>0</v>
      </c>
      <c r="H36" s="96"/>
      <c r="I36" s="96"/>
      <c r="J36" s="61" t="s">
        <v>92</v>
      </c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</row>
    <row r="37">
      <c r="A37" s="76">
        <v>26.0</v>
      </c>
      <c r="B37" s="77"/>
      <c r="C37" s="77" t="s">
        <v>130</v>
      </c>
      <c r="D37" s="78" t="s">
        <v>121</v>
      </c>
      <c r="E37" s="79">
        <v>21645.0</v>
      </c>
      <c r="F37" s="219">
        <v>0.0</v>
      </c>
      <c r="G37" s="220">
        <f t="shared" si="1"/>
        <v>0</v>
      </c>
      <c r="H37" s="96"/>
      <c r="I37" s="96"/>
      <c r="J37" s="61" t="s">
        <v>92</v>
      </c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</row>
    <row r="38">
      <c r="A38" s="96">
        <v>27.0</v>
      </c>
      <c r="B38" s="58"/>
      <c r="C38" s="58" t="s">
        <v>131</v>
      </c>
      <c r="D38" s="78" t="s">
        <v>121</v>
      </c>
      <c r="E38" s="79">
        <v>9570.0</v>
      </c>
      <c r="F38" s="219">
        <v>4.0</v>
      </c>
      <c r="G38" s="220">
        <f t="shared" si="1"/>
        <v>38280</v>
      </c>
      <c r="H38" s="96"/>
      <c r="I38" s="96"/>
      <c r="J38" s="222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</row>
    <row r="39">
      <c r="A39" s="96">
        <v>28.0</v>
      </c>
      <c r="B39" s="58"/>
      <c r="C39" s="58" t="s">
        <v>132</v>
      </c>
      <c r="D39" s="78" t="s">
        <v>99</v>
      </c>
      <c r="E39" s="79">
        <v>7480.0</v>
      </c>
      <c r="F39" s="219">
        <v>31.0</v>
      </c>
      <c r="G39" s="220">
        <f t="shared" si="1"/>
        <v>231880</v>
      </c>
      <c r="H39" s="96"/>
      <c r="I39" s="96"/>
      <c r="J39" s="222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</row>
    <row r="40">
      <c r="A40" s="76">
        <v>29.0</v>
      </c>
      <c r="B40" s="88"/>
      <c r="C40" s="88" t="s">
        <v>133</v>
      </c>
      <c r="D40" s="78" t="s">
        <v>134</v>
      </c>
      <c r="E40" s="86">
        <v>61328.0</v>
      </c>
      <c r="F40" s="219">
        <v>48.0</v>
      </c>
      <c r="G40" s="220">
        <f t="shared" si="1"/>
        <v>2943744</v>
      </c>
      <c r="H40" s="96"/>
      <c r="I40" s="96"/>
      <c r="J40" s="221" t="s">
        <v>85</v>
      </c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</row>
    <row r="41">
      <c r="A41" s="96">
        <v>30.0</v>
      </c>
      <c r="B41" s="100"/>
      <c r="C41" s="100" t="s">
        <v>136</v>
      </c>
      <c r="D41" s="78" t="s">
        <v>134</v>
      </c>
      <c r="E41" s="79">
        <v>55000.0</v>
      </c>
      <c r="F41" s="219">
        <v>0.0</v>
      </c>
      <c r="G41" s="220">
        <f t="shared" si="1"/>
        <v>0</v>
      </c>
      <c r="H41" s="96"/>
      <c r="I41" s="96"/>
      <c r="J41" s="222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</row>
    <row r="42">
      <c r="A42" s="76"/>
      <c r="B42" s="88"/>
      <c r="C42" s="88" t="s">
        <v>137</v>
      </c>
      <c r="D42" s="78" t="s">
        <v>134</v>
      </c>
      <c r="E42" s="86">
        <v>63720.0</v>
      </c>
      <c r="F42" s="219">
        <v>34.0</v>
      </c>
      <c r="G42" s="220">
        <f t="shared" si="1"/>
        <v>2166480</v>
      </c>
      <c r="H42" s="96"/>
      <c r="I42" s="96"/>
      <c r="J42" s="221" t="s">
        <v>85</v>
      </c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</row>
    <row r="43">
      <c r="A43" s="96">
        <v>32.0</v>
      </c>
      <c r="B43" s="100"/>
      <c r="C43" s="100" t="s">
        <v>138</v>
      </c>
      <c r="D43" s="78" t="s">
        <v>134</v>
      </c>
      <c r="E43" s="79">
        <v>63000.0</v>
      </c>
      <c r="F43" s="219">
        <v>0.0</v>
      </c>
      <c r="G43" s="220">
        <f t="shared" si="1"/>
        <v>0</v>
      </c>
      <c r="H43" s="96"/>
      <c r="I43" s="96"/>
      <c r="J43" s="61" t="s">
        <v>110</v>
      </c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</row>
    <row r="44">
      <c r="A44" s="96">
        <v>33.0</v>
      </c>
      <c r="B44" s="58"/>
      <c r="C44" s="58" t="s">
        <v>139</v>
      </c>
      <c r="D44" s="78" t="s">
        <v>134</v>
      </c>
      <c r="E44" s="79">
        <v>15400.0</v>
      </c>
      <c r="F44" s="219">
        <v>14.0</v>
      </c>
      <c r="G44" s="220">
        <f t="shared" si="1"/>
        <v>215600</v>
      </c>
      <c r="H44" s="96"/>
      <c r="I44" s="96"/>
      <c r="J44" s="222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</row>
    <row r="45">
      <c r="A45" s="76">
        <v>34.0</v>
      </c>
      <c r="B45" s="77"/>
      <c r="C45" s="77" t="s">
        <v>140</v>
      </c>
      <c r="D45" s="78" t="s">
        <v>141</v>
      </c>
      <c r="E45" s="79">
        <v>12765.0</v>
      </c>
      <c r="F45" s="219">
        <v>29.0</v>
      </c>
      <c r="G45" s="220">
        <f t="shared" si="1"/>
        <v>370185</v>
      </c>
      <c r="H45" s="96"/>
      <c r="I45" s="96"/>
      <c r="J45" s="61" t="s">
        <v>97</v>
      </c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</row>
    <row r="46">
      <c r="A46" s="96">
        <v>35.0</v>
      </c>
      <c r="B46" s="58"/>
      <c r="C46" s="58" t="s">
        <v>142</v>
      </c>
      <c r="D46" s="78" t="s">
        <v>143</v>
      </c>
      <c r="E46" s="79">
        <v>16095.0</v>
      </c>
      <c r="F46" s="219">
        <v>5.0</v>
      </c>
      <c r="G46" s="220">
        <f t="shared" si="1"/>
        <v>80475</v>
      </c>
      <c r="H46" s="96"/>
      <c r="I46" s="96"/>
      <c r="J46" s="61" t="s">
        <v>97</v>
      </c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</row>
    <row r="47">
      <c r="A47" s="96">
        <v>36.0</v>
      </c>
      <c r="B47" s="58"/>
      <c r="C47" s="58" t="s">
        <v>145</v>
      </c>
      <c r="D47" s="78" t="s">
        <v>143</v>
      </c>
      <c r="E47" s="79">
        <v>18315.0</v>
      </c>
      <c r="F47" s="219">
        <v>5.0</v>
      </c>
      <c r="G47" s="220">
        <f t="shared" si="1"/>
        <v>91575</v>
      </c>
      <c r="H47" s="96"/>
      <c r="I47" s="96"/>
      <c r="J47" s="61" t="s">
        <v>110</v>
      </c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</row>
    <row r="48">
      <c r="A48" s="96">
        <v>37.0</v>
      </c>
      <c r="B48" s="58"/>
      <c r="C48" s="58" t="s">
        <v>146</v>
      </c>
      <c r="D48" s="78" t="s">
        <v>143</v>
      </c>
      <c r="E48" s="79">
        <v>14430.0</v>
      </c>
      <c r="F48" s="219">
        <v>24.0</v>
      </c>
      <c r="G48" s="220">
        <f t="shared" si="1"/>
        <v>346320</v>
      </c>
      <c r="H48" s="96"/>
      <c r="I48" s="96"/>
      <c r="J48" s="61" t="s">
        <v>92</v>
      </c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</row>
    <row r="49">
      <c r="A49" s="76">
        <v>38.0</v>
      </c>
      <c r="B49" s="77"/>
      <c r="C49" s="77" t="s">
        <v>149</v>
      </c>
      <c r="D49" s="78" t="s">
        <v>143</v>
      </c>
      <c r="E49" s="79">
        <v>16720.0</v>
      </c>
      <c r="F49" s="219">
        <v>5.0</v>
      </c>
      <c r="G49" s="220">
        <f t="shared" si="1"/>
        <v>83600</v>
      </c>
      <c r="H49" s="96"/>
      <c r="I49" s="96"/>
      <c r="J49" s="222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</row>
    <row r="50">
      <c r="A50" s="50"/>
      <c r="B50" s="50"/>
      <c r="C50" s="50"/>
      <c r="D50" s="78" t="s">
        <v>143</v>
      </c>
      <c r="E50" s="79">
        <v>17760.0</v>
      </c>
      <c r="F50" s="219">
        <v>25.0</v>
      </c>
      <c r="G50" s="220">
        <f t="shared" si="1"/>
        <v>444000</v>
      </c>
      <c r="H50" s="96"/>
      <c r="I50" s="96"/>
      <c r="J50" s="61" t="s">
        <v>92</v>
      </c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</row>
    <row r="51">
      <c r="A51" s="96">
        <v>39.0</v>
      </c>
      <c r="B51" s="58"/>
      <c r="C51" s="58" t="s">
        <v>152</v>
      </c>
      <c r="D51" s="78" t="s">
        <v>143</v>
      </c>
      <c r="E51" s="79">
        <v>47450.0025</v>
      </c>
      <c r="F51" s="219">
        <v>30.0</v>
      </c>
      <c r="G51" s="220">
        <f t="shared" si="1"/>
        <v>1423500.075</v>
      </c>
      <c r="H51" s="96"/>
      <c r="I51" s="96"/>
      <c r="J51" s="61" t="s">
        <v>156</v>
      </c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</row>
    <row r="52">
      <c r="A52" s="76">
        <v>40.0</v>
      </c>
      <c r="B52" s="77"/>
      <c r="C52" s="77" t="s">
        <v>153</v>
      </c>
      <c r="D52" s="78" t="s">
        <v>154</v>
      </c>
      <c r="E52" s="79">
        <v>6660.0</v>
      </c>
      <c r="F52" s="219">
        <v>0.0</v>
      </c>
      <c r="G52" s="220">
        <f t="shared" si="1"/>
        <v>0</v>
      </c>
      <c r="H52" s="96"/>
      <c r="I52" s="96"/>
      <c r="J52" s="61" t="s">
        <v>92</v>
      </c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</row>
    <row r="53">
      <c r="A53" s="76">
        <v>41.0</v>
      </c>
      <c r="B53" s="77"/>
      <c r="C53" s="77" t="s">
        <v>155</v>
      </c>
      <c r="D53" s="78" t="s">
        <v>96</v>
      </c>
      <c r="E53" s="79">
        <v>40000.0044</v>
      </c>
      <c r="F53" s="219">
        <v>36.0</v>
      </c>
      <c r="G53" s="220">
        <f t="shared" si="1"/>
        <v>1440000.158</v>
      </c>
      <c r="H53" s="96"/>
      <c r="I53" s="96"/>
      <c r="J53" s="61" t="s">
        <v>156</v>
      </c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</row>
    <row r="54">
      <c r="A54" s="16"/>
      <c r="B54" s="16"/>
      <c r="C54" s="16"/>
      <c r="D54" s="78" t="s">
        <v>96</v>
      </c>
      <c r="E54" s="79">
        <v>40000.0044</v>
      </c>
      <c r="F54" s="219">
        <v>10.0</v>
      </c>
      <c r="G54" s="220">
        <f t="shared" si="1"/>
        <v>400000.044</v>
      </c>
      <c r="H54" s="96"/>
      <c r="I54" s="96"/>
      <c r="J54" s="221" t="s">
        <v>85</v>
      </c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</row>
    <row r="55">
      <c r="A55" s="96">
        <v>42.0</v>
      </c>
      <c r="B55" s="58"/>
      <c r="C55" s="58" t="s">
        <v>158</v>
      </c>
      <c r="D55" s="78" t="s">
        <v>96</v>
      </c>
      <c r="E55" s="79">
        <v>3651.9</v>
      </c>
      <c r="F55" s="219">
        <v>9.0</v>
      </c>
      <c r="G55" s="220">
        <f t="shared" si="1"/>
        <v>32867.1</v>
      </c>
      <c r="H55" s="96"/>
      <c r="I55" s="96"/>
      <c r="J55" s="222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</row>
    <row r="56">
      <c r="A56" s="76">
        <v>43.0</v>
      </c>
      <c r="B56" s="77"/>
      <c r="C56" s="77" t="s">
        <v>159</v>
      </c>
      <c r="D56" s="78" t="s">
        <v>96</v>
      </c>
      <c r="E56" s="79">
        <v>2131.2</v>
      </c>
      <c r="F56" s="219">
        <v>88.0</v>
      </c>
      <c r="G56" s="220">
        <f t="shared" si="1"/>
        <v>187545.6</v>
      </c>
      <c r="H56" s="96"/>
      <c r="I56" s="96"/>
      <c r="J56" s="222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</row>
    <row r="57">
      <c r="A57" s="76">
        <v>44.0</v>
      </c>
      <c r="B57" s="77"/>
      <c r="C57" s="77" t="s">
        <v>160</v>
      </c>
      <c r="D57" s="78" t="s">
        <v>96</v>
      </c>
      <c r="E57" s="79">
        <v>2286.6</v>
      </c>
      <c r="F57" s="219">
        <v>281.0</v>
      </c>
      <c r="G57" s="220">
        <f t="shared" si="1"/>
        <v>642534.6</v>
      </c>
      <c r="H57" s="96"/>
      <c r="I57" s="96"/>
      <c r="J57" s="222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</row>
    <row r="58">
      <c r="A58" s="76">
        <v>45.0</v>
      </c>
      <c r="B58" s="77"/>
      <c r="C58" s="77" t="s">
        <v>161</v>
      </c>
      <c r="D58" s="78" t="s">
        <v>162</v>
      </c>
      <c r="E58" s="79">
        <v>47300.0</v>
      </c>
      <c r="F58" s="219">
        <v>5.0</v>
      </c>
      <c r="G58" s="220">
        <f t="shared" si="1"/>
        <v>236500</v>
      </c>
      <c r="H58" s="96"/>
      <c r="I58" s="96"/>
      <c r="J58" s="222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</row>
    <row r="59">
      <c r="A59" s="16"/>
      <c r="B59" s="16"/>
      <c r="C59" s="16"/>
      <c r="D59" s="78" t="s">
        <v>162</v>
      </c>
      <c r="E59" s="79">
        <v>52657.29</v>
      </c>
      <c r="F59" s="219">
        <v>6.0</v>
      </c>
      <c r="G59" s="220">
        <f t="shared" si="1"/>
        <v>315943.74</v>
      </c>
      <c r="H59" s="96"/>
      <c r="I59" s="96"/>
      <c r="J59" s="61" t="s">
        <v>163</v>
      </c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</row>
    <row r="60">
      <c r="A60" s="50"/>
      <c r="B60" s="50"/>
      <c r="C60" s="50"/>
      <c r="D60" s="78" t="s">
        <v>162</v>
      </c>
      <c r="E60" s="79">
        <v>52170.0</v>
      </c>
      <c r="F60" s="219">
        <v>6.0</v>
      </c>
      <c r="G60" s="220">
        <f t="shared" si="1"/>
        <v>313020</v>
      </c>
      <c r="H60" s="96"/>
      <c r="I60" s="96"/>
      <c r="J60" s="61" t="s">
        <v>164</v>
      </c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</row>
    <row r="61">
      <c r="A61" s="96">
        <v>46.0</v>
      </c>
      <c r="B61" s="58"/>
      <c r="C61" s="58" t="s">
        <v>357</v>
      </c>
      <c r="D61" s="78" t="s">
        <v>96</v>
      </c>
      <c r="E61" s="79">
        <v>75900.0</v>
      </c>
      <c r="F61" s="219">
        <v>0.0</v>
      </c>
      <c r="G61" s="220">
        <f t="shared" si="1"/>
        <v>0</v>
      </c>
      <c r="H61" s="96"/>
      <c r="I61" s="96"/>
      <c r="J61" s="222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</row>
    <row r="62">
      <c r="A62" s="76">
        <v>47.0</v>
      </c>
      <c r="B62" s="77"/>
      <c r="C62" s="77" t="s">
        <v>166</v>
      </c>
      <c r="D62" s="78" t="s">
        <v>96</v>
      </c>
      <c r="E62" s="79">
        <v>61050.0</v>
      </c>
      <c r="F62" s="219">
        <v>16.0</v>
      </c>
      <c r="G62" s="220">
        <f t="shared" si="1"/>
        <v>976800</v>
      </c>
      <c r="H62" s="96"/>
      <c r="I62" s="96"/>
      <c r="J62" s="61" t="s">
        <v>92</v>
      </c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</row>
    <row r="63">
      <c r="A63" s="76">
        <v>48.0</v>
      </c>
      <c r="B63" s="77"/>
      <c r="C63" s="77" t="s">
        <v>167</v>
      </c>
      <c r="D63" s="78" t="s">
        <v>96</v>
      </c>
      <c r="E63" s="79">
        <v>66600.0</v>
      </c>
      <c r="F63" s="219">
        <v>23.0</v>
      </c>
      <c r="G63" s="220">
        <f t="shared" si="1"/>
        <v>1531800</v>
      </c>
      <c r="H63" s="96"/>
      <c r="I63" s="96"/>
      <c r="J63" s="61" t="s">
        <v>92</v>
      </c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</row>
    <row r="64">
      <c r="A64" s="76">
        <v>49.0</v>
      </c>
      <c r="B64" s="77"/>
      <c r="C64" s="77" t="s">
        <v>169</v>
      </c>
      <c r="D64" s="78" t="s">
        <v>96</v>
      </c>
      <c r="E64" s="79">
        <v>1169.94</v>
      </c>
      <c r="F64" s="219">
        <v>12.0</v>
      </c>
      <c r="G64" s="220">
        <f t="shared" si="1"/>
        <v>14039.28</v>
      </c>
      <c r="H64" s="96"/>
      <c r="I64" s="96"/>
      <c r="J64" s="61" t="s">
        <v>97</v>
      </c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</row>
    <row r="65">
      <c r="A65" s="96">
        <v>50.0</v>
      </c>
      <c r="B65" s="58"/>
      <c r="C65" s="58" t="s">
        <v>170</v>
      </c>
      <c r="D65" s="78" t="s">
        <v>96</v>
      </c>
      <c r="E65" s="79">
        <v>13708.5</v>
      </c>
      <c r="F65" s="219">
        <v>0.0</v>
      </c>
      <c r="G65" s="220">
        <f t="shared" si="1"/>
        <v>0</v>
      </c>
      <c r="H65" s="96"/>
      <c r="I65" s="96"/>
      <c r="J65" s="61" t="s">
        <v>92</v>
      </c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</row>
    <row r="66">
      <c r="A66" s="96">
        <v>51.0</v>
      </c>
      <c r="B66" s="100"/>
      <c r="C66" s="100" t="s">
        <v>171</v>
      </c>
      <c r="D66" s="78" t="s">
        <v>96</v>
      </c>
      <c r="E66" s="79">
        <v>51615.0</v>
      </c>
      <c r="F66" s="219">
        <v>0.0</v>
      </c>
      <c r="G66" s="220">
        <f t="shared" si="1"/>
        <v>0</v>
      </c>
      <c r="H66" s="96"/>
      <c r="I66" s="96"/>
      <c r="J66" s="61" t="s">
        <v>92</v>
      </c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</row>
    <row r="67">
      <c r="A67" s="96">
        <v>52.0</v>
      </c>
      <c r="B67" s="58"/>
      <c r="C67" s="58" t="s">
        <v>172</v>
      </c>
      <c r="D67" s="78" t="s">
        <v>96</v>
      </c>
      <c r="E67" s="79">
        <v>3607.5</v>
      </c>
      <c r="F67" s="219">
        <v>0.0</v>
      </c>
      <c r="G67" s="220">
        <f t="shared" si="1"/>
        <v>0</v>
      </c>
      <c r="H67" s="96"/>
      <c r="I67" s="96"/>
      <c r="J67" s="61" t="s">
        <v>97</v>
      </c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</row>
    <row r="68">
      <c r="A68" s="96">
        <v>53.0</v>
      </c>
      <c r="B68" s="58"/>
      <c r="C68" s="58" t="s">
        <v>358</v>
      </c>
      <c r="D68" s="78" t="s">
        <v>121</v>
      </c>
      <c r="E68" s="79">
        <v>11330.0</v>
      </c>
      <c r="F68" s="219">
        <v>0.0</v>
      </c>
      <c r="G68" s="220">
        <f t="shared" si="1"/>
        <v>0</v>
      </c>
      <c r="H68" s="96"/>
      <c r="I68" s="96"/>
      <c r="J68" s="222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</row>
    <row r="69">
      <c r="A69" s="96">
        <v>54.0</v>
      </c>
      <c r="B69" s="58"/>
      <c r="C69" s="58" t="s">
        <v>173</v>
      </c>
      <c r="D69" s="78" t="s">
        <v>121</v>
      </c>
      <c r="E69" s="79">
        <v>11000.0</v>
      </c>
      <c r="F69" s="219">
        <v>3.0</v>
      </c>
      <c r="G69" s="220">
        <f t="shared" si="1"/>
        <v>33000</v>
      </c>
      <c r="H69" s="96"/>
      <c r="I69" s="96"/>
      <c r="J69" s="222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</row>
    <row r="70">
      <c r="A70" s="96">
        <v>55.0</v>
      </c>
      <c r="B70" s="58"/>
      <c r="C70" s="58" t="s">
        <v>174</v>
      </c>
      <c r="D70" s="78" t="s">
        <v>91</v>
      </c>
      <c r="E70" s="79">
        <v>2475.0</v>
      </c>
      <c r="F70" s="219">
        <v>0.0</v>
      </c>
      <c r="G70" s="220">
        <f t="shared" si="1"/>
        <v>0</v>
      </c>
      <c r="H70" s="96"/>
      <c r="I70" s="96"/>
      <c r="J70" s="222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</row>
    <row r="71">
      <c r="A71" s="96">
        <v>56.0</v>
      </c>
      <c r="B71" s="58"/>
      <c r="C71" s="58" t="s">
        <v>175</v>
      </c>
      <c r="D71" s="78" t="s">
        <v>105</v>
      </c>
      <c r="E71" s="79">
        <v>3795.0</v>
      </c>
      <c r="F71" s="219">
        <v>0.0</v>
      </c>
      <c r="G71" s="220">
        <f t="shared" si="1"/>
        <v>0</v>
      </c>
      <c r="H71" s="96"/>
      <c r="I71" s="96"/>
      <c r="J71" s="222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</row>
    <row r="72">
      <c r="A72" s="76">
        <v>57.0</v>
      </c>
      <c r="B72" s="77"/>
      <c r="C72" s="77" t="s">
        <v>176</v>
      </c>
      <c r="D72" s="92" t="s">
        <v>96</v>
      </c>
      <c r="E72" s="79">
        <v>178599.99899999998</v>
      </c>
      <c r="F72" s="219">
        <v>10.0</v>
      </c>
      <c r="G72" s="220">
        <f t="shared" si="1"/>
        <v>1785999.99</v>
      </c>
      <c r="H72" s="96"/>
      <c r="I72" s="96"/>
      <c r="J72" s="61" t="s">
        <v>177</v>
      </c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</row>
    <row r="73">
      <c r="A73" s="50"/>
      <c r="B73" s="50"/>
      <c r="C73" s="50"/>
      <c r="D73" s="92" t="s">
        <v>96</v>
      </c>
      <c r="E73" s="79">
        <v>178599.99899999998</v>
      </c>
      <c r="F73" s="219">
        <v>14.0</v>
      </c>
      <c r="G73" s="220">
        <f t="shared" si="1"/>
        <v>2500399.986</v>
      </c>
      <c r="H73" s="96"/>
      <c r="I73" s="96"/>
      <c r="J73" s="221" t="s">
        <v>85</v>
      </c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</row>
    <row r="74">
      <c r="A74" s="96">
        <v>58.0</v>
      </c>
      <c r="B74" s="58"/>
      <c r="C74" s="58" t="s">
        <v>178</v>
      </c>
      <c r="D74" s="92" t="s">
        <v>96</v>
      </c>
      <c r="E74" s="79">
        <v>1155.0</v>
      </c>
      <c r="F74" s="219">
        <v>0.0</v>
      </c>
      <c r="G74" s="220">
        <f t="shared" si="1"/>
        <v>0</v>
      </c>
      <c r="H74" s="96"/>
      <c r="I74" s="96"/>
      <c r="J74" s="222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</row>
    <row r="75">
      <c r="A75" s="76">
        <v>59.0</v>
      </c>
      <c r="B75" s="88"/>
      <c r="C75" s="88" t="s">
        <v>181</v>
      </c>
      <c r="D75" s="78" t="s">
        <v>96</v>
      </c>
      <c r="E75" s="79">
        <v>1665.0</v>
      </c>
      <c r="F75" s="219">
        <v>17.0</v>
      </c>
      <c r="G75" s="220">
        <f t="shared" si="1"/>
        <v>28305</v>
      </c>
      <c r="H75" s="96"/>
      <c r="I75" s="96"/>
      <c r="J75" s="61" t="s">
        <v>92</v>
      </c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</row>
    <row r="76">
      <c r="A76" s="16"/>
      <c r="B76" s="16"/>
      <c r="C76" s="16"/>
      <c r="D76" s="78" t="s">
        <v>96</v>
      </c>
      <c r="E76" s="79">
        <v>1332.0</v>
      </c>
      <c r="F76" s="219">
        <v>30.0</v>
      </c>
      <c r="G76" s="220">
        <f t="shared" si="1"/>
        <v>39960</v>
      </c>
      <c r="H76" s="96"/>
      <c r="I76" s="96"/>
      <c r="J76" s="61" t="s">
        <v>97</v>
      </c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</row>
    <row r="77">
      <c r="A77" s="96">
        <v>60.0</v>
      </c>
      <c r="B77" s="100"/>
      <c r="C77" s="100" t="s">
        <v>182</v>
      </c>
      <c r="D77" s="78" t="s">
        <v>96</v>
      </c>
      <c r="E77" s="79">
        <v>8658.0</v>
      </c>
      <c r="F77" s="219">
        <v>26.0</v>
      </c>
      <c r="G77" s="220">
        <f t="shared" si="1"/>
        <v>225108</v>
      </c>
      <c r="H77" s="96"/>
      <c r="I77" s="96"/>
      <c r="J77" s="61" t="s">
        <v>177</v>
      </c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</row>
    <row r="78">
      <c r="A78" s="76">
        <v>61.0</v>
      </c>
      <c r="B78" s="77"/>
      <c r="C78" s="77" t="s">
        <v>183</v>
      </c>
      <c r="D78" s="78" t="s">
        <v>96</v>
      </c>
      <c r="E78" s="79">
        <v>7437.0</v>
      </c>
      <c r="F78" s="219">
        <v>14.0</v>
      </c>
      <c r="G78" s="220">
        <f t="shared" si="1"/>
        <v>104118</v>
      </c>
      <c r="H78" s="96"/>
      <c r="I78" s="96"/>
      <c r="J78" s="61" t="s">
        <v>97</v>
      </c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</row>
    <row r="79">
      <c r="A79" s="76">
        <v>62.0</v>
      </c>
      <c r="B79" s="88"/>
      <c r="C79" s="88" t="s">
        <v>184</v>
      </c>
      <c r="D79" s="78" t="s">
        <v>96</v>
      </c>
      <c r="E79" s="79">
        <v>12210.0</v>
      </c>
      <c r="F79" s="219">
        <v>24.0</v>
      </c>
      <c r="G79" s="220">
        <f t="shared" si="1"/>
        <v>293040</v>
      </c>
      <c r="H79" s="96"/>
      <c r="I79" s="96"/>
      <c r="J79" s="61" t="s">
        <v>97</v>
      </c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</row>
    <row r="80">
      <c r="A80" s="76">
        <v>63.0</v>
      </c>
      <c r="B80" s="77"/>
      <c r="C80" s="77" t="s">
        <v>185</v>
      </c>
      <c r="D80" s="78" t="s">
        <v>96</v>
      </c>
      <c r="E80" s="79">
        <v>90187.5</v>
      </c>
      <c r="F80" s="219">
        <v>2.0</v>
      </c>
      <c r="G80" s="220">
        <f t="shared" si="1"/>
        <v>180375</v>
      </c>
      <c r="H80" s="96"/>
      <c r="I80" s="96"/>
      <c r="J80" s="61" t="s">
        <v>92</v>
      </c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</row>
    <row r="81">
      <c r="A81" s="16"/>
      <c r="B81" s="16"/>
      <c r="C81" s="16"/>
      <c r="D81" s="78" t="s">
        <v>96</v>
      </c>
      <c r="E81" s="79">
        <v>24617.58</v>
      </c>
      <c r="F81" s="219">
        <v>2.0</v>
      </c>
      <c r="G81" s="220">
        <f t="shared" si="1"/>
        <v>49235.16</v>
      </c>
      <c r="H81" s="96"/>
      <c r="I81" s="96"/>
      <c r="J81" s="61" t="s">
        <v>186</v>
      </c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</row>
    <row r="82">
      <c r="A82" s="50"/>
      <c r="B82" s="50"/>
      <c r="C82" s="50"/>
      <c r="D82" s="78" t="s">
        <v>96</v>
      </c>
      <c r="E82" s="79">
        <v>24420.0</v>
      </c>
      <c r="F82" s="219">
        <v>1.0</v>
      </c>
      <c r="G82" s="220">
        <f t="shared" si="1"/>
        <v>24420</v>
      </c>
      <c r="H82" s="96"/>
      <c r="I82" s="96"/>
      <c r="J82" s="61" t="s">
        <v>359</v>
      </c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</row>
    <row r="83">
      <c r="A83" s="76">
        <v>64.0</v>
      </c>
      <c r="B83" s="77"/>
      <c r="C83" s="77" t="s">
        <v>187</v>
      </c>
      <c r="D83" s="78" t="s">
        <v>96</v>
      </c>
      <c r="E83" s="79">
        <v>18575.85</v>
      </c>
      <c r="F83" s="219">
        <v>0.0</v>
      </c>
      <c r="G83" s="220">
        <f t="shared" si="1"/>
        <v>0</v>
      </c>
      <c r="H83" s="96"/>
      <c r="I83" s="96"/>
      <c r="J83" s="61" t="s">
        <v>97</v>
      </c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</row>
    <row r="84">
      <c r="A84" s="96">
        <v>65.0</v>
      </c>
      <c r="B84" s="58"/>
      <c r="C84" s="58" t="s">
        <v>360</v>
      </c>
      <c r="D84" s="78" t="s">
        <v>96</v>
      </c>
      <c r="E84" s="79">
        <v>52250.0</v>
      </c>
      <c r="F84" s="219">
        <v>0.0</v>
      </c>
      <c r="G84" s="220">
        <f t="shared" si="1"/>
        <v>0</v>
      </c>
      <c r="H84" s="96"/>
      <c r="I84" s="96"/>
      <c r="J84" s="222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</row>
    <row r="85">
      <c r="A85" s="76">
        <v>66.0</v>
      </c>
      <c r="B85" s="77"/>
      <c r="C85" s="77" t="s">
        <v>188</v>
      </c>
      <c r="D85" s="78" t="s">
        <v>121</v>
      </c>
      <c r="E85" s="79">
        <v>7270.5</v>
      </c>
      <c r="F85" s="219">
        <v>23.0</v>
      </c>
      <c r="G85" s="220">
        <f t="shared" si="1"/>
        <v>167221.5</v>
      </c>
      <c r="H85" s="96"/>
      <c r="I85" s="96"/>
      <c r="J85" s="61" t="s">
        <v>97</v>
      </c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</row>
    <row r="86">
      <c r="A86" s="50"/>
      <c r="B86" s="50"/>
      <c r="C86" s="50"/>
      <c r="D86" s="78" t="s">
        <v>121</v>
      </c>
      <c r="E86" s="79">
        <v>6660.0</v>
      </c>
      <c r="F86" s="219">
        <v>27.0</v>
      </c>
      <c r="G86" s="220">
        <f t="shared" si="1"/>
        <v>179820</v>
      </c>
      <c r="H86" s="96"/>
      <c r="I86" s="96"/>
      <c r="J86" s="61" t="s">
        <v>92</v>
      </c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</row>
    <row r="87">
      <c r="A87" s="76">
        <v>67.0</v>
      </c>
      <c r="B87" s="77"/>
      <c r="C87" s="77" t="s">
        <v>189</v>
      </c>
      <c r="D87" s="78" t="s">
        <v>190</v>
      </c>
      <c r="E87" s="79">
        <v>13708.0</v>
      </c>
      <c r="F87" s="219">
        <v>12.0</v>
      </c>
      <c r="G87" s="220">
        <f t="shared" si="1"/>
        <v>164496</v>
      </c>
      <c r="H87" s="96"/>
      <c r="I87" s="96"/>
      <c r="J87" s="61" t="s">
        <v>191</v>
      </c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</row>
    <row r="88">
      <c r="A88" s="76">
        <v>68.0</v>
      </c>
      <c r="B88" s="77"/>
      <c r="C88" s="77" t="s">
        <v>192</v>
      </c>
      <c r="D88" s="78" t="s">
        <v>118</v>
      </c>
      <c r="E88" s="79">
        <v>1108890.0</v>
      </c>
      <c r="F88" s="219">
        <v>1.0</v>
      </c>
      <c r="G88" s="220">
        <f t="shared" si="1"/>
        <v>1108890</v>
      </c>
      <c r="H88" s="96"/>
      <c r="I88" s="96"/>
      <c r="J88" s="61" t="s">
        <v>97</v>
      </c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</row>
    <row r="89">
      <c r="A89" s="50"/>
      <c r="B89" s="50"/>
      <c r="C89" s="50"/>
      <c r="D89" s="78" t="s">
        <v>118</v>
      </c>
      <c r="E89" s="79">
        <v>1268730.0</v>
      </c>
      <c r="F89" s="219">
        <v>1.0</v>
      </c>
      <c r="G89" s="220">
        <f t="shared" si="1"/>
        <v>1268730</v>
      </c>
      <c r="H89" s="96"/>
      <c r="I89" s="96"/>
      <c r="J89" s="222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</row>
    <row r="90">
      <c r="A90" s="76">
        <v>69.0</v>
      </c>
      <c r="B90" s="77"/>
      <c r="C90" s="77" t="s">
        <v>193</v>
      </c>
      <c r="D90" s="78" t="s">
        <v>118</v>
      </c>
      <c r="E90" s="79">
        <v>1232100.0</v>
      </c>
      <c r="F90" s="219">
        <v>2.0</v>
      </c>
      <c r="G90" s="220">
        <f t="shared" si="1"/>
        <v>2464200</v>
      </c>
      <c r="H90" s="96"/>
      <c r="I90" s="96"/>
      <c r="J90" s="61" t="s">
        <v>97</v>
      </c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</row>
    <row r="91">
      <c r="A91" s="50"/>
      <c r="B91" s="50"/>
      <c r="C91" s="50"/>
      <c r="D91" s="78" t="s">
        <v>118</v>
      </c>
      <c r="E91" s="79">
        <v>1411920.0</v>
      </c>
      <c r="F91" s="219">
        <v>1.0</v>
      </c>
      <c r="G91" s="220">
        <f t="shared" si="1"/>
        <v>1411920</v>
      </c>
      <c r="H91" s="96"/>
      <c r="I91" s="96"/>
      <c r="J91" s="222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</row>
    <row r="92">
      <c r="A92" s="76">
        <v>70.0</v>
      </c>
      <c r="B92" s="77"/>
      <c r="C92" s="77" t="s">
        <v>194</v>
      </c>
      <c r="D92" s="78" t="s">
        <v>118</v>
      </c>
      <c r="E92" s="79">
        <v>1232100.0</v>
      </c>
      <c r="F92" s="219">
        <v>2.0</v>
      </c>
      <c r="G92" s="220">
        <f t="shared" si="1"/>
        <v>2464200</v>
      </c>
      <c r="H92" s="96"/>
      <c r="I92" s="96"/>
      <c r="J92" s="61" t="s">
        <v>97</v>
      </c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</row>
    <row r="93">
      <c r="A93" s="50"/>
      <c r="B93" s="50"/>
      <c r="C93" s="50"/>
      <c r="D93" s="78" t="s">
        <v>118</v>
      </c>
      <c r="E93" s="79">
        <v>1411920.0</v>
      </c>
      <c r="F93" s="219">
        <v>1.0</v>
      </c>
      <c r="G93" s="220">
        <f t="shared" si="1"/>
        <v>1411920</v>
      </c>
      <c r="H93" s="96"/>
      <c r="I93" s="96"/>
      <c r="J93" s="222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</row>
    <row r="94">
      <c r="A94" s="76">
        <v>71.0</v>
      </c>
      <c r="B94" s="77"/>
      <c r="C94" s="77" t="s">
        <v>195</v>
      </c>
      <c r="D94" s="78" t="s">
        <v>118</v>
      </c>
      <c r="E94" s="79">
        <v>1232100.0</v>
      </c>
      <c r="F94" s="219">
        <v>1.0</v>
      </c>
      <c r="G94" s="220">
        <f t="shared" si="1"/>
        <v>1232100</v>
      </c>
      <c r="H94" s="96"/>
      <c r="I94" s="96"/>
      <c r="J94" s="61" t="s">
        <v>97</v>
      </c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</row>
    <row r="95">
      <c r="A95" s="50"/>
      <c r="B95" s="50"/>
      <c r="C95" s="50"/>
      <c r="D95" s="78" t="s">
        <v>118</v>
      </c>
      <c r="E95" s="79">
        <v>1411920.0</v>
      </c>
      <c r="F95" s="219">
        <v>1.0</v>
      </c>
      <c r="G95" s="220">
        <f t="shared" si="1"/>
        <v>1411920</v>
      </c>
      <c r="H95" s="96"/>
      <c r="I95" s="96"/>
      <c r="J95" s="222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</row>
    <row r="96">
      <c r="A96" s="76">
        <v>72.0</v>
      </c>
      <c r="B96" s="77"/>
      <c r="C96" s="77" t="s">
        <v>196</v>
      </c>
      <c r="D96" s="78" t="s">
        <v>118</v>
      </c>
      <c r="E96" s="79">
        <v>1272000.0045</v>
      </c>
      <c r="F96" s="219">
        <v>8.0</v>
      </c>
      <c r="G96" s="220">
        <f t="shared" si="1"/>
        <v>10176000.04</v>
      </c>
      <c r="H96" s="96"/>
      <c r="I96" s="96"/>
      <c r="J96" s="61" t="s">
        <v>191</v>
      </c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</row>
    <row r="97">
      <c r="A97" s="16"/>
      <c r="B97" s="16"/>
      <c r="C97" s="16"/>
      <c r="D97" s="78" t="s">
        <v>118</v>
      </c>
      <c r="E97" s="79">
        <v>1272000.0045</v>
      </c>
      <c r="F97" s="219">
        <v>3.0</v>
      </c>
      <c r="G97" s="220">
        <f t="shared" si="1"/>
        <v>3816000.014</v>
      </c>
      <c r="H97" s="96"/>
      <c r="I97" s="96"/>
      <c r="J97" s="221" t="s">
        <v>85</v>
      </c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</row>
    <row r="98">
      <c r="A98" s="76">
        <v>73.0</v>
      </c>
      <c r="B98" s="77"/>
      <c r="C98" s="77" t="s">
        <v>197</v>
      </c>
      <c r="D98" s="78" t="s">
        <v>118</v>
      </c>
      <c r="E98" s="79">
        <v>150000.0</v>
      </c>
      <c r="F98" s="219">
        <v>1.0</v>
      </c>
      <c r="G98" s="220">
        <f t="shared" si="1"/>
        <v>150000</v>
      </c>
      <c r="H98" s="96"/>
      <c r="I98" s="96"/>
      <c r="J98" s="61" t="s">
        <v>110</v>
      </c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</row>
    <row r="99">
      <c r="A99" s="50"/>
      <c r="B99" s="50"/>
      <c r="C99" s="50"/>
      <c r="D99" s="78" t="s">
        <v>118</v>
      </c>
      <c r="E99" s="86">
        <v>110990.0</v>
      </c>
      <c r="F99" s="219">
        <v>20.0</v>
      </c>
      <c r="G99" s="220">
        <f t="shared" si="1"/>
        <v>2219800</v>
      </c>
      <c r="H99" s="96"/>
      <c r="I99" s="96"/>
      <c r="J99" s="221" t="s">
        <v>85</v>
      </c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</row>
    <row r="100">
      <c r="A100" s="96">
        <v>74.0</v>
      </c>
      <c r="B100" s="100"/>
      <c r="C100" s="100" t="s">
        <v>198</v>
      </c>
      <c r="D100" s="78" t="s">
        <v>118</v>
      </c>
      <c r="E100" s="86">
        <v>110990.0</v>
      </c>
      <c r="F100" s="219">
        <v>9.0</v>
      </c>
      <c r="G100" s="220">
        <f t="shared" si="1"/>
        <v>998910</v>
      </c>
      <c r="H100" s="96"/>
      <c r="I100" s="96"/>
      <c r="J100" s="221" t="s">
        <v>85</v>
      </c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</row>
    <row r="101">
      <c r="A101" s="96">
        <v>75.0</v>
      </c>
      <c r="B101" s="100"/>
      <c r="C101" s="100" t="s">
        <v>199</v>
      </c>
      <c r="D101" s="78" t="s">
        <v>118</v>
      </c>
      <c r="E101" s="86">
        <v>110990.0</v>
      </c>
      <c r="F101" s="219">
        <v>9.0</v>
      </c>
      <c r="G101" s="220">
        <f t="shared" si="1"/>
        <v>998910</v>
      </c>
      <c r="H101" s="96"/>
      <c r="I101" s="96"/>
      <c r="J101" s="221" t="s">
        <v>85</v>
      </c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</row>
    <row r="102">
      <c r="A102" s="96">
        <v>76.0</v>
      </c>
      <c r="B102" s="100"/>
      <c r="C102" s="100" t="s">
        <v>200</v>
      </c>
      <c r="D102" s="78" t="s">
        <v>118</v>
      </c>
      <c r="E102" s="86">
        <v>110990.0</v>
      </c>
      <c r="F102" s="219">
        <v>9.0</v>
      </c>
      <c r="G102" s="220">
        <f t="shared" si="1"/>
        <v>998910</v>
      </c>
      <c r="H102" s="96"/>
      <c r="I102" s="96"/>
      <c r="J102" s="221" t="s">
        <v>85</v>
      </c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</row>
    <row r="103">
      <c r="A103" s="96">
        <v>77.0</v>
      </c>
      <c r="B103" s="100"/>
      <c r="C103" s="100" t="s">
        <v>201</v>
      </c>
      <c r="D103" s="78" t="s">
        <v>118</v>
      </c>
      <c r="E103" s="79">
        <v>88880.0</v>
      </c>
      <c r="F103" s="219">
        <v>0.0</v>
      </c>
      <c r="G103" s="220">
        <f t="shared" si="1"/>
        <v>0</v>
      </c>
      <c r="H103" s="96"/>
      <c r="I103" s="96"/>
      <c r="J103" s="222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</row>
    <row r="104">
      <c r="A104" s="96">
        <v>78.0</v>
      </c>
      <c r="B104" s="100"/>
      <c r="C104" s="100" t="s">
        <v>204</v>
      </c>
      <c r="D104" s="78" t="s">
        <v>118</v>
      </c>
      <c r="E104" s="79">
        <v>88880.0</v>
      </c>
      <c r="F104" s="219">
        <v>0.0</v>
      </c>
      <c r="G104" s="220">
        <f t="shared" si="1"/>
        <v>0</v>
      </c>
      <c r="H104" s="96"/>
      <c r="I104" s="96"/>
      <c r="J104" s="222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</row>
    <row r="105">
      <c r="A105" s="96">
        <v>79.0</v>
      </c>
      <c r="B105" s="100"/>
      <c r="C105" s="100" t="s">
        <v>205</v>
      </c>
      <c r="D105" s="78" t="s">
        <v>118</v>
      </c>
      <c r="E105" s="79">
        <v>88880.0</v>
      </c>
      <c r="F105" s="219">
        <v>0.0</v>
      </c>
      <c r="G105" s="220">
        <f t="shared" si="1"/>
        <v>0</v>
      </c>
      <c r="H105" s="96"/>
      <c r="I105" s="96"/>
      <c r="J105" s="222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</row>
    <row r="106">
      <c r="A106" s="96">
        <v>80.0</v>
      </c>
      <c r="B106" s="100"/>
      <c r="C106" s="100" t="s">
        <v>361</v>
      </c>
      <c r="D106" s="78" t="s">
        <v>118</v>
      </c>
      <c r="E106" s="79">
        <v>88880.0</v>
      </c>
      <c r="F106" s="219">
        <v>0.0</v>
      </c>
      <c r="G106" s="220">
        <f t="shared" si="1"/>
        <v>0</v>
      </c>
      <c r="H106" s="96"/>
      <c r="I106" s="96"/>
      <c r="J106" s="222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</row>
    <row r="107">
      <c r="A107" s="76">
        <v>81.0</v>
      </c>
      <c r="B107" s="88"/>
      <c r="C107" s="88" t="s">
        <v>207</v>
      </c>
      <c r="D107" s="78" t="s">
        <v>118</v>
      </c>
      <c r="E107" s="79">
        <v>1330000.0019999999</v>
      </c>
      <c r="F107" s="219">
        <v>0.0</v>
      </c>
      <c r="G107" s="220">
        <f t="shared" si="1"/>
        <v>0</v>
      </c>
      <c r="H107" s="96"/>
      <c r="I107" s="96"/>
      <c r="J107" s="61" t="s">
        <v>156</v>
      </c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</row>
    <row r="108">
      <c r="A108" s="50"/>
      <c r="B108" s="16"/>
      <c r="C108" s="16"/>
      <c r="D108" s="78" t="s">
        <v>118</v>
      </c>
      <c r="E108" s="79">
        <v>1330000.0019999999</v>
      </c>
      <c r="F108" s="219">
        <v>13.0</v>
      </c>
      <c r="G108" s="220">
        <f t="shared" si="1"/>
        <v>17290000.03</v>
      </c>
      <c r="H108" s="96"/>
      <c r="I108" s="96"/>
      <c r="J108" s="221" t="s">
        <v>85</v>
      </c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</row>
    <row r="109">
      <c r="A109" s="76">
        <v>82.0</v>
      </c>
      <c r="B109" s="88"/>
      <c r="C109" s="88" t="s">
        <v>208</v>
      </c>
      <c r="D109" s="78" t="s">
        <v>118</v>
      </c>
      <c r="E109" s="79">
        <v>1439670.0</v>
      </c>
      <c r="F109" s="219">
        <v>0.0</v>
      </c>
      <c r="G109" s="220">
        <f t="shared" si="1"/>
        <v>0</v>
      </c>
      <c r="H109" s="96"/>
      <c r="I109" s="96"/>
      <c r="J109" s="61" t="s">
        <v>97</v>
      </c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</row>
    <row r="110">
      <c r="A110" s="50"/>
      <c r="B110" s="50"/>
      <c r="C110" s="50"/>
      <c r="D110" s="78" t="s">
        <v>118</v>
      </c>
      <c r="E110" s="79">
        <v>1439670.0</v>
      </c>
      <c r="F110" s="219">
        <v>6.0</v>
      </c>
      <c r="G110" s="220">
        <f t="shared" si="1"/>
        <v>8638020</v>
      </c>
      <c r="H110" s="96"/>
      <c r="I110" s="96"/>
      <c r="J110" s="221" t="s">
        <v>85</v>
      </c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</row>
    <row r="111">
      <c r="A111" s="96">
        <v>83.0</v>
      </c>
      <c r="B111" s="58"/>
      <c r="C111" s="58" t="s">
        <v>362</v>
      </c>
      <c r="D111" s="78" t="s">
        <v>118</v>
      </c>
      <c r="E111" s="79">
        <v>1276500.0</v>
      </c>
      <c r="F111" s="219">
        <v>1.0</v>
      </c>
      <c r="G111" s="220">
        <f t="shared" si="1"/>
        <v>1276500</v>
      </c>
      <c r="H111" s="96"/>
      <c r="I111" s="96"/>
      <c r="J111" s="61" t="s">
        <v>110</v>
      </c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</row>
    <row r="112" ht="28.5" customHeight="1">
      <c r="A112" s="223" t="s">
        <v>333</v>
      </c>
      <c r="B112" s="10"/>
      <c r="C112" s="10"/>
      <c r="D112" s="10"/>
      <c r="E112" s="10"/>
      <c r="F112" s="14"/>
      <c r="G112" s="224">
        <f>SUM(G8:G111)</f>
        <v>109894599.1</v>
      </c>
      <c r="H112" s="225"/>
      <c r="I112" s="225"/>
      <c r="J112" s="225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</row>
    <row r="114">
      <c r="A114" s="115"/>
      <c r="B114" s="115"/>
      <c r="C114" s="115"/>
      <c r="D114" s="115"/>
      <c r="E114" s="115"/>
      <c r="F114" s="115"/>
      <c r="G114" s="115"/>
      <c r="H114" s="115"/>
      <c r="I114" s="226" t="s">
        <v>363</v>
      </c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</row>
    <row r="115">
      <c r="A115" s="115"/>
      <c r="B115" s="115"/>
      <c r="C115" s="115"/>
      <c r="D115" s="227"/>
      <c r="E115" s="115"/>
      <c r="F115" s="115"/>
      <c r="G115" s="115"/>
      <c r="H115" s="115"/>
      <c r="I115" s="115"/>
      <c r="J115" s="115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</row>
    <row r="116">
      <c r="A116" s="115"/>
      <c r="B116" s="115"/>
      <c r="C116" s="228" t="s">
        <v>364</v>
      </c>
      <c r="D116" s="227"/>
      <c r="E116" s="115"/>
      <c r="F116" s="115"/>
      <c r="G116" s="115"/>
      <c r="H116" s="228" t="s">
        <v>365</v>
      </c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</row>
    <row r="117">
      <c r="A117" s="115"/>
      <c r="B117" s="115"/>
      <c r="C117" s="228" t="s">
        <v>366</v>
      </c>
      <c r="D117" s="227"/>
      <c r="E117" s="115"/>
      <c r="F117" s="115"/>
      <c r="G117" s="115"/>
      <c r="H117" s="227"/>
      <c r="I117" s="227"/>
      <c r="J117" s="227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</row>
    <row r="118">
      <c r="A118" s="115"/>
      <c r="B118" s="227"/>
      <c r="C118" s="228" t="s">
        <v>367</v>
      </c>
      <c r="D118" s="227"/>
      <c r="E118" s="115"/>
      <c r="F118" s="115"/>
      <c r="G118" s="115"/>
      <c r="H118" s="227"/>
      <c r="I118" s="227"/>
      <c r="J118" s="227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</row>
    <row r="119">
      <c r="A119" s="115"/>
      <c r="B119" s="227"/>
      <c r="C119" s="227"/>
      <c r="D119" s="227"/>
      <c r="E119" s="115"/>
      <c r="F119" s="115"/>
      <c r="G119" s="115"/>
      <c r="H119" s="227"/>
      <c r="I119" s="227"/>
      <c r="J119" s="227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</row>
    <row r="120">
      <c r="A120" s="115"/>
      <c r="B120" s="227"/>
      <c r="C120" s="227"/>
      <c r="D120" s="227"/>
      <c r="E120" s="115"/>
      <c r="F120" s="115"/>
      <c r="G120" s="115"/>
      <c r="H120" s="227"/>
      <c r="I120" s="227"/>
      <c r="J120" s="227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</row>
    <row r="121">
      <c r="A121" s="115"/>
      <c r="B121" s="227"/>
      <c r="C121" s="227"/>
      <c r="D121" s="227"/>
      <c r="E121" s="115"/>
      <c r="F121" s="115"/>
      <c r="G121" s="115"/>
      <c r="H121" s="115"/>
      <c r="I121" s="115"/>
      <c r="J121" s="115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</row>
    <row r="122">
      <c r="A122" s="115"/>
      <c r="B122" s="229" t="s">
        <v>368</v>
      </c>
      <c r="E122" s="115"/>
      <c r="F122" s="115"/>
      <c r="G122" s="115"/>
      <c r="H122" s="230"/>
      <c r="I122" s="231" t="s">
        <v>369</v>
      </c>
      <c r="J122" s="230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</row>
    <row r="123">
      <c r="A123" s="115"/>
      <c r="B123" s="229" t="s">
        <v>370</v>
      </c>
      <c r="E123" s="115"/>
      <c r="F123" s="115"/>
      <c r="G123" s="115"/>
      <c r="H123" s="230"/>
      <c r="I123" s="231" t="s">
        <v>371</v>
      </c>
      <c r="J123" s="230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</row>
    <row r="128">
      <c r="A128" s="210" t="s">
        <v>372</v>
      </c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</row>
    <row r="129">
      <c r="A129" s="211" t="s">
        <v>12</v>
      </c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</row>
    <row r="130">
      <c r="A130" s="211" t="s">
        <v>347</v>
      </c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</row>
    <row r="13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</row>
    <row r="132">
      <c r="A132" s="213" t="s">
        <v>348</v>
      </c>
      <c r="B132" s="214" t="s">
        <v>349</v>
      </c>
      <c r="C132" s="214" t="s">
        <v>350</v>
      </c>
      <c r="D132" s="214" t="s">
        <v>7</v>
      </c>
      <c r="E132" s="214" t="s">
        <v>351</v>
      </c>
      <c r="F132" s="215" t="s">
        <v>352</v>
      </c>
      <c r="G132" s="30"/>
      <c r="H132" s="215" t="s">
        <v>353</v>
      </c>
      <c r="I132" s="30"/>
      <c r="J132" s="214" t="s">
        <v>354</v>
      </c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</row>
    <row r="133">
      <c r="A133" s="50"/>
      <c r="B133" s="30"/>
      <c r="C133" s="30"/>
      <c r="D133" s="30"/>
      <c r="E133" s="30"/>
      <c r="F133" s="216" t="s">
        <v>355</v>
      </c>
      <c r="G133" s="216" t="s">
        <v>356</v>
      </c>
      <c r="H133" s="216" t="s">
        <v>355</v>
      </c>
      <c r="I133" s="216" t="s">
        <v>356</v>
      </c>
      <c r="J133" s="30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</row>
    <row r="134">
      <c r="A134" s="232">
        <v>1.0</v>
      </c>
      <c r="B134" s="233">
        <v>2.0</v>
      </c>
      <c r="C134" s="233">
        <v>3.0</v>
      </c>
      <c r="D134" s="233">
        <v>4.0</v>
      </c>
      <c r="E134" s="233">
        <v>5.0</v>
      </c>
      <c r="F134" s="233">
        <v>6.0</v>
      </c>
      <c r="G134" s="233">
        <v>7.0</v>
      </c>
      <c r="H134" s="233">
        <v>8.0</v>
      </c>
      <c r="I134" s="233">
        <v>9.0</v>
      </c>
      <c r="J134" s="233">
        <v>10.0</v>
      </c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</row>
    <row r="135">
      <c r="A135" s="76">
        <v>1.0</v>
      </c>
      <c r="B135" s="77"/>
      <c r="C135" s="77" t="s">
        <v>212</v>
      </c>
      <c r="D135" s="92" t="s">
        <v>91</v>
      </c>
      <c r="E135" s="79">
        <v>99900.0</v>
      </c>
      <c r="F135" s="219">
        <v>0.0</v>
      </c>
      <c r="G135" s="220">
        <f t="shared" ref="G135:G186" si="2">E135*F135</f>
        <v>0</v>
      </c>
      <c r="H135" s="96"/>
      <c r="I135" s="96"/>
      <c r="J135" s="234" t="s">
        <v>110</v>
      </c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</row>
    <row r="136">
      <c r="A136" s="96">
        <v>2.0</v>
      </c>
      <c r="B136" s="58"/>
      <c r="C136" s="77" t="s">
        <v>213</v>
      </c>
      <c r="D136" s="78" t="s">
        <v>99</v>
      </c>
      <c r="E136" s="79">
        <v>21090.0</v>
      </c>
      <c r="F136" s="219">
        <v>225.0</v>
      </c>
      <c r="G136" s="220">
        <f t="shared" si="2"/>
        <v>4745250</v>
      </c>
      <c r="H136" s="96"/>
      <c r="I136" s="96"/>
      <c r="J136" s="234" t="s">
        <v>97</v>
      </c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</row>
    <row r="137">
      <c r="A137" s="96">
        <v>3.0</v>
      </c>
      <c r="B137" s="58"/>
      <c r="C137" s="77" t="s">
        <v>214</v>
      </c>
      <c r="D137" s="89" t="s">
        <v>215</v>
      </c>
      <c r="E137" s="79">
        <v>41070.0</v>
      </c>
      <c r="F137" s="219">
        <v>10.0</v>
      </c>
      <c r="G137" s="220">
        <f t="shared" si="2"/>
        <v>410700</v>
      </c>
      <c r="H137" s="96"/>
      <c r="I137" s="96"/>
      <c r="J137" s="234" t="s">
        <v>110</v>
      </c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</row>
    <row r="138">
      <c r="A138" s="96">
        <v>4.0</v>
      </c>
      <c r="B138" s="58"/>
      <c r="C138" s="58" t="s">
        <v>216</v>
      </c>
      <c r="D138" s="89" t="s">
        <v>99</v>
      </c>
      <c r="E138" s="235">
        <v>41070.0</v>
      </c>
      <c r="F138" s="219">
        <v>0.0</v>
      </c>
      <c r="G138" s="220">
        <f t="shared" si="2"/>
        <v>0</v>
      </c>
      <c r="H138" s="96"/>
      <c r="I138" s="96"/>
      <c r="J138" s="236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</row>
    <row r="139">
      <c r="A139" s="96">
        <v>5.0</v>
      </c>
      <c r="B139" s="100"/>
      <c r="C139" s="100" t="s">
        <v>217</v>
      </c>
      <c r="D139" s="89" t="s">
        <v>99</v>
      </c>
      <c r="E139" s="235">
        <v>41070.0</v>
      </c>
      <c r="F139" s="219">
        <v>0.0</v>
      </c>
      <c r="G139" s="220">
        <f t="shared" si="2"/>
        <v>0</v>
      </c>
      <c r="H139" s="96"/>
      <c r="I139" s="96"/>
      <c r="J139" s="236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</row>
    <row r="140" ht="19.5" customHeight="1">
      <c r="A140" s="76">
        <v>6.0</v>
      </c>
      <c r="B140" s="77"/>
      <c r="C140" s="77" t="s">
        <v>218</v>
      </c>
      <c r="D140" s="78" t="s">
        <v>99</v>
      </c>
      <c r="E140" s="79">
        <v>41070.0</v>
      </c>
      <c r="F140" s="219">
        <v>98.0</v>
      </c>
      <c r="G140" s="220">
        <f t="shared" si="2"/>
        <v>4024860</v>
      </c>
      <c r="H140" s="96"/>
      <c r="I140" s="96"/>
      <c r="J140" s="234" t="s">
        <v>110</v>
      </c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</row>
    <row r="141" ht="19.5" customHeight="1">
      <c r="A141" s="50"/>
      <c r="B141" s="50"/>
      <c r="C141" s="16"/>
      <c r="D141" s="92" t="s">
        <v>99</v>
      </c>
      <c r="E141" s="79">
        <v>37000.0</v>
      </c>
      <c r="F141" s="219">
        <v>20.0</v>
      </c>
      <c r="G141" s="220">
        <f t="shared" si="2"/>
        <v>740000</v>
      </c>
      <c r="H141" s="96"/>
      <c r="I141" s="96"/>
      <c r="J141" s="234" t="s">
        <v>110</v>
      </c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</row>
    <row r="142" ht="22.5" customHeight="1">
      <c r="A142" s="76">
        <v>7.0</v>
      </c>
      <c r="B142" s="77"/>
      <c r="C142" s="77" t="s">
        <v>219</v>
      </c>
      <c r="D142" s="78" t="s">
        <v>134</v>
      </c>
      <c r="E142" s="79">
        <v>165000.0</v>
      </c>
      <c r="F142" s="219">
        <v>0.0</v>
      </c>
      <c r="G142" s="220">
        <f t="shared" si="2"/>
        <v>0</v>
      </c>
      <c r="H142" s="96"/>
      <c r="I142" s="96"/>
      <c r="J142" s="234" t="s">
        <v>110</v>
      </c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</row>
    <row r="143">
      <c r="A143" s="96">
        <v>8.0</v>
      </c>
      <c r="B143" s="58"/>
      <c r="C143" s="58" t="s">
        <v>223</v>
      </c>
      <c r="D143" s="78" t="s">
        <v>134</v>
      </c>
      <c r="E143" s="79">
        <v>166500.0</v>
      </c>
      <c r="F143" s="219">
        <v>1.0</v>
      </c>
      <c r="G143" s="220">
        <f t="shared" si="2"/>
        <v>166500</v>
      </c>
      <c r="H143" s="96"/>
      <c r="I143" s="96"/>
      <c r="J143" s="234" t="s">
        <v>97</v>
      </c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</row>
    <row r="144">
      <c r="A144" s="96">
        <v>9.0</v>
      </c>
      <c r="B144" s="58"/>
      <c r="C144" s="58" t="s">
        <v>224</v>
      </c>
      <c r="D144" s="78" t="s">
        <v>134</v>
      </c>
      <c r="E144" s="79">
        <v>166500.0</v>
      </c>
      <c r="F144" s="219">
        <v>1.0</v>
      </c>
      <c r="G144" s="220">
        <f t="shared" si="2"/>
        <v>166500</v>
      </c>
      <c r="H144" s="96"/>
      <c r="I144" s="96"/>
      <c r="J144" s="234" t="s">
        <v>97</v>
      </c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</row>
    <row r="145">
      <c r="A145" s="96">
        <v>10.0</v>
      </c>
      <c r="B145" s="58"/>
      <c r="C145" s="58" t="s">
        <v>225</v>
      </c>
      <c r="D145" s="78" t="s">
        <v>134</v>
      </c>
      <c r="E145" s="79">
        <v>166500.0</v>
      </c>
      <c r="F145" s="219">
        <v>1.0</v>
      </c>
      <c r="G145" s="220">
        <f t="shared" si="2"/>
        <v>166500</v>
      </c>
      <c r="H145" s="96"/>
      <c r="I145" s="96"/>
      <c r="J145" s="234" t="s">
        <v>97</v>
      </c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</row>
    <row r="146">
      <c r="A146" s="96">
        <v>11.0</v>
      </c>
      <c r="B146" s="58"/>
      <c r="C146" s="58" t="s">
        <v>226</v>
      </c>
      <c r="D146" s="78" t="s">
        <v>134</v>
      </c>
      <c r="E146" s="79">
        <v>166500.0</v>
      </c>
      <c r="F146" s="219">
        <v>1.0</v>
      </c>
      <c r="G146" s="220">
        <f t="shared" si="2"/>
        <v>166500</v>
      </c>
      <c r="H146" s="96"/>
      <c r="I146" s="96"/>
      <c r="J146" s="234" t="s">
        <v>97</v>
      </c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</row>
    <row r="147">
      <c r="A147" s="96">
        <v>12.0</v>
      </c>
      <c r="B147" s="58"/>
      <c r="C147" s="58" t="s">
        <v>227</v>
      </c>
      <c r="D147" s="78" t="s">
        <v>134</v>
      </c>
      <c r="E147" s="79">
        <v>166500.0</v>
      </c>
      <c r="F147" s="219">
        <v>1.0</v>
      </c>
      <c r="G147" s="220">
        <f t="shared" si="2"/>
        <v>166500</v>
      </c>
      <c r="H147" s="96"/>
      <c r="I147" s="96"/>
      <c r="J147" s="234" t="s">
        <v>97</v>
      </c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</row>
    <row r="148">
      <c r="A148" s="96">
        <v>13.0</v>
      </c>
      <c r="B148" s="58"/>
      <c r="C148" s="58" t="s">
        <v>228</v>
      </c>
      <c r="D148" s="78" t="s">
        <v>134</v>
      </c>
      <c r="E148" s="79">
        <v>166500.0</v>
      </c>
      <c r="F148" s="219">
        <v>1.0</v>
      </c>
      <c r="G148" s="220">
        <f t="shared" si="2"/>
        <v>166500</v>
      </c>
      <c r="H148" s="96"/>
      <c r="I148" s="96"/>
      <c r="J148" s="234" t="s">
        <v>97</v>
      </c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</row>
    <row r="149">
      <c r="A149" s="96">
        <v>14.0</v>
      </c>
      <c r="B149" s="58"/>
      <c r="C149" s="58" t="s">
        <v>229</v>
      </c>
      <c r="D149" s="92" t="s">
        <v>134</v>
      </c>
      <c r="E149" s="79">
        <v>166500.0</v>
      </c>
      <c r="F149" s="219">
        <v>1.0</v>
      </c>
      <c r="G149" s="220">
        <f t="shared" si="2"/>
        <v>166500</v>
      </c>
      <c r="H149" s="96"/>
      <c r="I149" s="96"/>
      <c r="J149" s="234" t="s">
        <v>97</v>
      </c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</row>
    <row r="150">
      <c r="A150" s="96">
        <v>15.0</v>
      </c>
      <c r="B150" s="58"/>
      <c r="C150" s="58" t="s">
        <v>230</v>
      </c>
      <c r="D150" s="78" t="s">
        <v>134</v>
      </c>
      <c r="E150" s="79">
        <v>166500.0</v>
      </c>
      <c r="F150" s="219">
        <v>1.0</v>
      </c>
      <c r="G150" s="220">
        <f t="shared" si="2"/>
        <v>166500</v>
      </c>
      <c r="H150" s="96"/>
      <c r="I150" s="96"/>
      <c r="J150" s="234" t="s">
        <v>97</v>
      </c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</row>
    <row r="151">
      <c r="A151" s="96">
        <v>16.0</v>
      </c>
      <c r="B151" s="58"/>
      <c r="C151" s="58" t="s">
        <v>231</v>
      </c>
      <c r="D151" s="78" t="s">
        <v>134</v>
      </c>
      <c r="E151" s="79">
        <v>166500.0</v>
      </c>
      <c r="F151" s="219">
        <v>1.0</v>
      </c>
      <c r="G151" s="220">
        <f t="shared" si="2"/>
        <v>166500</v>
      </c>
      <c r="H151" s="96"/>
      <c r="I151" s="96"/>
      <c r="J151" s="234" t="s">
        <v>97</v>
      </c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</row>
    <row r="152">
      <c r="A152" s="76">
        <v>17.0</v>
      </c>
      <c r="B152" s="77"/>
      <c r="C152" s="77" t="s">
        <v>232</v>
      </c>
      <c r="D152" s="78" t="s">
        <v>134</v>
      </c>
      <c r="E152" s="79">
        <v>165390.0</v>
      </c>
      <c r="F152" s="219">
        <v>32.0</v>
      </c>
      <c r="G152" s="220">
        <f t="shared" si="2"/>
        <v>5292480</v>
      </c>
      <c r="H152" s="96"/>
      <c r="I152" s="96"/>
      <c r="J152" s="234" t="s">
        <v>97</v>
      </c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</row>
    <row r="153">
      <c r="A153" s="50"/>
      <c r="B153" s="50"/>
      <c r="C153" s="50"/>
      <c r="D153" s="92" t="s">
        <v>134</v>
      </c>
      <c r="E153" s="79">
        <v>183150.0</v>
      </c>
      <c r="F153" s="219">
        <v>5.0</v>
      </c>
      <c r="G153" s="220">
        <f t="shared" si="2"/>
        <v>915750</v>
      </c>
      <c r="H153" s="96"/>
      <c r="I153" s="96"/>
      <c r="J153" s="234" t="s">
        <v>110</v>
      </c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</row>
    <row r="154">
      <c r="A154" s="76">
        <v>18.0</v>
      </c>
      <c r="B154" s="77"/>
      <c r="C154" s="77" t="s">
        <v>233</v>
      </c>
      <c r="D154" s="92" t="s">
        <v>134</v>
      </c>
      <c r="E154" s="79">
        <v>166500.0</v>
      </c>
      <c r="F154" s="219">
        <v>1.0</v>
      </c>
      <c r="G154" s="220">
        <f t="shared" si="2"/>
        <v>166500</v>
      </c>
      <c r="H154" s="96"/>
      <c r="I154" s="96"/>
      <c r="J154" s="234" t="s">
        <v>97</v>
      </c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</row>
    <row r="155">
      <c r="A155" s="50"/>
      <c r="B155" s="50"/>
      <c r="C155" s="50"/>
      <c r="D155" s="92" t="s">
        <v>134</v>
      </c>
      <c r="E155" s="79">
        <v>183150.0</v>
      </c>
      <c r="F155" s="219">
        <v>8.0</v>
      </c>
      <c r="G155" s="220">
        <f t="shared" si="2"/>
        <v>1465200</v>
      </c>
      <c r="H155" s="96"/>
      <c r="I155" s="96"/>
      <c r="J155" s="234" t="s">
        <v>110</v>
      </c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</row>
    <row r="156">
      <c r="A156" s="76">
        <v>19.0</v>
      </c>
      <c r="B156" s="77"/>
      <c r="C156" s="77" t="s">
        <v>234</v>
      </c>
      <c r="D156" s="78" t="s">
        <v>134</v>
      </c>
      <c r="E156" s="79">
        <v>183150.0</v>
      </c>
      <c r="F156" s="219">
        <v>24.0</v>
      </c>
      <c r="G156" s="220">
        <f t="shared" si="2"/>
        <v>4395600</v>
      </c>
      <c r="H156" s="96"/>
      <c r="I156" s="96"/>
      <c r="J156" s="234" t="s">
        <v>110</v>
      </c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</row>
    <row r="157">
      <c r="A157" s="76">
        <v>20.0</v>
      </c>
      <c r="B157" s="77"/>
      <c r="C157" s="77" t="s">
        <v>235</v>
      </c>
      <c r="D157" s="78" t="s">
        <v>134</v>
      </c>
      <c r="E157" s="79">
        <v>183150.0</v>
      </c>
      <c r="F157" s="219">
        <v>10.0</v>
      </c>
      <c r="G157" s="220">
        <f t="shared" si="2"/>
        <v>1831500</v>
      </c>
      <c r="H157" s="96"/>
      <c r="I157" s="96"/>
      <c r="J157" s="234" t="s">
        <v>110</v>
      </c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</row>
    <row r="158">
      <c r="A158" s="76">
        <v>21.0</v>
      </c>
      <c r="B158" s="77"/>
      <c r="C158" s="77" t="s">
        <v>236</v>
      </c>
      <c r="D158" s="78" t="s">
        <v>134</v>
      </c>
      <c r="E158" s="79">
        <v>183150.0</v>
      </c>
      <c r="F158" s="219">
        <v>0.0</v>
      </c>
      <c r="G158" s="220">
        <f t="shared" si="2"/>
        <v>0</v>
      </c>
      <c r="H158" s="96"/>
      <c r="I158" s="96"/>
      <c r="J158" s="234" t="s">
        <v>110</v>
      </c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</row>
    <row r="159">
      <c r="A159" s="16"/>
      <c r="B159" s="16"/>
      <c r="C159" s="16"/>
      <c r="D159" s="78" t="s">
        <v>134</v>
      </c>
      <c r="E159" s="79">
        <v>165000.0</v>
      </c>
      <c r="F159" s="219">
        <v>5.0</v>
      </c>
      <c r="G159" s="220">
        <f t="shared" si="2"/>
        <v>825000</v>
      </c>
      <c r="H159" s="96"/>
      <c r="I159" s="96"/>
      <c r="J159" s="234" t="s">
        <v>110</v>
      </c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</row>
    <row r="160">
      <c r="A160" s="76">
        <v>22.0</v>
      </c>
      <c r="B160" s="77"/>
      <c r="C160" s="77" t="s">
        <v>237</v>
      </c>
      <c r="D160" s="78" t="s">
        <v>134</v>
      </c>
      <c r="E160" s="79">
        <v>183150.0</v>
      </c>
      <c r="F160" s="219">
        <v>0.0</v>
      </c>
      <c r="G160" s="220">
        <f t="shared" si="2"/>
        <v>0</v>
      </c>
      <c r="H160" s="96"/>
      <c r="I160" s="96"/>
      <c r="J160" s="234" t="s">
        <v>110</v>
      </c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</row>
    <row r="161">
      <c r="A161" s="16"/>
      <c r="B161" s="16"/>
      <c r="C161" s="16"/>
      <c r="D161" s="78" t="s">
        <v>134</v>
      </c>
      <c r="E161" s="79">
        <v>165000.0</v>
      </c>
      <c r="F161" s="219">
        <v>5.0</v>
      </c>
      <c r="G161" s="220">
        <f t="shared" si="2"/>
        <v>825000</v>
      </c>
      <c r="H161" s="96"/>
      <c r="I161" s="96"/>
      <c r="J161" s="234" t="s">
        <v>110</v>
      </c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</row>
    <row r="162">
      <c r="A162" s="96">
        <v>23.0</v>
      </c>
      <c r="B162" s="58"/>
      <c r="C162" s="58" t="s">
        <v>238</v>
      </c>
      <c r="D162" s="78" t="s">
        <v>134</v>
      </c>
      <c r="E162" s="79">
        <v>166500.0</v>
      </c>
      <c r="F162" s="219">
        <v>1.0</v>
      </c>
      <c r="G162" s="220">
        <f t="shared" si="2"/>
        <v>166500</v>
      </c>
      <c r="H162" s="96"/>
      <c r="I162" s="96"/>
      <c r="J162" s="234" t="s">
        <v>97</v>
      </c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</row>
    <row r="163">
      <c r="A163" s="96">
        <v>24.0</v>
      </c>
      <c r="B163" s="58"/>
      <c r="C163" s="58" t="s">
        <v>239</v>
      </c>
      <c r="D163" s="78" t="s">
        <v>134</v>
      </c>
      <c r="E163" s="79">
        <v>166500.0</v>
      </c>
      <c r="F163" s="219">
        <v>1.0</v>
      </c>
      <c r="G163" s="220">
        <f t="shared" si="2"/>
        <v>166500</v>
      </c>
      <c r="H163" s="96"/>
      <c r="I163" s="96"/>
      <c r="J163" s="234" t="s">
        <v>97</v>
      </c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</row>
    <row r="164">
      <c r="A164" s="96">
        <v>25.0</v>
      </c>
      <c r="B164" s="58"/>
      <c r="C164" s="58" t="s">
        <v>240</v>
      </c>
      <c r="D164" s="78" t="s">
        <v>134</v>
      </c>
      <c r="E164" s="79">
        <v>166500.0</v>
      </c>
      <c r="F164" s="219">
        <v>1.0</v>
      </c>
      <c r="G164" s="220">
        <f t="shared" si="2"/>
        <v>166500</v>
      </c>
      <c r="H164" s="96"/>
      <c r="I164" s="96"/>
      <c r="J164" s="234" t="s">
        <v>97</v>
      </c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</row>
    <row r="165">
      <c r="A165" s="76">
        <v>26.0</v>
      </c>
      <c r="B165" s="77"/>
      <c r="C165" s="77" t="s">
        <v>243</v>
      </c>
      <c r="D165" s="78" t="s">
        <v>134</v>
      </c>
      <c r="E165" s="79">
        <v>183150.0</v>
      </c>
      <c r="F165" s="219">
        <v>4.0</v>
      </c>
      <c r="G165" s="220">
        <f t="shared" si="2"/>
        <v>732600</v>
      </c>
      <c r="H165" s="96"/>
      <c r="I165" s="96"/>
      <c r="J165" s="234" t="s">
        <v>110</v>
      </c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</row>
    <row r="166">
      <c r="A166" s="50"/>
      <c r="B166" s="50"/>
      <c r="C166" s="16"/>
      <c r="D166" s="78" t="s">
        <v>134</v>
      </c>
      <c r="E166" s="79">
        <v>165000.0</v>
      </c>
      <c r="F166" s="219">
        <v>5.0</v>
      </c>
      <c r="G166" s="220">
        <f t="shared" si="2"/>
        <v>825000</v>
      </c>
      <c r="H166" s="96"/>
      <c r="I166" s="96"/>
      <c r="J166" s="234" t="s">
        <v>110</v>
      </c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</row>
    <row r="167">
      <c r="A167" s="96">
        <v>27.0</v>
      </c>
      <c r="B167" s="58"/>
      <c r="C167" s="58" t="s">
        <v>245</v>
      </c>
      <c r="D167" s="78" t="s">
        <v>134</v>
      </c>
      <c r="E167" s="79">
        <v>166500.0</v>
      </c>
      <c r="F167" s="219">
        <v>2.0</v>
      </c>
      <c r="G167" s="220">
        <f t="shared" si="2"/>
        <v>333000</v>
      </c>
      <c r="H167" s="96"/>
      <c r="I167" s="96"/>
      <c r="J167" s="234" t="s">
        <v>97</v>
      </c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</row>
    <row r="168">
      <c r="A168" s="76">
        <v>28.0</v>
      </c>
      <c r="B168" s="77"/>
      <c r="C168" s="77" t="s">
        <v>246</v>
      </c>
      <c r="D168" s="78" t="s">
        <v>134</v>
      </c>
      <c r="E168" s="79">
        <v>166500.0</v>
      </c>
      <c r="F168" s="219">
        <v>1.0</v>
      </c>
      <c r="G168" s="220">
        <f t="shared" si="2"/>
        <v>166500</v>
      </c>
      <c r="H168" s="96"/>
      <c r="I168" s="96"/>
      <c r="J168" s="234" t="s">
        <v>97</v>
      </c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</row>
    <row r="169">
      <c r="A169" s="50"/>
      <c r="B169" s="50"/>
      <c r="C169" s="50"/>
      <c r="D169" s="78" t="s">
        <v>134</v>
      </c>
      <c r="E169" s="79">
        <v>165000.0</v>
      </c>
      <c r="F169" s="219">
        <v>5.0</v>
      </c>
      <c r="G169" s="220">
        <f t="shared" si="2"/>
        <v>825000</v>
      </c>
      <c r="H169" s="96"/>
      <c r="I169" s="96"/>
      <c r="J169" s="234" t="s">
        <v>110</v>
      </c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</row>
    <row r="170">
      <c r="A170" s="96">
        <v>29.0</v>
      </c>
      <c r="B170" s="58"/>
      <c r="C170" s="58" t="s">
        <v>247</v>
      </c>
      <c r="D170" s="78" t="s">
        <v>99</v>
      </c>
      <c r="E170" s="79">
        <v>27750.0</v>
      </c>
      <c r="F170" s="219">
        <v>25.0</v>
      </c>
      <c r="G170" s="220">
        <f t="shared" si="2"/>
        <v>693750</v>
      </c>
      <c r="H170" s="96"/>
      <c r="I170" s="96"/>
      <c r="J170" s="234" t="s">
        <v>110</v>
      </c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</row>
    <row r="171">
      <c r="A171" s="96">
        <v>30.0</v>
      </c>
      <c r="B171" s="58"/>
      <c r="C171" s="58" t="s">
        <v>248</v>
      </c>
      <c r="D171" s="78" t="s">
        <v>249</v>
      </c>
      <c r="E171" s="79">
        <v>3630.0</v>
      </c>
      <c r="F171" s="219">
        <v>6940.0</v>
      </c>
      <c r="G171" s="220">
        <f t="shared" si="2"/>
        <v>25192200</v>
      </c>
      <c r="H171" s="96"/>
      <c r="I171" s="96"/>
      <c r="J171" s="60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</row>
    <row r="172" ht="22.5" customHeight="1">
      <c r="A172" s="96">
        <v>31.0</v>
      </c>
      <c r="B172" s="58"/>
      <c r="C172" s="77" t="s">
        <v>250</v>
      </c>
      <c r="D172" s="78" t="s">
        <v>99</v>
      </c>
      <c r="E172" s="79">
        <v>20000.0</v>
      </c>
      <c r="F172" s="219">
        <v>20.0</v>
      </c>
      <c r="G172" s="220">
        <f t="shared" si="2"/>
        <v>400000</v>
      </c>
      <c r="H172" s="96"/>
      <c r="I172" s="96"/>
      <c r="J172" s="234" t="s">
        <v>110</v>
      </c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</row>
    <row r="173">
      <c r="A173" s="76">
        <v>32.0</v>
      </c>
      <c r="B173" s="77"/>
      <c r="C173" s="77" t="s">
        <v>373</v>
      </c>
      <c r="D173" s="78" t="s">
        <v>99</v>
      </c>
      <c r="E173" s="79">
        <v>22200.0</v>
      </c>
      <c r="F173" s="219">
        <v>20.0</v>
      </c>
      <c r="G173" s="220">
        <f t="shared" si="2"/>
        <v>444000</v>
      </c>
      <c r="H173" s="96"/>
      <c r="I173" s="96"/>
      <c r="J173" s="234" t="s">
        <v>110</v>
      </c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</row>
    <row r="174">
      <c r="A174" s="50"/>
      <c r="B174" s="50"/>
      <c r="C174" s="50"/>
      <c r="D174" s="78" t="s">
        <v>99</v>
      </c>
      <c r="E174" s="79">
        <v>20000.0</v>
      </c>
      <c r="F174" s="219">
        <v>20.0</v>
      </c>
      <c r="G174" s="220">
        <f t="shared" si="2"/>
        <v>400000</v>
      </c>
      <c r="H174" s="96"/>
      <c r="I174" s="96"/>
      <c r="J174" s="234" t="s">
        <v>110</v>
      </c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</row>
    <row r="175">
      <c r="A175" s="76">
        <v>33.0</v>
      </c>
      <c r="B175" s="77"/>
      <c r="C175" s="77" t="s">
        <v>252</v>
      </c>
      <c r="D175" s="78" t="s">
        <v>99</v>
      </c>
      <c r="E175" s="79">
        <v>8250.0</v>
      </c>
      <c r="F175" s="219">
        <v>218.0</v>
      </c>
      <c r="G175" s="220">
        <f t="shared" si="2"/>
        <v>1798500</v>
      </c>
      <c r="H175" s="96"/>
      <c r="I175" s="96"/>
      <c r="J175" s="60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</row>
    <row r="176">
      <c r="A176" s="50"/>
      <c r="B176" s="50"/>
      <c r="C176" s="50"/>
      <c r="D176" s="78" t="s">
        <v>99</v>
      </c>
      <c r="E176" s="79">
        <v>18315.0</v>
      </c>
      <c r="F176" s="219">
        <v>30.0</v>
      </c>
      <c r="G176" s="220">
        <f t="shared" si="2"/>
        <v>549450</v>
      </c>
      <c r="H176" s="96"/>
      <c r="I176" s="96"/>
      <c r="J176" s="234" t="s">
        <v>92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</row>
    <row r="177" ht="22.5" customHeight="1">
      <c r="A177" s="96">
        <v>34.0</v>
      </c>
      <c r="B177" s="58"/>
      <c r="C177" s="58" t="s">
        <v>253</v>
      </c>
      <c r="D177" s="78" t="s">
        <v>99</v>
      </c>
      <c r="E177" s="79">
        <v>5940.0</v>
      </c>
      <c r="F177" s="219">
        <v>150.0</v>
      </c>
      <c r="G177" s="220">
        <f t="shared" si="2"/>
        <v>891000</v>
      </c>
      <c r="H177" s="96"/>
      <c r="I177" s="96"/>
      <c r="J177" s="60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</row>
    <row r="178">
      <c r="A178" s="76">
        <v>35.0</v>
      </c>
      <c r="B178" s="77"/>
      <c r="C178" s="77" t="s">
        <v>254</v>
      </c>
      <c r="D178" s="78" t="s">
        <v>96</v>
      </c>
      <c r="E178" s="79">
        <v>6105.0</v>
      </c>
      <c r="F178" s="219">
        <v>60.0</v>
      </c>
      <c r="G178" s="220">
        <f t="shared" si="2"/>
        <v>366300</v>
      </c>
      <c r="H178" s="96"/>
      <c r="I178" s="96"/>
      <c r="J178" s="234" t="s">
        <v>92</v>
      </c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</row>
    <row r="179">
      <c r="A179" s="76">
        <v>36.0</v>
      </c>
      <c r="B179" s="77"/>
      <c r="C179" s="77" t="s">
        <v>255</v>
      </c>
      <c r="D179" s="78" t="s">
        <v>99</v>
      </c>
      <c r="E179" s="79">
        <v>16095.0</v>
      </c>
      <c r="F179" s="219">
        <v>56.0</v>
      </c>
      <c r="G179" s="220">
        <f t="shared" si="2"/>
        <v>901320</v>
      </c>
      <c r="H179" s="96"/>
      <c r="I179" s="96"/>
      <c r="J179" s="234" t="s">
        <v>97</v>
      </c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</row>
    <row r="180">
      <c r="A180" s="50"/>
      <c r="B180" s="50"/>
      <c r="C180" s="50"/>
      <c r="D180" s="78" t="s">
        <v>99</v>
      </c>
      <c r="E180" s="79">
        <v>18870.0</v>
      </c>
      <c r="F180" s="219">
        <v>100.0</v>
      </c>
      <c r="G180" s="220">
        <f t="shared" si="2"/>
        <v>1887000</v>
      </c>
      <c r="H180" s="96"/>
      <c r="I180" s="96"/>
      <c r="J180" s="234" t="s">
        <v>110</v>
      </c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</row>
    <row r="181">
      <c r="A181" s="76">
        <v>37.0</v>
      </c>
      <c r="B181" s="77"/>
      <c r="C181" s="77" t="s">
        <v>256</v>
      </c>
      <c r="D181" s="99" t="s">
        <v>99</v>
      </c>
      <c r="E181" s="79">
        <v>13420.0</v>
      </c>
      <c r="F181" s="219">
        <v>45.0</v>
      </c>
      <c r="G181" s="220">
        <f t="shared" si="2"/>
        <v>603900</v>
      </c>
      <c r="H181" s="96"/>
      <c r="I181" s="96"/>
      <c r="J181" s="60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</row>
    <row r="182">
      <c r="A182" s="50"/>
      <c r="B182" s="50"/>
      <c r="C182" s="50"/>
      <c r="D182" s="99" t="s">
        <v>99</v>
      </c>
      <c r="E182" s="79">
        <v>24420.0</v>
      </c>
      <c r="F182" s="219">
        <v>50.0</v>
      </c>
      <c r="G182" s="220">
        <f t="shared" si="2"/>
        <v>1221000</v>
      </c>
      <c r="H182" s="96"/>
      <c r="I182" s="96"/>
      <c r="J182" s="234" t="s">
        <v>110</v>
      </c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</row>
    <row r="183">
      <c r="A183" s="96">
        <v>38.0</v>
      </c>
      <c r="B183" s="58"/>
      <c r="C183" s="58" t="s">
        <v>257</v>
      </c>
      <c r="D183" s="78" t="s">
        <v>99</v>
      </c>
      <c r="E183" s="79">
        <v>13420.0</v>
      </c>
      <c r="F183" s="219">
        <v>99.0</v>
      </c>
      <c r="G183" s="220">
        <f t="shared" si="2"/>
        <v>1328580</v>
      </c>
      <c r="H183" s="96"/>
      <c r="I183" s="96"/>
      <c r="J183" s="60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</row>
    <row r="184">
      <c r="A184" s="76">
        <v>39.0</v>
      </c>
      <c r="B184" s="77"/>
      <c r="C184" s="77" t="s">
        <v>258</v>
      </c>
      <c r="D184" s="78" t="s">
        <v>99</v>
      </c>
      <c r="E184" s="79">
        <v>21090.0</v>
      </c>
      <c r="F184" s="219">
        <v>23.0</v>
      </c>
      <c r="G184" s="220">
        <f t="shared" si="2"/>
        <v>485070</v>
      </c>
      <c r="H184" s="96"/>
      <c r="I184" s="96"/>
      <c r="J184" s="234" t="s">
        <v>92</v>
      </c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</row>
    <row r="185">
      <c r="A185" s="50"/>
      <c r="B185" s="50"/>
      <c r="C185" s="50"/>
      <c r="D185" s="78" t="s">
        <v>99</v>
      </c>
      <c r="E185" s="79">
        <v>24420.0</v>
      </c>
      <c r="F185" s="219">
        <v>30.0</v>
      </c>
      <c r="G185" s="220">
        <f t="shared" si="2"/>
        <v>732600</v>
      </c>
      <c r="H185" s="96"/>
      <c r="I185" s="96"/>
      <c r="J185" s="234" t="s">
        <v>110</v>
      </c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</row>
    <row r="186">
      <c r="A186" s="96">
        <v>40.0</v>
      </c>
      <c r="B186" s="58"/>
      <c r="C186" s="58" t="s">
        <v>259</v>
      </c>
      <c r="D186" s="78" t="s">
        <v>99</v>
      </c>
      <c r="E186" s="79">
        <v>9990.0</v>
      </c>
      <c r="F186" s="219">
        <v>40.0</v>
      </c>
      <c r="G186" s="220">
        <f t="shared" si="2"/>
        <v>399600</v>
      </c>
      <c r="H186" s="96"/>
      <c r="I186" s="96"/>
      <c r="J186" s="234" t="s">
        <v>97</v>
      </c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</row>
    <row r="187" ht="23.25" customHeight="1">
      <c r="A187" s="223" t="s">
        <v>333</v>
      </c>
      <c r="B187" s="10"/>
      <c r="C187" s="10"/>
      <c r="D187" s="10"/>
      <c r="E187" s="10"/>
      <c r="F187" s="14"/>
      <c r="G187" s="224">
        <f>SUM(G135:G186)</f>
        <v>68812210</v>
      </c>
      <c r="H187" s="225"/>
      <c r="I187" s="225"/>
      <c r="J187" s="225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</row>
    <row r="189">
      <c r="A189" s="115"/>
      <c r="B189" s="115"/>
      <c r="C189" s="115"/>
      <c r="D189" s="115"/>
      <c r="E189" s="115"/>
      <c r="F189" s="115"/>
      <c r="G189" s="115"/>
      <c r="H189" s="115"/>
      <c r="I189" s="226" t="s">
        <v>363</v>
      </c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</row>
    <row r="190">
      <c r="A190" s="115"/>
      <c r="B190" s="115"/>
      <c r="C190" s="115"/>
      <c r="D190" s="227"/>
      <c r="E190" s="115"/>
      <c r="F190" s="115"/>
      <c r="G190" s="115"/>
      <c r="H190" s="115"/>
      <c r="I190" s="115"/>
      <c r="J190" s="115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</row>
    <row r="191">
      <c r="A191" s="115"/>
      <c r="B191" s="115"/>
      <c r="C191" s="228" t="s">
        <v>364</v>
      </c>
      <c r="D191" s="227"/>
      <c r="E191" s="115"/>
      <c r="F191" s="115"/>
      <c r="G191" s="115"/>
      <c r="H191" s="228" t="s">
        <v>365</v>
      </c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</row>
    <row r="192">
      <c r="A192" s="115"/>
      <c r="B192" s="115"/>
      <c r="C192" s="228" t="s">
        <v>366</v>
      </c>
      <c r="D192" s="227"/>
      <c r="E192" s="115"/>
      <c r="F192" s="115"/>
      <c r="G192" s="115"/>
      <c r="H192" s="227"/>
      <c r="I192" s="227"/>
      <c r="J192" s="227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</row>
    <row r="193">
      <c r="A193" s="115"/>
      <c r="B193" s="227"/>
      <c r="C193" s="228" t="s">
        <v>367</v>
      </c>
      <c r="D193" s="227"/>
      <c r="E193" s="115"/>
      <c r="F193" s="115"/>
      <c r="G193" s="115"/>
      <c r="H193" s="227"/>
      <c r="I193" s="227"/>
      <c r="J193" s="227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</row>
    <row r="194">
      <c r="A194" s="115"/>
      <c r="B194" s="227"/>
      <c r="C194" s="227"/>
      <c r="D194" s="227"/>
      <c r="E194" s="115"/>
      <c r="F194" s="115"/>
      <c r="G194" s="115"/>
      <c r="H194" s="227"/>
      <c r="I194" s="227"/>
      <c r="J194" s="227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</row>
    <row r="195">
      <c r="A195" s="115"/>
      <c r="B195" s="227"/>
      <c r="C195" s="227"/>
      <c r="D195" s="227"/>
      <c r="E195" s="115"/>
      <c r="F195" s="115"/>
      <c r="G195" s="115"/>
      <c r="H195" s="227"/>
      <c r="I195" s="227"/>
      <c r="J195" s="227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</row>
    <row r="196">
      <c r="A196" s="115"/>
      <c r="B196" s="227"/>
      <c r="C196" s="227"/>
      <c r="D196" s="227"/>
      <c r="E196" s="115"/>
      <c r="F196" s="115"/>
      <c r="G196" s="115"/>
      <c r="H196" s="115"/>
      <c r="I196" s="115"/>
      <c r="J196" s="115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</row>
    <row r="197">
      <c r="A197" s="115"/>
      <c r="B197" s="229" t="s">
        <v>368</v>
      </c>
      <c r="E197" s="115"/>
      <c r="F197" s="115"/>
      <c r="G197" s="115"/>
      <c r="H197" s="230"/>
      <c r="I197" s="231" t="s">
        <v>369</v>
      </c>
      <c r="J197" s="230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</row>
    <row r="198">
      <c r="A198" s="115"/>
      <c r="B198" s="229" t="s">
        <v>370</v>
      </c>
      <c r="E198" s="115"/>
      <c r="F198" s="115"/>
      <c r="G198" s="115"/>
      <c r="H198" s="230"/>
      <c r="I198" s="231" t="s">
        <v>371</v>
      </c>
      <c r="J198" s="230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</row>
    <row r="202">
      <c r="A202" s="210" t="s">
        <v>374</v>
      </c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</row>
    <row r="203">
      <c r="A203" s="211" t="s">
        <v>12</v>
      </c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</row>
    <row r="204">
      <c r="A204" s="211" t="s">
        <v>347</v>
      </c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</row>
    <row r="205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</row>
    <row r="206">
      <c r="A206" s="213" t="s">
        <v>348</v>
      </c>
      <c r="B206" s="214" t="s">
        <v>349</v>
      </c>
      <c r="C206" s="214" t="s">
        <v>350</v>
      </c>
      <c r="D206" s="214" t="s">
        <v>7</v>
      </c>
      <c r="E206" s="214" t="s">
        <v>351</v>
      </c>
      <c r="F206" s="215" t="s">
        <v>352</v>
      </c>
      <c r="G206" s="30"/>
      <c r="H206" s="215" t="s">
        <v>353</v>
      </c>
      <c r="I206" s="30"/>
      <c r="J206" s="214" t="s">
        <v>354</v>
      </c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</row>
    <row r="207">
      <c r="A207" s="50"/>
      <c r="B207" s="30"/>
      <c r="C207" s="30"/>
      <c r="D207" s="30"/>
      <c r="E207" s="30"/>
      <c r="F207" s="216" t="s">
        <v>355</v>
      </c>
      <c r="G207" s="216" t="s">
        <v>356</v>
      </c>
      <c r="H207" s="216" t="s">
        <v>355</v>
      </c>
      <c r="I207" s="216" t="s">
        <v>356</v>
      </c>
      <c r="J207" s="30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</row>
    <row r="208">
      <c r="A208" s="218">
        <v>1.0</v>
      </c>
      <c r="B208" s="218">
        <v>2.0</v>
      </c>
      <c r="C208" s="218">
        <v>3.0</v>
      </c>
      <c r="D208" s="218">
        <v>4.0</v>
      </c>
      <c r="E208" s="218">
        <v>5.0</v>
      </c>
      <c r="F208" s="218">
        <v>6.0</v>
      </c>
      <c r="G208" s="218">
        <v>7.0</v>
      </c>
      <c r="H208" s="218">
        <v>8.0</v>
      </c>
      <c r="I208" s="218">
        <v>9.0</v>
      </c>
      <c r="J208" s="218">
        <v>10.0</v>
      </c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</row>
    <row r="209">
      <c r="A209" s="96">
        <v>1.0</v>
      </c>
      <c r="B209" s="58"/>
      <c r="C209" s="58" t="s">
        <v>375</v>
      </c>
      <c r="D209" s="78" t="s">
        <v>249</v>
      </c>
      <c r="E209" s="79">
        <v>3219.0</v>
      </c>
      <c r="F209" s="219">
        <v>0.0</v>
      </c>
      <c r="G209" s="237">
        <f t="shared" ref="G209:G225" si="3">E209*F209</f>
        <v>0</v>
      </c>
      <c r="H209" s="96"/>
      <c r="I209" s="96"/>
      <c r="J209" s="234" t="s">
        <v>92</v>
      </c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</row>
    <row r="210">
      <c r="A210" s="96">
        <v>2.0</v>
      </c>
      <c r="B210" s="58"/>
      <c r="C210" s="58" t="s">
        <v>376</v>
      </c>
      <c r="D210" s="78" t="s">
        <v>91</v>
      </c>
      <c r="E210" s="79">
        <v>16428.0</v>
      </c>
      <c r="F210" s="219">
        <v>0.0</v>
      </c>
      <c r="G210" s="237">
        <f t="shared" si="3"/>
        <v>0</v>
      </c>
      <c r="H210" s="96"/>
      <c r="I210" s="96"/>
      <c r="J210" s="234" t="s">
        <v>92</v>
      </c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</row>
    <row r="211">
      <c r="A211" s="96">
        <v>3.0</v>
      </c>
      <c r="B211" s="58"/>
      <c r="C211" s="58" t="s">
        <v>377</v>
      </c>
      <c r="D211" s="78" t="s">
        <v>91</v>
      </c>
      <c r="E211" s="79">
        <v>16428.0</v>
      </c>
      <c r="F211" s="219">
        <v>0.0</v>
      </c>
      <c r="G211" s="237">
        <f t="shared" si="3"/>
        <v>0</v>
      </c>
      <c r="H211" s="96"/>
      <c r="I211" s="96"/>
      <c r="J211" s="234" t="s">
        <v>92</v>
      </c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</row>
    <row r="212">
      <c r="A212" s="96">
        <v>4.0</v>
      </c>
      <c r="B212" s="58"/>
      <c r="C212" s="58" t="s">
        <v>263</v>
      </c>
      <c r="D212" s="78" t="s">
        <v>121</v>
      </c>
      <c r="E212" s="79">
        <v>900.0</v>
      </c>
      <c r="F212" s="219">
        <v>0.0</v>
      </c>
      <c r="G212" s="237">
        <f t="shared" si="3"/>
        <v>0</v>
      </c>
      <c r="H212" s="96"/>
      <c r="I212" s="96"/>
      <c r="J212" s="234" t="s">
        <v>110</v>
      </c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</row>
    <row r="213">
      <c r="A213" s="96">
        <v>5.0</v>
      </c>
      <c r="B213" s="58"/>
      <c r="C213" s="58" t="s">
        <v>378</v>
      </c>
      <c r="D213" s="92" t="s">
        <v>84</v>
      </c>
      <c r="E213" s="79">
        <v>957.0</v>
      </c>
      <c r="F213" s="219">
        <v>0.0</v>
      </c>
      <c r="G213" s="237">
        <f t="shared" si="3"/>
        <v>0</v>
      </c>
      <c r="H213" s="96"/>
      <c r="I213" s="96"/>
      <c r="J213" s="60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</row>
    <row r="214">
      <c r="A214" s="76">
        <v>6.0</v>
      </c>
      <c r="B214" s="77"/>
      <c r="C214" s="77" t="s">
        <v>264</v>
      </c>
      <c r="D214" s="78" t="s">
        <v>249</v>
      </c>
      <c r="E214" s="79">
        <v>2640.0</v>
      </c>
      <c r="F214" s="219">
        <v>800.0</v>
      </c>
      <c r="G214" s="237">
        <f t="shared" si="3"/>
        <v>2112000</v>
      </c>
      <c r="H214" s="96"/>
      <c r="I214" s="96"/>
      <c r="J214" s="60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</row>
    <row r="215">
      <c r="A215" s="50"/>
      <c r="B215" s="50"/>
      <c r="C215" s="50"/>
      <c r="D215" s="78" t="s">
        <v>249</v>
      </c>
      <c r="E215" s="79">
        <v>3219.0</v>
      </c>
      <c r="F215" s="219">
        <v>1980.0</v>
      </c>
      <c r="G215" s="237">
        <f t="shared" si="3"/>
        <v>6373620</v>
      </c>
      <c r="H215" s="96"/>
      <c r="I215" s="96"/>
      <c r="J215" s="234" t="s">
        <v>92</v>
      </c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</row>
    <row r="216">
      <c r="A216" s="96">
        <v>7.0</v>
      </c>
      <c r="B216" s="58"/>
      <c r="C216" s="58" t="s">
        <v>265</v>
      </c>
      <c r="D216" s="78" t="s">
        <v>121</v>
      </c>
      <c r="E216" s="79">
        <v>383.0</v>
      </c>
      <c r="F216" s="219">
        <v>0.0</v>
      </c>
      <c r="G216" s="237">
        <f t="shared" si="3"/>
        <v>0</v>
      </c>
      <c r="H216" s="96"/>
      <c r="I216" s="96"/>
      <c r="J216" s="234" t="s">
        <v>92</v>
      </c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</row>
    <row r="217">
      <c r="A217" s="96">
        <v>8.0</v>
      </c>
      <c r="B217" s="58"/>
      <c r="C217" s="58" t="s">
        <v>266</v>
      </c>
      <c r="D217" s="78" t="s">
        <v>121</v>
      </c>
      <c r="E217" s="79">
        <v>300.0</v>
      </c>
      <c r="F217" s="219">
        <v>0.0</v>
      </c>
      <c r="G217" s="237">
        <f t="shared" si="3"/>
        <v>0</v>
      </c>
      <c r="H217" s="96"/>
      <c r="I217" s="96"/>
      <c r="J217" s="234" t="s">
        <v>92</v>
      </c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</row>
    <row r="218">
      <c r="A218" s="96">
        <v>9.0</v>
      </c>
      <c r="B218" s="58"/>
      <c r="C218" s="58" t="s">
        <v>267</v>
      </c>
      <c r="D218" s="78" t="s">
        <v>121</v>
      </c>
      <c r="E218" s="79">
        <v>350.0</v>
      </c>
      <c r="F218" s="219">
        <v>0.0</v>
      </c>
      <c r="G218" s="237">
        <f t="shared" si="3"/>
        <v>0</v>
      </c>
      <c r="H218" s="96"/>
      <c r="I218" s="96"/>
      <c r="J218" s="234" t="s">
        <v>110</v>
      </c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</row>
    <row r="219">
      <c r="A219" s="96">
        <v>10.0</v>
      </c>
      <c r="B219" s="58"/>
      <c r="C219" s="58" t="s">
        <v>268</v>
      </c>
      <c r="D219" s="78" t="s">
        <v>121</v>
      </c>
      <c r="E219" s="79">
        <v>247.5</v>
      </c>
      <c r="F219" s="219">
        <v>0.0</v>
      </c>
      <c r="G219" s="237">
        <f t="shared" si="3"/>
        <v>0</v>
      </c>
      <c r="H219" s="96"/>
      <c r="I219" s="96"/>
      <c r="J219" s="60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</row>
    <row r="220">
      <c r="A220" s="96">
        <v>11.0</v>
      </c>
      <c r="B220" s="58"/>
      <c r="C220" s="58" t="s">
        <v>269</v>
      </c>
      <c r="D220" s="78" t="s">
        <v>121</v>
      </c>
      <c r="E220" s="79">
        <v>350.0</v>
      </c>
      <c r="F220" s="219">
        <v>0.0</v>
      </c>
      <c r="G220" s="237">
        <f t="shared" si="3"/>
        <v>0</v>
      </c>
      <c r="H220" s="96"/>
      <c r="I220" s="96"/>
      <c r="J220" s="61" t="s">
        <v>379</v>
      </c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</row>
    <row r="221">
      <c r="A221" s="96">
        <v>12.0</v>
      </c>
      <c r="B221" s="58"/>
      <c r="C221" s="58" t="s">
        <v>270</v>
      </c>
      <c r="D221" s="78" t="s">
        <v>249</v>
      </c>
      <c r="E221" s="120">
        <v>25000.0</v>
      </c>
      <c r="F221" s="219">
        <v>0.0</v>
      </c>
      <c r="G221" s="237">
        <f t="shared" si="3"/>
        <v>0</v>
      </c>
      <c r="H221" s="96"/>
      <c r="I221" s="96"/>
      <c r="J221" s="234" t="s">
        <v>110</v>
      </c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</row>
    <row r="222">
      <c r="A222" s="96">
        <v>13.0</v>
      </c>
      <c r="B222" s="58"/>
      <c r="C222" s="58" t="s">
        <v>271</v>
      </c>
      <c r="D222" s="78" t="s">
        <v>249</v>
      </c>
      <c r="E222" s="120">
        <v>27750.0</v>
      </c>
      <c r="F222" s="219">
        <v>0.0</v>
      </c>
      <c r="G222" s="237">
        <f t="shared" si="3"/>
        <v>0</v>
      </c>
      <c r="H222" s="96"/>
      <c r="I222" s="96"/>
      <c r="J222" s="234" t="s">
        <v>110</v>
      </c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</row>
    <row r="223">
      <c r="A223" s="96">
        <v>14.0</v>
      </c>
      <c r="B223" s="58"/>
      <c r="C223" s="58" t="s">
        <v>380</v>
      </c>
      <c r="D223" s="92" t="s">
        <v>114</v>
      </c>
      <c r="E223" s="79">
        <v>16500.0</v>
      </c>
      <c r="F223" s="219">
        <v>0.0</v>
      </c>
      <c r="G223" s="237">
        <f t="shared" si="3"/>
        <v>0</v>
      </c>
      <c r="H223" s="96"/>
      <c r="I223" s="96"/>
      <c r="J223" s="60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</row>
    <row r="224">
      <c r="A224" s="96">
        <v>15.0</v>
      </c>
      <c r="B224" s="58"/>
      <c r="C224" s="58" t="s">
        <v>272</v>
      </c>
      <c r="D224" s="92" t="s">
        <v>114</v>
      </c>
      <c r="E224" s="79">
        <v>12100.0</v>
      </c>
      <c r="F224" s="219">
        <v>130.0</v>
      </c>
      <c r="G224" s="237">
        <f t="shared" si="3"/>
        <v>1573000</v>
      </c>
      <c r="H224" s="96"/>
      <c r="I224" s="96"/>
      <c r="J224" s="60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</row>
    <row r="225">
      <c r="A225" s="96">
        <v>16.0</v>
      </c>
      <c r="B225" s="58"/>
      <c r="C225" s="58" t="s">
        <v>273</v>
      </c>
      <c r="D225" s="92" t="s">
        <v>114</v>
      </c>
      <c r="E225" s="79">
        <v>30800.0</v>
      </c>
      <c r="F225" s="219">
        <v>73.0</v>
      </c>
      <c r="G225" s="237">
        <f t="shared" si="3"/>
        <v>2248400</v>
      </c>
      <c r="H225" s="96"/>
      <c r="I225" s="96"/>
      <c r="J225" s="60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</row>
    <row r="226" ht="24.0" customHeight="1">
      <c r="A226" s="223" t="s">
        <v>333</v>
      </c>
      <c r="B226" s="10"/>
      <c r="C226" s="10"/>
      <c r="D226" s="10"/>
      <c r="E226" s="10"/>
      <c r="F226" s="14"/>
      <c r="G226" s="238">
        <f>SUM(G209:G225)</f>
        <v>12307020</v>
      </c>
      <c r="H226" s="225"/>
      <c r="I226" s="225"/>
      <c r="J226" s="225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</row>
    <row r="228">
      <c r="A228" s="115"/>
      <c r="B228" s="115"/>
      <c r="C228" s="115"/>
      <c r="D228" s="115"/>
      <c r="E228" s="115"/>
      <c r="F228" s="115"/>
      <c r="G228" s="115"/>
      <c r="H228" s="115"/>
      <c r="I228" s="226" t="s">
        <v>363</v>
      </c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</row>
    <row r="229">
      <c r="A229" s="115"/>
      <c r="B229" s="115"/>
      <c r="C229" s="115"/>
      <c r="D229" s="227"/>
      <c r="E229" s="115"/>
      <c r="F229" s="115"/>
      <c r="G229" s="115"/>
      <c r="H229" s="115"/>
      <c r="I229" s="115"/>
      <c r="J229" s="115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</row>
    <row r="230">
      <c r="A230" s="115"/>
      <c r="B230" s="115"/>
      <c r="C230" s="228" t="s">
        <v>364</v>
      </c>
      <c r="D230" s="227"/>
      <c r="E230" s="115"/>
      <c r="F230" s="115"/>
      <c r="G230" s="115"/>
      <c r="H230" s="228" t="s">
        <v>365</v>
      </c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</row>
    <row r="231">
      <c r="A231" s="115"/>
      <c r="B231" s="115"/>
      <c r="C231" s="228" t="s">
        <v>366</v>
      </c>
      <c r="D231" s="227"/>
      <c r="E231" s="115"/>
      <c r="F231" s="115"/>
      <c r="G231" s="115"/>
      <c r="H231" s="227"/>
      <c r="I231" s="227"/>
      <c r="J231" s="227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</row>
    <row r="232">
      <c r="A232" s="115"/>
      <c r="B232" s="227"/>
      <c r="C232" s="228" t="s">
        <v>367</v>
      </c>
      <c r="D232" s="227"/>
      <c r="E232" s="115"/>
      <c r="F232" s="115"/>
      <c r="G232" s="115"/>
      <c r="H232" s="227"/>
      <c r="I232" s="227"/>
      <c r="J232" s="227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</row>
    <row r="233">
      <c r="A233" s="115"/>
      <c r="B233" s="227"/>
      <c r="C233" s="227"/>
      <c r="D233" s="227"/>
      <c r="E233" s="115"/>
      <c r="F233" s="115"/>
      <c r="G233" s="115"/>
      <c r="H233" s="227"/>
      <c r="I233" s="227"/>
      <c r="J233" s="227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</row>
    <row r="234">
      <c r="A234" s="115"/>
      <c r="B234" s="227"/>
      <c r="C234" s="227"/>
      <c r="D234" s="227"/>
      <c r="E234" s="115"/>
      <c r="F234" s="115"/>
      <c r="G234" s="115"/>
      <c r="H234" s="227"/>
      <c r="I234" s="227"/>
      <c r="J234" s="227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</row>
    <row r="235">
      <c r="A235" s="115"/>
      <c r="B235" s="227"/>
      <c r="C235" s="227"/>
      <c r="D235" s="227"/>
      <c r="E235" s="115"/>
      <c r="F235" s="115"/>
      <c r="G235" s="115"/>
      <c r="H235" s="115"/>
      <c r="I235" s="115"/>
      <c r="J235" s="115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</row>
    <row r="236">
      <c r="A236" s="115"/>
      <c r="B236" s="229" t="s">
        <v>368</v>
      </c>
      <c r="E236" s="115"/>
      <c r="F236" s="115"/>
      <c r="G236" s="115"/>
      <c r="H236" s="230"/>
      <c r="I236" s="231" t="s">
        <v>369</v>
      </c>
      <c r="J236" s="230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</row>
    <row r="237">
      <c r="A237" s="115"/>
      <c r="B237" s="229" t="s">
        <v>370</v>
      </c>
      <c r="E237" s="115"/>
      <c r="F237" s="115"/>
      <c r="G237" s="115"/>
      <c r="H237" s="230"/>
      <c r="I237" s="231" t="s">
        <v>371</v>
      </c>
      <c r="J237" s="230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</row>
    <row r="242">
      <c r="A242" s="210" t="s">
        <v>381</v>
      </c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</row>
    <row r="243">
      <c r="A243" s="211" t="s">
        <v>12</v>
      </c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</row>
    <row r="244">
      <c r="A244" s="211" t="s">
        <v>347</v>
      </c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</row>
    <row r="245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</row>
    <row r="246">
      <c r="A246" s="213" t="s">
        <v>348</v>
      </c>
      <c r="B246" s="214" t="s">
        <v>349</v>
      </c>
      <c r="C246" s="214" t="s">
        <v>350</v>
      </c>
      <c r="D246" s="214" t="s">
        <v>7</v>
      </c>
      <c r="E246" s="214" t="s">
        <v>351</v>
      </c>
      <c r="F246" s="215" t="s">
        <v>352</v>
      </c>
      <c r="G246" s="30"/>
      <c r="H246" s="215" t="s">
        <v>353</v>
      </c>
      <c r="I246" s="30"/>
      <c r="J246" s="214" t="s">
        <v>354</v>
      </c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</row>
    <row r="247">
      <c r="A247" s="50"/>
      <c r="B247" s="30"/>
      <c r="C247" s="30"/>
      <c r="D247" s="30"/>
      <c r="E247" s="30"/>
      <c r="F247" s="216" t="s">
        <v>355</v>
      </c>
      <c r="G247" s="216" t="s">
        <v>356</v>
      </c>
      <c r="H247" s="216" t="s">
        <v>355</v>
      </c>
      <c r="I247" s="216" t="s">
        <v>356</v>
      </c>
      <c r="J247" s="30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</row>
    <row r="248">
      <c r="A248" s="232">
        <v>1.0</v>
      </c>
      <c r="B248" s="233">
        <v>2.0</v>
      </c>
      <c r="C248" s="233">
        <v>3.0</v>
      </c>
      <c r="D248" s="233">
        <v>4.0</v>
      </c>
      <c r="E248" s="233">
        <v>5.0</v>
      </c>
      <c r="F248" s="233">
        <v>6.0</v>
      </c>
      <c r="G248" s="233">
        <v>7.0</v>
      </c>
      <c r="H248" s="233">
        <v>8.0</v>
      </c>
      <c r="I248" s="233">
        <v>9.0</v>
      </c>
      <c r="J248" s="233">
        <v>10.0</v>
      </c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</row>
    <row r="249">
      <c r="A249" s="96">
        <v>1.0</v>
      </c>
      <c r="B249" s="100"/>
      <c r="C249" s="100" t="s">
        <v>277</v>
      </c>
      <c r="D249" s="78" t="s">
        <v>126</v>
      </c>
      <c r="E249" s="79">
        <v>49950.0</v>
      </c>
      <c r="F249" s="239">
        <v>2.0</v>
      </c>
      <c r="G249" s="240">
        <f t="shared" ref="G249:G293" si="4">E249*F249</f>
        <v>99900</v>
      </c>
      <c r="H249" s="96"/>
      <c r="I249" s="96"/>
      <c r="J249" s="234" t="s">
        <v>110</v>
      </c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</row>
    <row r="250">
      <c r="A250" s="96">
        <v>2.0</v>
      </c>
      <c r="B250" s="58"/>
      <c r="C250" s="58" t="s">
        <v>279</v>
      </c>
      <c r="D250" s="78" t="s">
        <v>126</v>
      </c>
      <c r="E250" s="79">
        <v>57000.0</v>
      </c>
      <c r="F250" s="239">
        <v>2.0</v>
      </c>
      <c r="G250" s="240">
        <f t="shared" si="4"/>
        <v>114000</v>
      </c>
      <c r="H250" s="96"/>
      <c r="I250" s="96"/>
      <c r="J250" s="234" t="s">
        <v>110</v>
      </c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</row>
    <row r="251">
      <c r="A251" s="96">
        <v>3.0</v>
      </c>
      <c r="B251" s="58"/>
      <c r="C251" s="58" t="s">
        <v>282</v>
      </c>
      <c r="D251" s="78" t="s">
        <v>96</v>
      </c>
      <c r="E251" s="79">
        <v>7215.0</v>
      </c>
      <c r="F251" s="239">
        <v>0.0</v>
      </c>
      <c r="G251" s="240">
        <f t="shared" si="4"/>
        <v>0</v>
      </c>
      <c r="H251" s="96"/>
      <c r="I251" s="96"/>
      <c r="J251" s="234" t="s">
        <v>92</v>
      </c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</row>
    <row r="252">
      <c r="A252" s="96">
        <v>4.0</v>
      </c>
      <c r="B252" s="58"/>
      <c r="C252" s="58" t="s">
        <v>283</v>
      </c>
      <c r="D252" s="78" t="s">
        <v>96</v>
      </c>
      <c r="E252" s="79">
        <v>32555.6</v>
      </c>
      <c r="F252" s="239">
        <v>0.0</v>
      </c>
      <c r="G252" s="240">
        <f t="shared" si="4"/>
        <v>0</v>
      </c>
      <c r="H252" s="96"/>
      <c r="I252" s="96"/>
      <c r="J252" s="60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</row>
    <row r="253">
      <c r="A253" s="76">
        <v>5.0</v>
      </c>
      <c r="B253" s="77"/>
      <c r="C253" s="77" t="s">
        <v>285</v>
      </c>
      <c r="D253" s="78" t="s">
        <v>141</v>
      </c>
      <c r="E253" s="79">
        <v>18000.0</v>
      </c>
      <c r="F253" s="239">
        <v>0.0</v>
      </c>
      <c r="G253" s="240">
        <f t="shared" si="4"/>
        <v>0</v>
      </c>
      <c r="H253" s="96"/>
      <c r="I253" s="96"/>
      <c r="J253" s="234" t="s">
        <v>110</v>
      </c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</row>
    <row r="254">
      <c r="A254" s="50"/>
      <c r="B254" s="50"/>
      <c r="C254" s="50"/>
      <c r="D254" s="78" t="s">
        <v>141</v>
      </c>
      <c r="E254" s="79">
        <v>18000.0</v>
      </c>
      <c r="F254" s="239">
        <v>13.0</v>
      </c>
      <c r="G254" s="240">
        <f t="shared" si="4"/>
        <v>234000</v>
      </c>
      <c r="H254" s="96"/>
      <c r="I254" s="96"/>
      <c r="J254" s="241" t="s">
        <v>144</v>
      </c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</row>
    <row r="255">
      <c r="A255" s="76">
        <v>6.0</v>
      </c>
      <c r="B255" s="77"/>
      <c r="C255" s="77" t="s">
        <v>287</v>
      </c>
      <c r="D255" s="78" t="s">
        <v>141</v>
      </c>
      <c r="E255" s="79">
        <v>18000.0</v>
      </c>
      <c r="F255" s="239">
        <v>0.0</v>
      </c>
      <c r="G255" s="240">
        <f t="shared" si="4"/>
        <v>0</v>
      </c>
      <c r="H255" s="96"/>
      <c r="I255" s="96"/>
      <c r="J255" s="234" t="s">
        <v>110</v>
      </c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</row>
    <row r="256">
      <c r="A256" s="50"/>
      <c r="B256" s="50"/>
      <c r="C256" s="50"/>
      <c r="D256" s="78" t="s">
        <v>141</v>
      </c>
      <c r="E256" s="79">
        <v>18000.0</v>
      </c>
      <c r="F256" s="239">
        <v>30.0</v>
      </c>
      <c r="G256" s="240">
        <f t="shared" si="4"/>
        <v>540000</v>
      </c>
      <c r="H256" s="96"/>
      <c r="I256" s="96"/>
      <c r="J256" s="241" t="s">
        <v>144</v>
      </c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</row>
    <row r="257">
      <c r="A257" s="96">
        <v>7.0</v>
      </c>
      <c r="B257" s="100"/>
      <c r="C257" s="100" t="s">
        <v>289</v>
      </c>
      <c r="D257" s="78" t="s">
        <v>96</v>
      </c>
      <c r="E257" s="79">
        <v>7215.0</v>
      </c>
      <c r="F257" s="239">
        <v>0.0</v>
      </c>
      <c r="G257" s="240">
        <f t="shared" si="4"/>
        <v>0</v>
      </c>
      <c r="H257" s="96"/>
      <c r="I257" s="96"/>
      <c r="J257" s="234" t="s">
        <v>110</v>
      </c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</row>
    <row r="258">
      <c r="A258" s="96">
        <v>8.0</v>
      </c>
      <c r="B258" s="58"/>
      <c r="C258" s="58" t="s">
        <v>290</v>
      </c>
      <c r="D258" s="78" t="s">
        <v>96</v>
      </c>
      <c r="E258" s="79">
        <v>7770.0</v>
      </c>
      <c r="F258" s="239">
        <v>0.0</v>
      </c>
      <c r="G258" s="240">
        <f t="shared" si="4"/>
        <v>0</v>
      </c>
      <c r="H258" s="96"/>
      <c r="I258" s="96"/>
      <c r="J258" s="234" t="s">
        <v>92</v>
      </c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</row>
    <row r="259">
      <c r="A259" s="96">
        <v>9.0</v>
      </c>
      <c r="B259" s="58"/>
      <c r="C259" s="58" t="s">
        <v>382</v>
      </c>
      <c r="D259" s="78" t="s">
        <v>292</v>
      </c>
      <c r="E259" s="79">
        <v>49950.0</v>
      </c>
      <c r="F259" s="239">
        <v>0.0</v>
      </c>
      <c r="G259" s="240">
        <f t="shared" si="4"/>
        <v>0</v>
      </c>
      <c r="H259" s="96"/>
      <c r="I259" s="96"/>
      <c r="J259" s="234" t="s">
        <v>97</v>
      </c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</row>
    <row r="260">
      <c r="A260" s="76">
        <v>10.0</v>
      </c>
      <c r="B260" s="77"/>
      <c r="C260" s="77" t="s">
        <v>293</v>
      </c>
      <c r="D260" s="92" t="s">
        <v>96</v>
      </c>
      <c r="E260" s="79">
        <v>8325.0</v>
      </c>
      <c r="F260" s="239">
        <v>0.0</v>
      </c>
      <c r="G260" s="240">
        <f t="shared" si="4"/>
        <v>0</v>
      </c>
      <c r="H260" s="96"/>
      <c r="I260" s="96"/>
      <c r="J260" s="234" t="s">
        <v>97</v>
      </c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</row>
    <row r="261">
      <c r="A261" s="50"/>
      <c r="B261" s="50"/>
      <c r="C261" s="50"/>
      <c r="D261" s="78" t="s">
        <v>96</v>
      </c>
      <c r="E261" s="79">
        <v>8325.0</v>
      </c>
      <c r="F261" s="239">
        <v>2.0</v>
      </c>
      <c r="G261" s="240">
        <f t="shared" si="4"/>
        <v>16650</v>
      </c>
      <c r="H261" s="96"/>
      <c r="I261" s="96"/>
      <c r="J261" s="234" t="s">
        <v>110</v>
      </c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</row>
    <row r="262">
      <c r="A262" s="96">
        <v>11.0</v>
      </c>
      <c r="B262" s="58"/>
      <c r="C262" s="58" t="s">
        <v>294</v>
      </c>
      <c r="D262" s="78" t="s">
        <v>121</v>
      </c>
      <c r="E262" s="79">
        <v>133200.0</v>
      </c>
      <c r="F262" s="239">
        <v>9.0</v>
      </c>
      <c r="G262" s="240">
        <f t="shared" si="4"/>
        <v>1198800</v>
      </c>
      <c r="H262" s="96"/>
      <c r="I262" s="96"/>
      <c r="J262" s="234" t="s">
        <v>92</v>
      </c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</row>
    <row r="263">
      <c r="A263" s="96">
        <v>12.0</v>
      </c>
      <c r="B263" s="58"/>
      <c r="C263" s="58" t="s">
        <v>295</v>
      </c>
      <c r="D263" s="92" t="s">
        <v>292</v>
      </c>
      <c r="E263" s="79">
        <v>50000.0</v>
      </c>
      <c r="F263" s="239">
        <v>2.0</v>
      </c>
      <c r="G263" s="240">
        <f t="shared" si="4"/>
        <v>100000</v>
      </c>
      <c r="H263" s="96"/>
      <c r="I263" s="96"/>
      <c r="J263" s="234" t="s">
        <v>110</v>
      </c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</row>
    <row r="264">
      <c r="A264" s="76">
        <v>13.0</v>
      </c>
      <c r="B264" s="77"/>
      <c r="C264" s="77" t="s">
        <v>296</v>
      </c>
      <c r="D264" s="92" t="s">
        <v>91</v>
      </c>
      <c r="E264" s="79">
        <v>11100.0</v>
      </c>
      <c r="F264" s="239">
        <v>0.0</v>
      </c>
      <c r="G264" s="240">
        <f t="shared" si="4"/>
        <v>0</v>
      </c>
      <c r="H264" s="96"/>
      <c r="I264" s="96"/>
      <c r="J264" s="234" t="s">
        <v>97</v>
      </c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</row>
    <row r="265">
      <c r="A265" s="16"/>
      <c r="B265" s="16"/>
      <c r="C265" s="16"/>
      <c r="D265" s="78" t="s">
        <v>91</v>
      </c>
      <c r="E265" s="79">
        <v>11100.0</v>
      </c>
      <c r="F265" s="239">
        <v>0.0</v>
      </c>
      <c r="G265" s="240">
        <f t="shared" si="4"/>
        <v>0</v>
      </c>
      <c r="H265" s="96"/>
      <c r="I265" s="96"/>
      <c r="J265" s="234" t="s">
        <v>110</v>
      </c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</row>
    <row r="266">
      <c r="A266" s="16"/>
      <c r="B266" s="16"/>
      <c r="C266" s="16"/>
      <c r="D266" s="78" t="s">
        <v>91</v>
      </c>
      <c r="E266" s="79">
        <v>11000.0</v>
      </c>
      <c r="F266" s="239">
        <v>65.0</v>
      </c>
      <c r="G266" s="240">
        <f t="shared" si="4"/>
        <v>715000</v>
      </c>
      <c r="H266" s="96"/>
      <c r="I266" s="96"/>
      <c r="J266" s="234" t="s">
        <v>110</v>
      </c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</row>
    <row r="267">
      <c r="A267" s="50"/>
      <c r="B267" s="50"/>
      <c r="C267" s="50"/>
      <c r="D267" s="78" t="s">
        <v>91</v>
      </c>
      <c r="E267" s="79">
        <v>11000.0</v>
      </c>
      <c r="F267" s="239">
        <v>50.0</v>
      </c>
      <c r="G267" s="240">
        <f t="shared" si="4"/>
        <v>550000</v>
      </c>
      <c r="H267" s="96"/>
      <c r="I267" s="96"/>
      <c r="J267" s="241" t="s">
        <v>144</v>
      </c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</row>
    <row r="268">
      <c r="A268" s="96">
        <v>14.0</v>
      </c>
      <c r="B268" s="58"/>
      <c r="C268" s="58" t="s">
        <v>297</v>
      </c>
      <c r="D268" s="78" t="s">
        <v>91</v>
      </c>
      <c r="E268" s="79">
        <v>34410.0</v>
      </c>
      <c r="F268" s="239">
        <v>6.0</v>
      </c>
      <c r="G268" s="240">
        <f t="shared" si="4"/>
        <v>206460</v>
      </c>
      <c r="H268" s="96"/>
      <c r="I268" s="96"/>
      <c r="J268" s="234" t="s">
        <v>97</v>
      </c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</row>
    <row r="269">
      <c r="A269" s="96">
        <v>15.0</v>
      </c>
      <c r="B269" s="58"/>
      <c r="C269" s="58" t="s">
        <v>298</v>
      </c>
      <c r="D269" s="78" t="s">
        <v>121</v>
      </c>
      <c r="E269" s="79">
        <v>33300.0</v>
      </c>
      <c r="F269" s="239">
        <v>0.0</v>
      </c>
      <c r="G269" s="240">
        <f t="shared" si="4"/>
        <v>0</v>
      </c>
      <c r="H269" s="96"/>
      <c r="I269" s="96"/>
      <c r="J269" s="234" t="s">
        <v>92</v>
      </c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</row>
    <row r="270">
      <c r="A270" s="96">
        <v>16.0</v>
      </c>
      <c r="B270" s="58"/>
      <c r="C270" s="58" t="s">
        <v>299</v>
      </c>
      <c r="D270" s="78" t="s">
        <v>91</v>
      </c>
      <c r="E270" s="79">
        <v>20535.0</v>
      </c>
      <c r="F270" s="239">
        <v>29.0</v>
      </c>
      <c r="G270" s="240">
        <f t="shared" si="4"/>
        <v>595515</v>
      </c>
      <c r="H270" s="96"/>
      <c r="I270" s="96"/>
      <c r="J270" s="234" t="s">
        <v>92</v>
      </c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</row>
    <row r="271">
      <c r="A271" s="96">
        <v>17.0</v>
      </c>
      <c r="B271" s="58"/>
      <c r="C271" s="58" t="s">
        <v>300</v>
      </c>
      <c r="D271" s="78" t="s">
        <v>96</v>
      </c>
      <c r="E271" s="79">
        <v>216450.0</v>
      </c>
      <c r="F271" s="239">
        <v>2.0</v>
      </c>
      <c r="G271" s="240">
        <f t="shared" si="4"/>
        <v>432900</v>
      </c>
      <c r="H271" s="96"/>
      <c r="I271" s="96"/>
      <c r="J271" s="234" t="s">
        <v>97</v>
      </c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</row>
    <row r="272">
      <c r="A272" s="76">
        <v>18.0</v>
      </c>
      <c r="B272" s="77"/>
      <c r="C272" s="77" t="s">
        <v>301</v>
      </c>
      <c r="D272" s="78" t="s">
        <v>91</v>
      </c>
      <c r="E272" s="79">
        <v>24420.0</v>
      </c>
      <c r="F272" s="239">
        <v>0.0</v>
      </c>
      <c r="G272" s="240">
        <f t="shared" si="4"/>
        <v>0</v>
      </c>
      <c r="H272" s="96"/>
      <c r="I272" s="96"/>
      <c r="J272" s="234" t="s">
        <v>110</v>
      </c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</row>
    <row r="273">
      <c r="A273" s="16"/>
      <c r="B273" s="16"/>
      <c r="C273" s="16"/>
      <c r="D273" s="78" t="s">
        <v>91</v>
      </c>
      <c r="E273" s="79">
        <v>20000.0</v>
      </c>
      <c r="F273" s="239">
        <v>27.0</v>
      </c>
      <c r="G273" s="240">
        <f t="shared" si="4"/>
        <v>540000</v>
      </c>
      <c r="H273" s="96"/>
      <c r="I273" s="96"/>
      <c r="J273" s="60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</row>
    <row r="274">
      <c r="A274" s="50"/>
      <c r="B274" s="50"/>
      <c r="C274" s="50"/>
      <c r="D274" s="78" t="s">
        <v>91</v>
      </c>
      <c r="E274" s="79">
        <v>20000.0</v>
      </c>
      <c r="F274" s="239">
        <v>50.0</v>
      </c>
      <c r="G274" s="240">
        <f t="shared" si="4"/>
        <v>1000000</v>
      </c>
      <c r="H274" s="96"/>
      <c r="I274" s="96"/>
      <c r="J274" s="241" t="s">
        <v>144</v>
      </c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</row>
    <row r="275">
      <c r="A275" s="76">
        <v>19.0</v>
      </c>
      <c r="B275" s="77"/>
      <c r="C275" s="77" t="s">
        <v>303</v>
      </c>
      <c r="D275" s="78" t="s">
        <v>91</v>
      </c>
      <c r="E275" s="79">
        <v>25000.0</v>
      </c>
      <c r="F275" s="239">
        <v>73.0</v>
      </c>
      <c r="G275" s="240">
        <f t="shared" si="4"/>
        <v>1825000</v>
      </c>
      <c r="H275" s="96"/>
      <c r="I275" s="96"/>
      <c r="J275" s="234" t="s">
        <v>110</v>
      </c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</row>
    <row r="276">
      <c r="A276" s="50"/>
      <c r="B276" s="50"/>
      <c r="C276" s="50"/>
      <c r="D276" s="78" t="s">
        <v>91</v>
      </c>
      <c r="E276" s="79">
        <v>25000.0</v>
      </c>
      <c r="F276" s="239">
        <v>50.0</v>
      </c>
      <c r="G276" s="240">
        <f t="shared" si="4"/>
        <v>1250000</v>
      </c>
      <c r="H276" s="96"/>
      <c r="I276" s="96"/>
      <c r="J276" s="241" t="s">
        <v>144</v>
      </c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</row>
    <row r="277">
      <c r="A277" s="96">
        <v>20.0</v>
      </c>
      <c r="B277" s="58"/>
      <c r="C277" s="58" t="s">
        <v>304</v>
      </c>
      <c r="D277" s="78" t="s">
        <v>91</v>
      </c>
      <c r="E277" s="79">
        <v>11100.0</v>
      </c>
      <c r="F277" s="239">
        <v>144.0</v>
      </c>
      <c r="G277" s="240">
        <f t="shared" si="4"/>
        <v>1598400</v>
      </c>
      <c r="H277" s="96"/>
      <c r="I277" s="96"/>
      <c r="J277" s="234" t="s">
        <v>110</v>
      </c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</row>
    <row r="278">
      <c r="A278" s="96">
        <v>21.0</v>
      </c>
      <c r="B278" s="58"/>
      <c r="C278" s="58" t="s">
        <v>305</v>
      </c>
      <c r="D278" s="78" t="s">
        <v>306</v>
      </c>
      <c r="E278" s="79">
        <v>37740.0</v>
      </c>
      <c r="F278" s="239">
        <v>1.0</v>
      </c>
      <c r="G278" s="240">
        <f t="shared" si="4"/>
        <v>37740</v>
      </c>
      <c r="H278" s="96"/>
      <c r="I278" s="96"/>
      <c r="J278" s="234" t="s">
        <v>97</v>
      </c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</row>
    <row r="279">
      <c r="A279" s="76">
        <v>22.0</v>
      </c>
      <c r="B279" s="77"/>
      <c r="C279" s="77" t="s">
        <v>308</v>
      </c>
      <c r="D279" s="78" t="s">
        <v>309</v>
      </c>
      <c r="E279" s="79">
        <v>25000.0</v>
      </c>
      <c r="F279" s="239">
        <v>18.0</v>
      </c>
      <c r="G279" s="240">
        <f t="shared" si="4"/>
        <v>450000</v>
      </c>
      <c r="H279" s="96"/>
      <c r="I279" s="96"/>
      <c r="J279" s="234" t="s">
        <v>110</v>
      </c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</row>
    <row r="280">
      <c r="A280" s="50"/>
      <c r="B280" s="50"/>
      <c r="C280" s="50"/>
      <c r="D280" s="78" t="s">
        <v>309</v>
      </c>
      <c r="E280" s="79">
        <v>25000.0</v>
      </c>
      <c r="F280" s="239">
        <v>24.0</v>
      </c>
      <c r="G280" s="240">
        <f t="shared" si="4"/>
        <v>600000</v>
      </c>
      <c r="H280" s="96"/>
      <c r="I280" s="96"/>
      <c r="J280" s="241" t="s">
        <v>144</v>
      </c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</row>
    <row r="281">
      <c r="A281" s="76">
        <v>23.0</v>
      </c>
      <c r="B281" s="77"/>
      <c r="C281" s="77" t="s">
        <v>310</v>
      </c>
      <c r="D281" s="99" t="s">
        <v>91</v>
      </c>
      <c r="E281" s="79">
        <v>15000.0</v>
      </c>
      <c r="F281" s="239">
        <v>0.0</v>
      </c>
      <c r="G281" s="240">
        <f t="shared" si="4"/>
        <v>0</v>
      </c>
      <c r="H281" s="96"/>
      <c r="I281" s="96"/>
      <c r="J281" s="234" t="s">
        <v>110</v>
      </c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</row>
    <row r="282">
      <c r="A282" s="50"/>
      <c r="B282" s="50"/>
      <c r="C282" s="50"/>
      <c r="D282" s="99" t="s">
        <v>91</v>
      </c>
      <c r="E282" s="79">
        <v>15000.0</v>
      </c>
      <c r="F282" s="239">
        <v>13.0</v>
      </c>
      <c r="G282" s="240">
        <f t="shared" si="4"/>
        <v>195000</v>
      </c>
      <c r="H282" s="96"/>
      <c r="I282" s="96"/>
      <c r="J282" s="241" t="s">
        <v>144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</row>
    <row r="283">
      <c r="A283" s="96">
        <v>24.0</v>
      </c>
      <c r="B283" s="58"/>
      <c r="C283" s="58" t="s">
        <v>311</v>
      </c>
      <c r="D283" s="78" t="s">
        <v>121</v>
      </c>
      <c r="E283" s="79">
        <v>22200.0</v>
      </c>
      <c r="F283" s="239">
        <v>8.0</v>
      </c>
      <c r="G283" s="240">
        <f t="shared" si="4"/>
        <v>177600</v>
      </c>
      <c r="H283" s="96"/>
      <c r="I283" s="96"/>
      <c r="J283" s="234" t="s">
        <v>92</v>
      </c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</row>
    <row r="284">
      <c r="A284" s="96">
        <v>25.0</v>
      </c>
      <c r="B284" s="58"/>
      <c r="C284" s="58" t="s">
        <v>312</v>
      </c>
      <c r="D284" s="78" t="s">
        <v>121</v>
      </c>
      <c r="E284" s="79">
        <v>133200.0</v>
      </c>
      <c r="F284" s="239">
        <v>1.0</v>
      </c>
      <c r="G284" s="240">
        <f t="shared" si="4"/>
        <v>133200</v>
      </c>
      <c r="H284" s="96"/>
      <c r="I284" s="96"/>
      <c r="J284" s="234" t="s">
        <v>92</v>
      </c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</row>
    <row r="285">
      <c r="A285" s="96">
        <v>26.0</v>
      </c>
      <c r="B285" s="58"/>
      <c r="C285" s="58" t="s">
        <v>313</v>
      </c>
      <c r="D285" s="78" t="s">
        <v>121</v>
      </c>
      <c r="E285" s="79">
        <v>88800.0</v>
      </c>
      <c r="F285" s="239">
        <v>1.0</v>
      </c>
      <c r="G285" s="240">
        <f t="shared" si="4"/>
        <v>88800</v>
      </c>
      <c r="H285" s="96"/>
      <c r="I285" s="96"/>
      <c r="J285" s="234" t="s">
        <v>92</v>
      </c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</row>
    <row r="286">
      <c r="A286" s="96">
        <v>27.0</v>
      </c>
      <c r="B286" s="58"/>
      <c r="C286" s="58" t="s">
        <v>383</v>
      </c>
      <c r="D286" s="78" t="s">
        <v>121</v>
      </c>
      <c r="E286" s="79">
        <v>133200.0</v>
      </c>
      <c r="F286" s="239">
        <v>1.0</v>
      </c>
      <c r="G286" s="240">
        <f t="shared" si="4"/>
        <v>133200</v>
      </c>
      <c r="H286" s="96"/>
      <c r="I286" s="96"/>
      <c r="J286" s="234" t="s">
        <v>92</v>
      </c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</row>
    <row r="287">
      <c r="A287" s="96">
        <v>28.0</v>
      </c>
      <c r="B287" s="58"/>
      <c r="C287" s="58" t="s">
        <v>314</v>
      </c>
      <c r="D287" s="99" t="s">
        <v>114</v>
      </c>
      <c r="E287" s="79">
        <v>17205.0</v>
      </c>
      <c r="F287" s="239">
        <v>39.0</v>
      </c>
      <c r="G287" s="240">
        <f t="shared" si="4"/>
        <v>670995</v>
      </c>
      <c r="H287" s="96"/>
      <c r="I287" s="96"/>
      <c r="J287" s="234" t="s">
        <v>97</v>
      </c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</row>
    <row r="288">
      <c r="A288" s="76">
        <v>29.0</v>
      </c>
      <c r="B288" s="77"/>
      <c r="C288" s="77" t="s">
        <v>315</v>
      </c>
      <c r="D288" s="99" t="s">
        <v>114</v>
      </c>
      <c r="E288" s="79">
        <v>12000.0</v>
      </c>
      <c r="F288" s="239">
        <v>0.0</v>
      </c>
      <c r="G288" s="240">
        <f t="shared" si="4"/>
        <v>0</v>
      </c>
      <c r="H288" s="96"/>
      <c r="I288" s="96"/>
      <c r="J288" s="234" t="s">
        <v>110</v>
      </c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</row>
    <row r="289">
      <c r="A289" s="50"/>
      <c r="B289" s="50"/>
      <c r="C289" s="50"/>
      <c r="D289" s="99" t="s">
        <v>114</v>
      </c>
      <c r="E289" s="86">
        <v>10000.0</v>
      </c>
      <c r="F289" s="239">
        <v>23.0</v>
      </c>
      <c r="G289" s="240">
        <f t="shared" si="4"/>
        <v>230000</v>
      </c>
      <c r="H289" s="96"/>
      <c r="I289" s="96"/>
      <c r="J289" s="241" t="s">
        <v>144</v>
      </c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</row>
    <row r="290">
      <c r="A290" s="96">
        <v>30.0</v>
      </c>
      <c r="B290" s="58"/>
      <c r="C290" s="58" t="s">
        <v>384</v>
      </c>
      <c r="D290" s="99" t="s">
        <v>96</v>
      </c>
      <c r="E290" s="79">
        <v>149850.0</v>
      </c>
      <c r="F290" s="239">
        <v>0.0</v>
      </c>
      <c r="G290" s="240">
        <f t="shared" si="4"/>
        <v>0</v>
      </c>
      <c r="H290" s="96"/>
      <c r="I290" s="96"/>
      <c r="J290" s="234" t="s">
        <v>92</v>
      </c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</row>
    <row r="291">
      <c r="A291" s="76">
        <v>31.0</v>
      </c>
      <c r="B291" s="77"/>
      <c r="C291" s="77" t="s">
        <v>316</v>
      </c>
      <c r="D291" s="78" t="s">
        <v>105</v>
      </c>
      <c r="E291" s="79">
        <v>16650.0</v>
      </c>
      <c r="F291" s="239">
        <v>0.0</v>
      </c>
      <c r="G291" s="240">
        <f t="shared" si="4"/>
        <v>0</v>
      </c>
      <c r="H291" s="96"/>
      <c r="I291" s="96"/>
      <c r="J291" s="234" t="s">
        <v>97</v>
      </c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</row>
    <row r="292">
      <c r="A292" s="50"/>
      <c r="B292" s="50"/>
      <c r="C292" s="50"/>
      <c r="D292" s="78" t="s">
        <v>105</v>
      </c>
      <c r="E292" s="86">
        <v>15000.0</v>
      </c>
      <c r="F292" s="239">
        <v>45.0</v>
      </c>
      <c r="G292" s="240">
        <f t="shared" si="4"/>
        <v>675000</v>
      </c>
      <c r="H292" s="96"/>
      <c r="I292" s="96"/>
      <c r="J292" s="241" t="s">
        <v>144</v>
      </c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</row>
    <row r="293">
      <c r="A293" s="96">
        <v>32.0</v>
      </c>
      <c r="B293" s="58"/>
      <c r="C293" s="58" t="s">
        <v>317</v>
      </c>
      <c r="D293" s="78" t="s">
        <v>121</v>
      </c>
      <c r="E293" s="79">
        <v>30136.5</v>
      </c>
      <c r="F293" s="239">
        <v>2.0</v>
      </c>
      <c r="G293" s="240">
        <f t="shared" si="4"/>
        <v>60273</v>
      </c>
      <c r="H293" s="96"/>
      <c r="I293" s="96"/>
      <c r="J293" s="234" t="s">
        <v>110</v>
      </c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</row>
    <row r="294" ht="23.25" customHeight="1">
      <c r="A294" s="223" t="s">
        <v>333</v>
      </c>
      <c r="B294" s="10"/>
      <c r="C294" s="10"/>
      <c r="D294" s="10"/>
      <c r="E294" s="10"/>
      <c r="F294" s="14"/>
      <c r="G294" s="224">
        <f>SUM(G249:G293)</f>
        <v>14468433</v>
      </c>
      <c r="H294" s="225"/>
      <c r="I294" s="225"/>
      <c r="J294" s="225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</row>
    <row r="296">
      <c r="A296" s="115"/>
      <c r="B296" s="115"/>
      <c r="C296" s="115"/>
      <c r="D296" s="115"/>
      <c r="E296" s="115"/>
      <c r="F296" s="115"/>
      <c r="G296" s="115"/>
      <c r="H296" s="115"/>
      <c r="I296" s="226" t="s">
        <v>363</v>
      </c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</row>
    <row r="297">
      <c r="A297" s="115"/>
      <c r="B297" s="115"/>
      <c r="C297" s="115"/>
      <c r="D297" s="227"/>
      <c r="E297" s="115"/>
      <c r="F297" s="115"/>
      <c r="G297" s="115"/>
      <c r="H297" s="115"/>
      <c r="I297" s="115"/>
      <c r="J297" s="115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</row>
    <row r="298">
      <c r="A298" s="115"/>
      <c r="B298" s="115"/>
      <c r="C298" s="228" t="s">
        <v>364</v>
      </c>
      <c r="D298" s="227"/>
      <c r="E298" s="115"/>
      <c r="F298" s="115"/>
      <c r="G298" s="115"/>
      <c r="H298" s="228" t="s">
        <v>365</v>
      </c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</row>
    <row r="299">
      <c r="A299" s="115"/>
      <c r="B299" s="115"/>
      <c r="C299" s="228" t="s">
        <v>366</v>
      </c>
      <c r="D299" s="227"/>
      <c r="E299" s="115"/>
      <c r="F299" s="115"/>
      <c r="G299" s="115"/>
      <c r="H299" s="227"/>
      <c r="I299" s="227"/>
      <c r="J299" s="227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</row>
    <row r="300">
      <c r="A300" s="115"/>
      <c r="B300" s="227"/>
      <c r="C300" s="228" t="s">
        <v>367</v>
      </c>
      <c r="D300" s="227"/>
      <c r="E300" s="115"/>
      <c r="F300" s="115"/>
      <c r="G300" s="115"/>
      <c r="H300" s="227"/>
      <c r="I300" s="227"/>
      <c r="J300" s="227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</row>
    <row r="301">
      <c r="A301" s="115"/>
      <c r="B301" s="227"/>
      <c r="C301" s="227"/>
      <c r="D301" s="227"/>
      <c r="E301" s="115"/>
      <c r="F301" s="115"/>
      <c r="G301" s="115"/>
      <c r="H301" s="227"/>
      <c r="I301" s="227"/>
      <c r="J301" s="227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</row>
    <row r="302">
      <c r="A302" s="115"/>
      <c r="B302" s="227"/>
      <c r="C302" s="227"/>
      <c r="D302" s="227"/>
      <c r="E302" s="115"/>
      <c r="F302" s="115"/>
      <c r="G302" s="115"/>
      <c r="H302" s="227"/>
      <c r="I302" s="227"/>
      <c r="J302" s="227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</row>
    <row r="303">
      <c r="A303" s="115"/>
      <c r="B303" s="227"/>
      <c r="C303" s="227"/>
      <c r="D303" s="227"/>
      <c r="E303" s="115"/>
      <c r="F303" s="115"/>
      <c r="G303" s="115"/>
      <c r="H303" s="115"/>
      <c r="I303" s="115"/>
      <c r="J303" s="115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</row>
    <row r="304">
      <c r="A304" s="115"/>
      <c r="B304" s="229" t="s">
        <v>368</v>
      </c>
      <c r="E304" s="115"/>
      <c r="F304" s="115"/>
      <c r="G304" s="115"/>
      <c r="H304" s="230"/>
      <c r="I304" s="231" t="s">
        <v>369</v>
      </c>
      <c r="J304" s="230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</row>
    <row r="305">
      <c r="A305" s="115"/>
      <c r="B305" s="229" t="s">
        <v>370</v>
      </c>
      <c r="E305" s="115"/>
      <c r="F305" s="115"/>
      <c r="G305" s="115"/>
      <c r="H305" s="230"/>
      <c r="I305" s="231" t="s">
        <v>371</v>
      </c>
      <c r="J305" s="230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</row>
  </sheetData>
  <mergeCells count="190">
    <mergeCell ref="H5:I5"/>
    <mergeCell ref="J5:J6"/>
    <mergeCell ref="A1:J1"/>
    <mergeCell ref="A2:J2"/>
    <mergeCell ref="A3:J3"/>
    <mergeCell ref="A5:A6"/>
    <mergeCell ref="B5:B6"/>
    <mergeCell ref="C5:C6"/>
    <mergeCell ref="D5:D6"/>
    <mergeCell ref="E5:E6"/>
    <mergeCell ref="F5:G5"/>
    <mergeCell ref="A8:A9"/>
    <mergeCell ref="B8:B9"/>
    <mergeCell ref="C8:C9"/>
    <mergeCell ref="B17:B18"/>
    <mergeCell ref="C17:C18"/>
    <mergeCell ref="A17:A18"/>
    <mergeCell ref="A19:A20"/>
    <mergeCell ref="B19:B20"/>
    <mergeCell ref="C19:C20"/>
    <mergeCell ref="A22:A23"/>
    <mergeCell ref="B22:B23"/>
    <mergeCell ref="C22:C23"/>
    <mergeCell ref="B58:B60"/>
    <mergeCell ref="C58:C60"/>
    <mergeCell ref="A49:A50"/>
    <mergeCell ref="B49:B50"/>
    <mergeCell ref="C49:C50"/>
    <mergeCell ref="A53:A54"/>
    <mergeCell ref="B53:B54"/>
    <mergeCell ref="C53:C54"/>
    <mergeCell ref="A58:A60"/>
    <mergeCell ref="A85:A86"/>
    <mergeCell ref="B85:B86"/>
    <mergeCell ref="C85:C86"/>
    <mergeCell ref="B98:B99"/>
    <mergeCell ref="C98:C99"/>
    <mergeCell ref="A107:A108"/>
    <mergeCell ref="B107:B108"/>
    <mergeCell ref="C107:C108"/>
    <mergeCell ref="A109:A110"/>
    <mergeCell ref="B109:B110"/>
    <mergeCell ref="C109:C110"/>
    <mergeCell ref="A112:F112"/>
    <mergeCell ref="E132:E133"/>
    <mergeCell ref="F132:G132"/>
    <mergeCell ref="H132:I132"/>
    <mergeCell ref="J132:J133"/>
    <mergeCell ref="B122:D122"/>
    <mergeCell ref="B123:D123"/>
    <mergeCell ref="A128:J128"/>
    <mergeCell ref="A129:J129"/>
    <mergeCell ref="A130:J130"/>
    <mergeCell ref="A132:A133"/>
    <mergeCell ref="B132:B133"/>
    <mergeCell ref="B80:B82"/>
    <mergeCell ref="C80:C82"/>
    <mergeCell ref="A72:A73"/>
    <mergeCell ref="B72:B73"/>
    <mergeCell ref="C72:C73"/>
    <mergeCell ref="A75:A76"/>
    <mergeCell ref="B75:B76"/>
    <mergeCell ref="C75:C76"/>
    <mergeCell ref="A80:A82"/>
    <mergeCell ref="B92:B93"/>
    <mergeCell ref="C92:C93"/>
    <mergeCell ref="A88:A89"/>
    <mergeCell ref="B88:B89"/>
    <mergeCell ref="C88:C89"/>
    <mergeCell ref="A90:A91"/>
    <mergeCell ref="B90:B91"/>
    <mergeCell ref="C90:C91"/>
    <mergeCell ref="A92:A93"/>
    <mergeCell ref="A94:A95"/>
    <mergeCell ref="B94:B95"/>
    <mergeCell ref="C94:C95"/>
    <mergeCell ref="A96:A97"/>
    <mergeCell ref="B96:B97"/>
    <mergeCell ref="C96:C97"/>
    <mergeCell ref="A98:A99"/>
    <mergeCell ref="I114:J114"/>
    <mergeCell ref="H116:J116"/>
    <mergeCell ref="A160:A161"/>
    <mergeCell ref="B160:B161"/>
    <mergeCell ref="C160:C161"/>
    <mergeCell ref="C132:C133"/>
    <mergeCell ref="D132:D133"/>
    <mergeCell ref="A140:A141"/>
    <mergeCell ref="B140:B141"/>
    <mergeCell ref="C140:C141"/>
    <mergeCell ref="B152:B153"/>
    <mergeCell ref="C152:C153"/>
    <mergeCell ref="A152:A153"/>
    <mergeCell ref="A154:A155"/>
    <mergeCell ref="B154:B155"/>
    <mergeCell ref="C154:C155"/>
    <mergeCell ref="A158:A159"/>
    <mergeCell ref="B158:B159"/>
    <mergeCell ref="C158:C159"/>
    <mergeCell ref="B173:B174"/>
    <mergeCell ref="C173:C174"/>
    <mergeCell ref="A165:A166"/>
    <mergeCell ref="B165:B166"/>
    <mergeCell ref="C165:C166"/>
    <mergeCell ref="A168:A169"/>
    <mergeCell ref="B168:B169"/>
    <mergeCell ref="C168:C169"/>
    <mergeCell ref="A173:A174"/>
    <mergeCell ref="B181:B182"/>
    <mergeCell ref="C181:C182"/>
    <mergeCell ref="B197:D197"/>
    <mergeCell ref="B198:D198"/>
    <mergeCell ref="A175:A176"/>
    <mergeCell ref="B175:B176"/>
    <mergeCell ref="C175:C176"/>
    <mergeCell ref="A179:A180"/>
    <mergeCell ref="B179:B180"/>
    <mergeCell ref="C179:C180"/>
    <mergeCell ref="A181:A182"/>
    <mergeCell ref="A184:A185"/>
    <mergeCell ref="B184:B185"/>
    <mergeCell ref="C184:C185"/>
    <mergeCell ref="A187:F187"/>
    <mergeCell ref="I189:J189"/>
    <mergeCell ref="H191:J191"/>
    <mergeCell ref="A202:J202"/>
    <mergeCell ref="C246:C247"/>
    <mergeCell ref="D246:D247"/>
    <mergeCell ref="A253:A254"/>
    <mergeCell ref="B253:B254"/>
    <mergeCell ref="C253:C254"/>
    <mergeCell ref="B255:B256"/>
    <mergeCell ref="C255:C256"/>
    <mergeCell ref="A255:A256"/>
    <mergeCell ref="A260:A261"/>
    <mergeCell ref="B260:B261"/>
    <mergeCell ref="C260:C261"/>
    <mergeCell ref="A264:A267"/>
    <mergeCell ref="B264:B267"/>
    <mergeCell ref="C264:C267"/>
    <mergeCell ref="B279:B280"/>
    <mergeCell ref="C279:C280"/>
    <mergeCell ref="A272:A274"/>
    <mergeCell ref="B272:B274"/>
    <mergeCell ref="C272:C274"/>
    <mergeCell ref="A275:A276"/>
    <mergeCell ref="B275:B276"/>
    <mergeCell ref="C275:C276"/>
    <mergeCell ref="A279:A280"/>
    <mergeCell ref="I296:J296"/>
    <mergeCell ref="H298:J298"/>
    <mergeCell ref="B304:D304"/>
    <mergeCell ref="B305:D305"/>
    <mergeCell ref="A288:A289"/>
    <mergeCell ref="B288:B289"/>
    <mergeCell ref="C288:C289"/>
    <mergeCell ref="A291:A292"/>
    <mergeCell ref="B291:B292"/>
    <mergeCell ref="C291:C292"/>
    <mergeCell ref="A294:F294"/>
    <mergeCell ref="F206:G206"/>
    <mergeCell ref="H206:I206"/>
    <mergeCell ref="A203:J203"/>
    <mergeCell ref="A204:J204"/>
    <mergeCell ref="B206:B207"/>
    <mergeCell ref="C206:C207"/>
    <mergeCell ref="D206:D207"/>
    <mergeCell ref="E206:E207"/>
    <mergeCell ref="J206:J207"/>
    <mergeCell ref="A206:A207"/>
    <mergeCell ref="A214:A215"/>
    <mergeCell ref="B214:B215"/>
    <mergeCell ref="C214:C215"/>
    <mergeCell ref="A226:F226"/>
    <mergeCell ref="I228:J228"/>
    <mergeCell ref="H230:J230"/>
    <mergeCell ref="E246:E247"/>
    <mergeCell ref="F246:G246"/>
    <mergeCell ref="H246:I246"/>
    <mergeCell ref="J246:J247"/>
    <mergeCell ref="B236:D236"/>
    <mergeCell ref="B237:D237"/>
    <mergeCell ref="A242:J242"/>
    <mergeCell ref="A243:J243"/>
    <mergeCell ref="A244:J244"/>
    <mergeCell ref="A246:A247"/>
    <mergeCell ref="B246:B247"/>
    <mergeCell ref="A281:A282"/>
    <mergeCell ref="B281:B282"/>
    <mergeCell ref="C281:C2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2.86"/>
    <col customWidth="1" min="3" max="3" width="30.43"/>
    <col customWidth="1" min="4" max="4" width="10.43"/>
    <col customWidth="1" min="5" max="5" width="16.43"/>
    <col customWidth="1" min="6" max="6" width="11.71"/>
    <col customWidth="1" min="7" max="7" width="17.14"/>
    <col customWidth="1" min="8" max="8" width="11.71"/>
    <col customWidth="1" min="9" max="9" width="17.86"/>
    <col customWidth="1" min="10" max="10" width="19.71"/>
  </cols>
  <sheetData>
    <row r="1">
      <c r="A1" s="242" t="s">
        <v>346</v>
      </c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</row>
    <row r="2">
      <c r="A2" s="242" t="s">
        <v>11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>
      <c r="A3" s="243" t="s">
        <v>3</v>
      </c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</row>
    <row r="4">
      <c r="A4" s="244"/>
      <c r="B4" s="245"/>
      <c r="C4" s="245"/>
      <c r="D4" s="245"/>
      <c r="E4" s="245"/>
      <c r="F4" s="245"/>
      <c r="G4" s="245"/>
      <c r="H4" s="245"/>
      <c r="I4" s="245"/>
      <c r="J4" s="245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</row>
    <row r="5">
      <c r="A5" s="246" t="s">
        <v>348</v>
      </c>
      <c r="B5" s="247" t="s">
        <v>349</v>
      </c>
      <c r="C5" s="247" t="s">
        <v>350</v>
      </c>
      <c r="D5" s="247" t="s">
        <v>7</v>
      </c>
      <c r="E5" s="247" t="s">
        <v>351</v>
      </c>
      <c r="F5" s="248" t="s">
        <v>352</v>
      </c>
      <c r="G5" s="30"/>
      <c r="H5" s="248" t="s">
        <v>353</v>
      </c>
      <c r="I5" s="30"/>
      <c r="J5" s="247" t="s">
        <v>354</v>
      </c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</row>
    <row r="6">
      <c r="A6" s="50"/>
      <c r="B6" s="30"/>
      <c r="C6" s="30"/>
      <c r="D6" s="30"/>
      <c r="E6" s="30"/>
      <c r="F6" s="249" t="s">
        <v>355</v>
      </c>
      <c r="G6" s="249" t="s">
        <v>356</v>
      </c>
      <c r="H6" s="249" t="s">
        <v>355</v>
      </c>
      <c r="I6" s="249" t="s">
        <v>356</v>
      </c>
      <c r="J6" s="30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</row>
    <row r="7">
      <c r="A7" s="250">
        <v>1.0</v>
      </c>
      <c r="B7" s="251">
        <v>2.0</v>
      </c>
      <c r="C7" s="251">
        <v>3.0</v>
      </c>
      <c r="D7" s="251">
        <v>4.0</v>
      </c>
      <c r="E7" s="251">
        <v>5.0</v>
      </c>
      <c r="F7" s="251">
        <v>6.0</v>
      </c>
      <c r="G7" s="251" t="s">
        <v>385</v>
      </c>
      <c r="H7" s="251">
        <v>8.0</v>
      </c>
      <c r="I7" s="251">
        <v>9.0</v>
      </c>
      <c r="J7" s="251">
        <v>10.0</v>
      </c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</row>
    <row r="8">
      <c r="A8" s="252">
        <v>1.0</v>
      </c>
      <c r="B8" s="253"/>
      <c r="C8" s="254" t="s">
        <v>83</v>
      </c>
      <c r="D8" s="255" t="s">
        <v>84</v>
      </c>
      <c r="E8" s="256" t="s">
        <v>386</v>
      </c>
      <c r="F8" s="257" t="s">
        <v>278</v>
      </c>
      <c r="G8" s="258" t="s">
        <v>278</v>
      </c>
      <c r="H8" s="259"/>
      <c r="I8" s="260"/>
      <c r="J8" s="261" t="s">
        <v>85</v>
      </c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</row>
    <row r="9">
      <c r="A9" s="50"/>
      <c r="B9" s="50"/>
      <c r="C9" s="50"/>
      <c r="D9" s="255" t="s">
        <v>84</v>
      </c>
      <c r="E9" s="256" t="s">
        <v>387</v>
      </c>
      <c r="F9" s="257">
        <v>3.0</v>
      </c>
      <c r="G9" s="258" t="s">
        <v>388</v>
      </c>
      <c r="H9" s="259"/>
      <c r="I9" s="260"/>
      <c r="J9" s="261" t="s">
        <v>86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</row>
    <row r="10">
      <c r="A10" s="262">
        <v>2.0</v>
      </c>
      <c r="B10" s="263"/>
      <c r="C10" s="264" t="s">
        <v>90</v>
      </c>
      <c r="D10" s="255" t="s">
        <v>91</v>
      </c>
      <c r="E10" s="256" t="s">
        <v>389</v>
      </c>
      <c r="F10" s="257">
        <v>18.0</v>
      </c>
      <c r="G10" s="258" t="s">
        <v>390</v>
      </c>
      <c r="H10" s="259"/>
      <c r="I10" s="260"/>
      <c r="J10" s="261" t="s">
        <v>92</v>
      </c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</row>
    <row r="11">
      <c r="A11" s="262">
        <v>3.0</v>
      </c>
      <c r="B11" s="265"/>
      <c r="C11" s="264" t="s">
        <v>93</v>
      </c>
      <c r="D11" s="255" t="s">
        <v>84</v>
      </c>
      <c r="E11" s="256" t="s">
        <v>391</v>
      </c>
      <c r="F11" s="257" t="s">
        <v>278</v>
      </c>
      <c r="G11" s="258" t="s">
        <v>278</v>
      </c>
      <c r="H11" s="259"/>
      <c r="I11" s="260"/>
      <c r="J11" s="261" t="s">
        <v>85</v>
      </c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</row>
    <row r="12">
      <c r="A12" s="50"/>
      <c r="B12" s="266"/>
      <c r="C12" s="264" t="s">
        <v>93</v>
      </c>
      <c r="D12" s="255" t="s">
        <v>84</v>
      </c>
      <c r="E12" s="256" t="s">
        <v>392</v>
      </c>
      <c r="F12" s="257">
        <v>79.0</v>
      </c>
      <c r="G12" s="258" t="s">
        <v>393</v>
      </c>
      <c r="H12" s="259"/>
      <c r="I12" s="260"/>
      <c r="J12" s="261" t="s">
        <v>94</v>
      </c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</row>
    <row r="13">
      <c r="A13" s="262">
        <v>4.0</v>
      </c>
      <c r="B13" s="253"/>
      <c r="C13" s="267" t="s">
        <v>95</v>
      </c>
      <c r="D13" s="255" t="s">
        <v>96</v>
      </c>
      <c r="E13" s="256" t="s">
        <v>394</v>
      </c>
      <c r="F13" s="257">
        <v>3.0</v>
      </c>
      <c r="G13" s="258" t="s">
        <v>395</v>
      </c>
      <c r="H13" s="259"/>
      <c r="I13" s="260"/>
      <c r="J13" s="261" t="s">
        <v>97</v>
      </c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</row>
    <row r="14">
      <c r="A14" s="50"/>
      <c r="B14" s="50"/>
      <c r="C14" s="50"/>
      <c r="D14" s="255" t="s">
        <v>96</v>
      </c>
      <c r="E14" s="256" t="s">
        <v>396</v>
      </c>
      <c r="F14" s="257">
        <v>34.0</v>
      </c>
      <c r="G14" s="258" t="s">
        <v>397</v>
      </c>
      <c r="H14" s="259"/>
      <c r="I14" s="260"/>
      <c r="J14" s="261" t="s">
        <v>94</v>
      </c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</row>
    <row r="15">
      <c r="A15" s="252">
        <v>5.0</v>
      </c>
      <c r="B15" s="263"/>
      <c r="C15" s="268" t="s">
        <v>98</v>
      </c>
      <c r="D15" s="255" t="s">
        <v>99</v>
      </c>
      <c r="E15" s="256" t="s">
        <v>398</v>
      </c>
      <c r="F15" s="257">
        <v>13.0</v>
      </c>
      <c r="G15" s="258" t="s">
        <v>399</v>
      </c>
      <c r="H15" s="259"/>
      <c r="I15" s="260"/>
      <c r="J15" s="261" t="s">
        <v>100</v>
      </c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</row>
    <row r="16">
      <c r="A16" s="262">
        <v>6.0</v>
      </c>
      <c r="B16" s="253"/>
      <c r="C16" s="267" t="s">
        <v>101</v>
      </c>
      <c r="D16" s="255" t="s">
        <v>96</v>
      </c>
      <c r="E16" s="256" t="s">
        <v>400</v>
      </c>
      <c r="F16" s="257" t="s">
        <v>278</v>
      </c>
      <c r="G16" s="258" t="s">
        <v>278</v>
      </c>
      <c r="H16" s="259"/>
      <c r="I16" s="260"/>
      <c r="J16" s="261" t="s">
        <v>92</v>
      </c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</row>
    <row r="17">
      <c r="A17" s="50"/>
      <c r="B17" s="50"/>
      <c r="C17" s="50"/>
      <c r="D17" s="255" t="s">
        <v>96</v>
      </c>
      <c r="E17" s="256" t="s">
        <v>401</v>
      </c>
      <c r="F17" s="257">
        <v>26.0</v>
      </c>
      <c r="G17" s="258" t="s">
        <v>402</v>
      </c>
      <c r="H17" s="259"/>
      <c r="I17" s="260"/>
      <c r="J17" s="261" t="s">
        <v>86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</row>
    <row r="18">
      <c r="A18" s="262">
        <v>7.0</v>
      </c>
      <c r="B18" s="263"/>
      <c r="C18" s="264" t="s">
        <v>102</v>
      </c>
      <c r="D18" s="255" t="s">
        <v>96</v>
      </c>
      <c r="E18" s="256" t="s">
        <v>403</v>
      </c>
      <c r="F18" s="257">
        <v>21.0</v>
      </c>
      <c r="G18" s="258" t="s">
        <v>404</v>
      </c>
      <c r="H18" s="259"/>
      <c r="I18" s="260"/>
      <c r="J18" s="261" t="s">
        <v>86</v>
      </c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</row>
    <row r="19">
      <c r="A19" s="269">
        <v>8.0</v>
      </c>
      <c r="B19" s="270"/>
      <c r="C19" s="271" t="s">
        <v>103</v>
      </c>
      <c r="D19" s="255" t="s">
        <v>96</v>
      </c>
      <c r="E19" s="256" t="s">
        <v>405</v>
      </c>
      <c r="F19" s="257">
        <v>19.0</v>
      </c>
      <c r="G19" s="258" t="s">
        <v>406</v>
      </c>
      <c r="H19" s="259"/>
      <c r="I19" s="260"/>
      <c r="J19" s="261" t="s">
        <v>97</v>
      </c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</row>
    <row r="20">
      <c r="A20" s="252">
        <v>9.0</v>
      </c>
      <c r="B20" s="253"/>
      <c r="C20" s="254" t="s">
        <v>104</v>
      </c>
      <c r="D20" s="255" t="s">
        <v>105</v>
      </c>
      <c r="E20" s="256" t="s">
        <v>407</v>
      </c>
      <c r="F20" s="257">
        <v>1.025</v>
      </c>
      <c r="G20" s="258" t="s">
        <v>408</v>
      </c>
      <c r="H20" s="259"/>
      <c r="I20" s="260"/>
      <c r="J20" s="272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</row>
    <row r="21">
      <c r="A21" s="50"/>
      <c r="B21" s="50"/>
      <c r="C21" s="50"/>
      <c r="D21" s="255" t="s">
        <v>105</v>
      </c>
      <c r="E21" s="256" t="s">
        <v>409</v>
      </c>
      <c r="F21" s="257">
        <v>65.0</v>
      </c>
      <c r="G21" s="258" t="s">
        <v>410</v>
      </c>
      <c r="H21" s="259"/>
      <c r="I21" s="260"/>
      <c r="J21" s="261" t="s">
        <v>92</v>
      </c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</row>
    <row r="22">
      <c r="A22" s="252">
        <v>10.0</v>
      </c>
      <c r="B22" s="253"/>
      <c r="C22" s="254" t="s">
        <v>106</v>
      </c>
      <c r="D22" s="255" t="s">
        <v>105</v>
      </c>
      <c r="E22" s="256" t="s">
        <v>411</v>
      </c>
      <c r="F22" s="257">
        <v>356.0</v>
      </c>
      <c r="G22" s="258" t="s">
        <v>412</v>
      </c>
      <c r="H22" s="259"/>
      <c r="I22" s="260"/>
      <c r="J22" s="272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</row>
    <row r="23">
      <c r="A23" s="50"/>
      <c r="B23" s="50"/>
      <c r="C23" s="50"/>
      <c r="D23" s="255" t="s">
        <v>105</v>
      </c>
      <c r="E23" s="256" t="s">
        <v>413</v>
      </c>
      <c r="F23" s="257">
        <v>16.0</v>
      </c>
      <c r="G23" s="258" t="s">
        <v>414</v>
      </c>
      <c r="H23" s="259"/>
      <c r="I23" s="260"/>
      <c r="J23" s="261" t="s">
        <v>92</v>
      </c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</row>
    <row r="24">
      <c r="A24" s="252">
        <v>11.0</v>
      </c>
      <c r="B24" s="266"/>
      <c r="C24" s="268" t="s">
        <v>107</v>
      </c>
      <c r="D24" s="255" t="s">
        <v>105</v>
      </c>
      <c r="E24" s="256" t="s">
        <v>415</v>
      </c>
      <c r="F24" s="257">
        <v>238.0</v>
      </c>
      <c r="G24" s="258" t="s">
        <v>416</v>
      </c>
      <c r="H24" s="259"/>
      <c r="I24" s="260"/>
      <c r="J24" s="272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</row>
    <row r="25">
      <c r="A25" s="262">
        <v>12.0</v>
      </c>
      <c r="B25" s="253"/>
      <c r="C25" s="267" t="s">
        <v>108</v>
      </c>
      <c r="D25" s="255" t="s">
        <v>105</v>
      </c>
      <c r="E25" s="256" t="s">
        <v>417</v>
      </c>
      <c r="F25" s="257">
        <v>156.0</v>
      </c>
      <c r="G25" s="258" t="s">
        <v>418</v>
      </c>
      <c r="H25" s="259"/>
      <c r="I25" s="260"/>
      <c r="J25" s="272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</row>
    <row r="26">
      <c r="A26" s="50"/>
      <c r="B26" s="50"/>
      <c r="C26" s="50"/>
      <c r="D26" s="255" t="s">
        <v>105</v>
      </c>
      <c r="E26" s="256" t="s">
        <v>419</v>
      </c>
      <c r="F26" s="257">
        <v>22.0</v>
      </c>
      <c r="G26" s="258" t="s">
        <v>420</v>
      </c>
      <c r="H26" s="259"/>
      <c r="I26" s="260"/>
      <c r="J26" s="261" t="s">
        <v>92</v>
      </c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</row>
    <row r="27">
      <c r="A27" s="269">
        <v>13.0</v>
      </c>
      <c r="B27" s="263"/>
      <c r="C27" s="268" t="s">
        <v>109</v>
      </c>
      <c r="D27" s="255" t="s">
        <v>105</v>
      </c>
      <c r="E27" s="256" t="s">
        <v>421</v>
      </c>
      <c r="F27" s="257">
        <v>51.0</v>
      </c>
      <c r="G27" s="258" t="s">
        <v>422</v>
      </c>
      <c r="H27" s="259"/>
      <c r="I27" s="260"/>
      <c r="J27" s="261" t="s">
        <v>110</v>
      </c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</row>
    <row r="28">
      <c r="A28" s="269">
        <v>14.0</v>
      </c>
      <c r="B28" s="263"/>
      <c r="C28" s="273" t="s">
        <v>111</v>
      </c>
      <c r="D28" s="255" t="s">
        <v>105</v>
      </c>
      <c r="E28" s="256" t="s">
        <v>423</v>
      </c>
      <c r="F28" s="257">
        <v>41.0</v>
      </c>
      <c r="G28" s="258" t="s">
        <v>424</v>
      </c>
      <c r="H28" s="259"/>
      <c r="I28" s="260"/>
      <c r="J28" s="261" t="s">
        <v>112</v>
      </c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</row>
    <row r="29">
      <c r="A29" s="252">
        <v>15.0</v>
      </c>
      <c r="B29" s="253"/>
      <c r="C29" s="254" t="s">
        <v>113</v>
      </c>
      <c r="D29" s="255" t="s">
        <v>114</v>
      </c>
      <c r="E29" s="256" t="s">
        <v>425</v>
      </c>
      <c r="F29" s="257">
        <v>2.0</v>
      </c>
      <c r="G29" s="258" t="s">
        <v>426</v>
      </c>
      <c r="H29" s="259"/>
      <c r="I29" s="260"/>
      <c r="J29" s="261" t="s">
        <v>97</v>
      </c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</row>
    <row r="30">
      <c r="A30" s="50"/>
      <c r="B30" s="50"/>
      <c r="C30" s="50"/>
      <c r="D30" s="255" t="s">
        <v>114</v>
      </c>
      <c r="E30" s="256" t="s">
        <v>427</v>
      </c>
      <c r="F30" s="257">
        <v>23.0</v>
      </c>
      <c r="G30" s="258" t="s">
        <v>428</v>
      </c>
      <c r="H30" s="259"/>
      <c r="I30" s="260"/>
      <c r="J30" s="261" t="s">
        <v>86</v>
      </c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</row>
    <row r="31">
      <c r="A31" s="252">
        <v>16.0</v>
      </c>
      <c r="B31" s="274"/>
      <c r="C31" s="268" t="s">
        <v>115</v>
      </c>
      <c r="D31" s="255" t="s">
        <v>91</v>
      </c>
      <c r="E31" s="256" t="s">
        <v>429</v>
      </c>
      <c r="F31" s="257">
        <v>12.0</v>
      </c>
      <c r="G31" s="258" t="s">
        <v>430</v>
      </c>
      <c r="H31" s="259"/>
      <c r="I31" s="260"/>
      <c r="J31" s="261" t="s">
        <v>92</v>
      </c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</row>
    <row r="32">
      <c r="A32" s="269">
        <v>17.0</v>
      </c>
      <c r="B32" s="263"/>
      <c r="C32" s="264" t="s">
        <v>116</v>
      </c>
      <c r="D32" s="255" t="s">
        <v>96</v>
      </c>
      <c r="E32" s="256" t="s">
        <v>431</v>
      </c>
      <c r="F32" s="257">
        <v>12.0</v>
      </c>
      <c r="G32" s="258" t="s">
        <v>432</v>
      </c>
      <c r="H32" s="259"/>
      <c r="I32" s="260"/>
      <c r="J32" s="261" t="s">
        <v>94</v>
      </c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</row>
    <row r="33">
      <c r="A33" s="269">
        <v>18.0</v>
      </c>
      <c r="B33" s="270"/>
      <c r="C33" s="264" t="s">
        <v>117</v>
      </c>
      <c r="D33" s="255" t="s">
        <v>118</v>
      </c>
      <c r="E33" s="256" t="s">
        <v>433</v>
      </c>
      <c r="F33" s="257">
        <v>15.0</v>
      </c>
      <c r="G33" s="258" t="s">
        <v>434</v>
      </c>
      <c r="H33" s="259"/>
      <c r="I33" s="260"/>
      <c r="J33" s="261" t="s">
        <v>94</v>
      </c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</row>
    <row r="34">
      <c r="A34" s="269">
        <v>19.0</v>
      </c>
      <c r="B34" s="275"/>
      <c r="C34" s="264" t="s">
        <v>120</v>
      </c>
      <c r="D34" s="255" t="s">
        <v>121</v>
      </c>
      <c r="E34" s="256" t="s">
        <v>435</v>
      </c>
      <c r="F34" s="257">
        <v>89.0</v>
      </c>
      <c r="G34" s="258" t="s">
        <v>436</v>
      </c>
      <c r="H34" s="259"/>
      <c r="I34" s="260"/>
      <c r="J34" s="261" t="s">
        <v>86</v>
      </c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</row>
    <row r="35">
      <c r="A35" s="269">
        <v>20.0</v>
      </c>
      <c r="B35" s="263"/>
      <c r="C35" s="264" t="s">
        <v>122</v>
      </c>
      <c r="D35" s="255" t="s">
        <v>114</v>
      </c>
      <c r="E35" s="256" t="s">
        <v>387</v>
      </c>
      <c r="F35" s="257">
        <v>27.0</v>
      </c>
      <c r="G35" s="258" t="s">
        <v>437</v>
      </c>
      <c r="H35" s="259"/>
      <c r="I35" s="260"/>
      <c r="J35" s="261" t="s">
        <v>86</v>
      </c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</row>
    <row r="36">
      <c r="A36" s="252">
        <v>21.0</v>
      </c>
      <c r="B36" s="253"/>
      <c r="C36" s="267" t="s">
        <v>123</v>
      </c>
      <c r="D36" s="255" t="s">
        <v>114</v>
      </c>
      <c r="E36" s="256" t="s">
        <v>438</v>
      </c>
      <c r="F36" s="257" t="s">
        <v>278</v>
      </c>
      <c r="G36" s="258" t="s">
        <v>278</v>
      </c>
      <c r="H36" s="259"/>
      <c r="I36" s="260"/>
      <c r="J36" s="261" t="s">
        <v>97</v>
      </c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</row>
    <row r="37">
      <c r="A37" s="50"/>
      <c r="B37" s="50"/>
      <c r="C37" s="50"/>
      <c r="D37" s="276" t="s">
        <v>114</v>
      </c>
      <c r="E37" s="256" t="s">
        <v>439</v>
      </c>
      <c r="F37" s="257">
        <v>23.0</v>
      </c>
      <c r="G37" s="258" t="s">
        <v>440</v>
      </c>
      <c r="H37" s="259"/>
      <c r="I37" s="260"/>
      <c r="J37" s="261" t="s">
        <v>86</v>
      </c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</row>
    <row r="38">
      <c r="A38" s="269">
        <v>22.0</v>
      </c>
      <c r="B38" s="263"/>
      <c r="C38" s="268" t="s">
        <v>124</v>
      </c>
      <c r="D38" s="276" t="s">
        <v>96</v>
      </c>
      <c r="E38" s="256" t="s">
        <v>431</v>
      </c>
      <c r="F38" s="257">
        <v>10.0</v>
      </c>
      <c r="G38" s="258" t="s">
        <v>441</v>
      </c>
      <c r="H38" s="259"/>
      <c r="I38" s="260"/>
      <c r="J38" s="261" t="s">
        <v>94</v>
      </c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</row>
    <row r="39">
      <c r="A39" s="269">
        <v>23.0</v>
      </c>
      <c r="B39" s="263"/>
      <c r="C39" s="273" t="s">
        <v>125</v>
      </c>
      <c r="D39" s="255" t="s">
        <v>126</v>
      </c>
      <c r="E39" s="256" t="s">
        <v>442</v>
      </c>
      <c r="F39" s="257">
        <v>3.666</v>
      </c>
      <c r="G39" s="258" t="s">
        <v>443</v>
      </c>
      <c r="H39" s="259"/>
      <c r="I39" s="260"/>
      <c r="J39" s="272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</row>
    <row r="40">
      <c r="A40" s="269">
        <v>24.0</v>
      </c>
      <c r="B40" s="263"/>
      <c r="C40" s="273" t="s">
        <v>127</v>
      </c>
      <c r="D40" s="255" t="s">
        <v>126</v>
      </c>
      <c r="E40" s="256" t="s">
        <v>444</v>
      </c>
      <c r="F40" s="257">
        <v>1.507</v>
      </c>
      <c r="G40" s="258" t="s">
        <v>445</v>
      </c>
      <c r="H40" s="259"/>
      <c r="I40" s="260"/>
      <c r="J40" s="272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</row>
    <row r="41">
      <c r="A41" s="252">
        <v>25.0</v>
      </c>
      <c r="B41" s="253"/>
      <c r="C41" s="268" t="s">
        <v>128</v>
      </c>
      <c r="D41" s="255" t="s">
        <v>121</v>
      </c>
      <c r="E41" s="256" t="s">
        <v>446</v>
      </c>
      <c r="F41" s="257">
        <v>9.0</v>
      </c>
      <c r="G41" s="258" t="s">
        <v>447</v>
      </c>
      <c r="H41" s="259"/>
      <c r="I41" s="260"/>
      <c r="J41" s="261" t="s">
        <v>86</v>
      </c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</row>
    <row r="42">
      <c r="A42" s="50"/>
      <c r="B42" s="50"/>
      <c r="C42" s="277" t="s">
        <v>448</v>
      </c>
      <c r="D42" s="255" t="s">
        <v>121</v>
      </c>
      <c r="E42" s="256" t="s">
        <v>446</v>
      </c>
      <c r="F42" s="257">
        <v>13.0</v>
      </c>
      <c r="G42" s="258" t="s">
        <v>449</v>
      </c>
      <c r="H42" s="259"/>
      <c r="I42" s="260"/>
      <c r="J42" s="261" t="s">
        <v>86</v>
      </c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</row>
    <row r="43">
      <c r="A43" s="262">
        <v>26.0</v>
      </c>
      <c r="B43" s="274"/>
      <c r="C43" s="264" t="s">
        <v>130</v>
      </c>
      <c r="D43" s="255" t="s">
        <v>121</v>
      </c>
      <c r="E43" s="256" t="s">
        <v>450</v>
      </c>
      <c r="F43" s="257">
        <v>18.0</v>
      </c>
      <c r="G43" s="258" t="s">
        <v>451</v>
      </c>
      <c r="H43" s="259"/>
      <c r="I43" s="260"/>
      <c r="J43" s="261" t="s">
        <v>86</v>
      </c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</row>
    <row r="44">
      <c r="A44" s="262">
        <v>27.0</v>
      </c>
      <c r="B44" s="278"/>
      <c r="C44" s="264" t="s">
        <v>131</v>
      </c>
      <c r="D44" s="255" t="s">
        <v>121</v>
      </c>
      <c r="E44" s="256" t="s">
        <v>452</v>
      </c>
      <c r="F44" s="257" t="s">
        <v>278</v>
      </c>
      <c r="G44" s="258" t="s">
        <v>278</v>
      </c>
      <c r="H44" s="259"/>
      <c r="I44" s="260"/>
      <c r="J44" s="272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</row>
    <row r="45">
      <c r="A45" s="50"/>
      <c r="B45" s="50"/>
      <c r="C45" s="30"/>
      <c r="D45" s="255" t="s">
        <v>121</v>
      </c>
      <c r="E45" s="256" t="s">
        <v>453</v>
      </c>
      <c r="F45" s="257">
        <v>27.0</v>
      </c>
      <c r="G45" s="258" t="s">
        <v>454</v>
      </c>
      <c r="H45" s="259"/>
      <c r="I45" s="260"/>
      <c r="J45" s="261" t="s">
        <v>86</v>
      </c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</row>
    <row r="46">
      <c r="A46" s="269">
        <v>28.0</v>
      </c>
      <c r="B46" s="279"/>
      <c r="C46" s="273" t="s">
        <v>132</v>
      </c>
      <c r="D46" s="255" t="s">
        <v>99</v>
      </c>
      <c r="E46" s="256" t="s">
        <v>455</v>
      </c>
      <c r="F46" s="257">
        <v>28.0</v>
      </c>
      <c r="G46" s="258" t="s">
        <v>456</v>
      </c>
      <c r="H46" s="259"/>
      <c r="I46" s="260"/>
      <c r="J46" s="272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</row>
    <row r="47">
      <c r="A47" s="252">
        <v>29.0</v>
      </c>
      <c r="B47" s="280"/>
      <c r="C47" s="254" t="s">
        <v>133</v>
      </c>
      <c r="D47" s="255" t="s">
        <v>134</v>
      </c>
      <c r="E47" s="256" t="s">
        <v>457</v>
      </c>
      <c r="F47" s="257">
        <v>25.0</v>
      </c>
      <c r="G47" s="258" t="s">
        <v>458</v>
      </c>
      <c r="H47" s="259"/>
      <c r="I47" s="260"/>
      <c r="J47" s="261" t="s">
        <v>86</v>
      </c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</row>
    <row r="48">
      <c r="A48" s="50"/>
      <c r="B48" s="50"/>
      <c r="C48" s="50"/>
      <c r="D48" s="255" t="s">
        <v>134</v>
      </c>
      <c r="E48" s="256" t="s">
        <v>459</v>
      </c>
      <c r="F48" s="257">
        <v>60.0</v>
      </c>
      <c r="G48" s="258" t="s">
        <v>460</v>
      </c>
      <c r="H48" s="259"/>
      <c r="I48" s="260"/>
      <c r="J48" s="261" t="s">
        <v>135</v>
      </c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</row>
    <row r="49">
      <c r="A49" s="269">
        <v>30.0</v>
      </c>
      <c r="B49" s="263"/>
      <c r="C49" s="273" t="s">
        <v>136</v>
      </c>
      <c r="D49" s="255" t="s">
        <v>134</v>
      </c>
      <c r="E49" s="281"/>
      <c r="F49" s="257" t="s">
        <v>278</v>
      </c>
      <c r="G49" s="258" t="s">
        <v>278</v>
      </c>
      <c r="H49" s="259"/>
      <c r="I49" s="260"/>
      <c r="J49" s="272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</row>
    <row r="50">
      <c r="A50" s="252">
        <v>31.0</v>
      </c>
      <c r="B50" s="253"/>
      <c r="C50" s="254" t="s">
        <v>137</v>
      </c>
      <c r="D50" s="255" t="s">
        <v>134</v>
      </c>
      <c r="E50" s="256" t="s">
        <v>461</v>
      </c>
      <c r="F50" s="257" t="s">
        <v>278</v>
      </c>
      <c r="G50" s="258" t="s">
        <v>278</v>
      </c>
      <c r="H50" s="259"/>
      <c r="I50" s="260"/>
      <c r="J50" s="261" t="s">
        <v>86</v>
      </c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</row>
    <row r="51">
      <c r="A51" s="50"/>
      <c r="B51" s="50"/>
      <c r="C51" s="50"/>
      <c r="D51" s="255" t="s">
        <v>134</v>
      </c>
      <c r="E51" s="256" t="s">
        <v>462</v>
      </c>
      <c r="F51" s="257">
        <v>142.0</v>
      </c>
      <c r="G51" s="258" t="s">
        <v>463</v>
      </c>
      <c r="H51" s="259"/>
      <c r="I51" s="260"/>
      <c r="J51" s="261" t="s">
        <v>135</v>
      </c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</row>
    <row r="52">
      <c r="A52" s="269">
        <v>32.0</v>
      </c>
      <c r="B52" s="263"/>
      <c r="C52" s="273" t="s">
        <v>138</v>
      </c>
      <c r="D52" s="255" t="s">
        <v>134</v>
      </c>
      <c r="E52" s="281"/>
      <c r="F52" s="257" t="s">
        <v>278</v>
      </c>
      <c r="G52" s="258" t="s">
        <v>278</v>
      </c>
      <c r="H52" s="259"/>
      <c r="I52" s="260"/>
      <c r="J52" s="272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</row>
    <row r="53">
      <c r="A53" s="269">
        <v>33.0</v>
      </c>
      <c r="B53" s="263"/>
      <c r="C53" s="273" t="s">
        <v>139</v>
      </c>
      <c r="D53" s="255" t="s">
        <v>134</v>
      </c>
      <c r="E53" s="256" t="s">
        <v>464</v>
      </c>
      <c r="F53" s="257">
        <v>14.0</v>
      </c>
      <c r="G53" s="258" t="s">
        <v>465</v>
      </c>
      <c r="H53" s="259"/>
      <c r="I53" s="260"/>
      <c r="J53" s="272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</row>
    <row r="54">
      <c r="A54" s="252">
        <v>34.0</v>
      </c>
      <c r="B54" s="253"/>
      <c r="C54" s="254" t="s">
        <v>140</v>
      </c>
      <c r="D54" s="255" t="s">
        <v>141</v>
      </c>
      <c r="E54" s="256" t="s">
        <v>466</v>
      </c>
      <c r="F54" s="257">
        <v>17.0</v>
      </c>
      <c r="G54" s="258" t="s">
        <v>467</v>
      </c>
      <c r="H54" s="259"/>
      <c r="I54" s="260"/>
      <c r="J54" s="261" t="s">
        <v>97</v>
      </c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</row>
    <row r="55">
      <c r="A55" s="50"/>
      <c r="B55" s="50"/>
      <c r="C55" s="50"/>
      <c r="D55" s="255" t="s">
        <v>141</v>
      </c>
      <c r="E55" s="256" t="s">
        <v>468</v>
      </c>
      <c r="F55" s="257">
        <v>20.0</v>
      </c>
      <c r="G55" s="258" t="s">
        <v>469</v>
      </c>
      <c r="H55" s="259"/>
      <c r="I55" s="260"/>
      <c r="J55" s="261" t="s">
        <v>86</v>
      </c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</row>
    <row r="56">
      <c r="A56" s="269">
        <v>35.0</v>
      </c>
      <c r="B56" s="263"/>
      <c r="C56" s="264" t="s">
        <v>142</v>
      </c>
      <c r="D56" s="255" t="s">
        <v>143</v>
      </c>
      <c r="E56" s="256" t="s">
        <v>450</v>
      </c>
      <c r="F56" s="257">
        <v>12.0</v>
      </c>
      <c r="G56" s="258" t="s">
        <v>470</v>
      </c>
      <c r="H56" s="259"/>
      <c r="I56" s="260"/>
      <c r="J56" s="261" t="s">
        <v>144</v>
      </c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</row>
    <row r="57">
      <c r="A57" s="252">
        <v>36.0</v>
      </c>
      <c r="B57" s="253"/>
      <c r="C57" s="267" t="s">
        <v>145</v>
      </c>
      <c r="D57" s="255" t="s">
        <v>143</v>
      </c>
      <c r="E57" s="256" t="s">
        <v>471</v>
      </c>
      <c r="F57" s="257">
        <v>1.0</v>
      </c>
      <c r="G57" s="258" t="s">
        <v>472</v>
      </c>
      <c r="H57" s="259"/>
      <c r="I57" s="260"/>
      <c r="J57" s="261" t="s">
        <v>110</v>
      </c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</row>
    <row r="58">
      <c r="A58" s="50"/>
      <c r="B58" s="16"/>
      <c r="C58" s="50"/>
      <c r="D58" s="255" t="s">
        <v>143</v>
      </c>
      <c r="E58" s="256" t="s">
        <v>450</v>
      </c>
      <c r="F58" s="257">
        <v>19.0</v>
      </c>
      <c r="G58" s="258" t="s">
        <v>473</v>
      </c>
      <c r="H58" s="259"/>
      <c r="I58" s="260"/>
      <c r="J58" s="261" t="s">
        <v>144</v>
      </c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</row>
    <row r="59">
      <c r="A59" s="252">
        <v>37.0</v>
      </c>
      <c r="B59" s="282"/>
      <c r="C59" s="254" t="s">
        <v>474</v>
      </c>
      <c r="D59" s="255" t="s">
        <v>143</v>
      </c>
      <c r="E59" s="256" t="s">
        <v>475</v>
      </c>
      <c r="F59" s="257" t="s">
        <v>278</v>
      </c>
      <c r="G59" s="258" t="s">
        <v>278</v>
      </c>
      <c r="H59" s="259"/>
      <c r="I59" s="260"/>
      <c r="J59" s="261" t="s">
        <v>92</v>
      </c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</row>
    <row r="60">
      <c r="A60" s="50"/>
      <c r="B60" s="50"/>
      <c r="C60" s="50"/>
      <c r="D60" s="255" t="s">
        <v>143</v>
      </c>
      <c r="E60" s="256" t="s">
        <v>476</v>
      </c>
      <c r="F60" s="257">
        <v>30.0</v>
      </c>
      <c r="G60" s="258" t="s">
        <v>477</v>
      </c>
      <c r="H60" s="259"/>
      <c r="I60" s="260"/>
      <c r="J60" s="261" t="s">
        <v>86</v>
      </c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</row>
    <row r="61">
      <c r="A61" s="252">
        <v>38.0</v>
      </c>
      <c r="B61" s="282"/>
      <c r="C61" s="254" t="s">
        <v>149</v>
      </c>
      <c r="D61" s="255" t="s">
        <v>143</v>
      </c>
      <c r="E61" s="256" t="s">
        <v>478</v>
      </c>
      <c r="F61" s="257">
        <v>2.0</v>
      </c>
      <c r="G61" s="258" t="s">
        <v>479</v>
      </c>
      <c r="H61" s="259"/>
      <c r="I61" s="260"/>
      <c r="J61" s="272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</row>
    <row r="62">
      <c r="A62" s="50"/>
      <c r="B62" s="50"/>
      <c r="C62" s="50"/>
      <c r="D62" s="255" t="s">
        <v>143</v>
      </c>
      <c r="E62" s="256" t="s">
        <v>400</v>
      </c>
      <c r="F62" s="257">
        <v>25.0</v>
      </c>
      <c r="G62" s="258" t="s">
        <v>480</v>
      </c>
      <c r="H62" s="259"/>
      <c r="I62" s="260"/>
      <c r="J62" s="261" t="s">
        <v>92</v>
      </c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</row>
    <row r="63">
      <c r="A63" s="269">
        <v>39.0</v>
      </c>
      <c r="B63" s="263"/>
      <c r="C63" s="268" t="s">
        <v>152</v>
      </c>
      <c r="D63" s="255" t="s">
        <v>143</v>
      </c>
      <c r="E63" s="256" t="s">
        <v>481</v>
      </c>
      <c r="F63" s="257">
        <v>200.0</v>
      </c>
      <c r="G63" s="258" t="s">
        <v>482</v>
      </c>
      <c r="H63" s="259"/>
      <c r="I63" s="260"/>
      <c r="J63" s="261" t="s">
        <v>135</v>
      </c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</row>
    <row r="64">
      <c r="A64" s="252">
        <v>40.0</v>
      </c>
      <c r="B64" s="270"/>
      <c r="C64" s="264" t="s">
        <v>153</v>
      </c>
      <c r="D64" s="255" t="s">
        <v>154</v>
      </c>
      <c r="E64" s="256" t="s">
        <v>483</v>
      </c>
      <c r="F64" s="257">
        <v>27.0</v>
      </c>
      <c r="G64" s="258" t="s">
        <v>484</v>
      </c>
      <c r="H64" s="259"/>
      <c r="I64" s="260"/>
      <c r="J64" s="261" t="s">
        <v>86</v>
      </c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</row>
    <row r="65">
      <c r="A65" s="262">
        <v>41.0</v>
      </c>
      <c r="B65" s="253"/>
      <c r="C65" s="264" t="s">
        <v>155</v>
      </c>
      <c r="D65" s="255" t="s">
        <v>96</v>
      </c>
      <c r="E65" s="256" t="s">
        <v>485</v>
      </c>
      <c r="F65" s="257">
        <v>7.0</v>
      </c>
      <c r="G65" s="258" t="s">
        <v>486</v>
      </c>
      <c r="H65" s="259"/>
      <c r="I65" s="260"/>
      <c r="J65" s="261" t="s">
        <v>156</v>
      </c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</row>
    <row r="66">
      <c r="A66" s="50"/>
      <c r="B66" s="50"/>
      <c r="C66" s="30"/>
      <c r="D66" s="255" t="s">
        <v>96</v>
      </c>
      <c r="E66" s="256" t="s">
        <v>485</v>
      </c>
      <c r="F66" s="257">
        <v>10.0</v>
      </c>
      <c r="G66" s="258" t="s">
        <v>487</v>
      </c>
      <c r="H66" s="259"/>
      <c r="I66" s="260"/>
      <c r="J66" s="261" t="s">
        <v>85</v>
      </c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</row>
    <row r="67">
      <c r="A67" s="269">
        <v>42.0</v>
      </c>
      <c r="B67" s="263"/>
      <c r="C67" s="273" t="s">
        <v>158</v>
      </c>
      <c r="D67" s="255" t="s">
        <v>96</v>
      </c>
      <c r="E67" s="256" t="s">
        <v>488</v>
      </c>
      <c r="F67" s="257">
        <v>6.0</v>
      </c>
      <c r="G67" s="258" t="s">
        <v>489</v>
      </c>
      <c r="H67" s="259"/>
      <c r="I67" s="260"/>
      <c r="J67" s="272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</row>
    <row r="68">
      <c r="A68" s="252">
        <v>43.0</v>
      </c>
      <c r="B68" s="253"/>
      <c r="C68" s="254" t="s">
        <v>159</v>
      </c>
      <c r="D68" s="255" t="s">
        <v>96</v>
      </c>
      <c r="E68" s="256" t="s">
        <v>490</v>
      </c>
      <c r="F68" s="257">
        <v>63.0</v>
      </c>
      <c r="G68" s="258" t="s">
        <v>491</v>
      </c>
      <c r="H68" s="259"/>
      <c r="I68" s="260"/>
      <c r="J68" s="272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</row>
    <row r="69">
      <c r="A69" s="16"/>
      <c r="B69" s="16"/>
      <c r="C69" s="16"/>
      <c r="D69" s="255" t="s">
        <v>96</v>
      </c>
      <c r="E69" s="256" t="s">
        <v>492</v>
      </c>
      <c r="F69" s="257">
        <v>100.0</v>
      </c>
      <c r="G69" s="258" t="s">
        <v>493</v>
      </c>
      <c r="H69" s="259"/>
      <c r="I69" s="260"/>
      <c r="J69" s="261" t="s">
        <v>86</v>
      </c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</row>
    <row r="70">
      <c r="A70" s="50"/>
      <c r="B70" s="50"/>
      <c r="C70" s="50"/>
      <c r="D70" s="255" t="s">
        <v>96</v>
      </c>
      <c r="E70" s="256" t="s">
        <v>494</v>
      </c>
      <c r="F70" s="257">
        <v>850.0</v>
      </c>
      <c r="G70" s="258" t="s">
        <v>495</v>
      </c>
      <c r="H70" s="259"/>
      <c r="I70" s="260"/>
      <c r="J70" s="261" t="s">
        <v>94</v>
      </c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</row>
    <row r="71">
      <c r="A71" s="262">
        <v>44.0</v>
      </c>
      <c r="B71" s="274"/>
      <c r="C71" s="264" t="s">
        <v>160</v>
      </c>
      <c r="D71" s="255" t="s">
        <v>96</v>
      </c>
      <c r="E71" s="256" t="s">
        <v>496</v>
      </c>
      <c r="F71" s="257">
        <v>228.0</v>
      </c>
      <c r="G71" s="258" t="s">
        <v>497</v>
      </c>
      <c r="H71" s="259"/>
      <c r="I71" s="260"/>
      <c r="J71" s="272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</row>
    <row r="72">
      <c r="A72" s="262">
        <v>45.0</v>
      </c>
      <c r="B72" s="253"/>
      <c r="C72" s="267" t="s">
        <v>161</v>
      </c>
      <c r="D72" s="255" t="s">
        <v>162</v>
      </c>
      <c r="E72" s="256" t="s">
        <v>498</v>
      </c>
      <c r="F72" s="257" t="s">
        <v>278</v>
      </c>
      <c r="G72" s="258" t="s">
        <v>278</v>
      </c>
      <c r="H72" s="259"/>
      <c r="I72" s="260"/>
      <c r="J72" s="261" t="s">
        <v>163</v>
      </c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</row>
    <row r="73">
      <c r="A73" s="16"/>
      <c r="B73" s="16"/>
      <c r="C73" s="16"/>
      <c r="D73" s="255" t="s">
        <v>162</v>
      </c>
      <c r="E73" s="256" t="s">
        <v>499</v>
      </c>
      <c r="F73" s="257">
        <v>5.0</v>
      </c>
      <c r="G73" s="258" t="s">
        <v>500</v>
      </c>
      <c r="H73" s="259"/>
      <c r="I73" s="260"/>
      <c r="J73" s="261" t="s">
        <v>164</v>
      </c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</row>
    <row r="74">
      <c r="A74" s="50"/>
      <c r="B74" s="50"/>
      <c r="C74" s="50"/>
      <c r="D74" s="255" t="s">
        <v>162</v>
      </c>
      <c r="E74" s="256" t="s">
        <v>501</v>
      </c>
      <c r="F74" s="257">
        <v>26.0</v>
      </c>
      <c r="G74" s="258" t="s">
        <v>502</v>
      </c>
      <c r="H74" s="259"/>
      <c r="I74" s="260"/>
      <c r="J74" s="261" t="s">
        <v>86</v>
      </c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</row>
    <row r="75">
      <c r="A75" s="269">
        <v>46.0</v>
      </c>
      <c r="B75" s="263"/>
      <c r="C75" s="273" t="s">
        <v>165</v>
      </c>
      <c r="D75" s="255" t="s">
        <v>96</v>
      </c>
      <c r="E75" s="281"/>
      <c r="F75" s="257" t="s">
        <v>278</v>
      </c>
      <c r="G75" s="258" t="s">
        <v>278</v>
      </c>
      <c r="H75" s="259"/>
      <c r="I75" s="260"/>
      <c r="J75" s="272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</row>
    <row r="76">
      <c r="A76" s="252">
        <v>47.0</v>
      </c>
      <c r="B76" s="263"/>
      <c r="C76" s="268" t="s">
        <v>166</v>
      </c>
      <c r="D76" s="255" t="s">
        <v>96</v>
      </c>
      <c r="E76" s="256" t="s">
        <v>459</v>
      </c>
      <c r="F76" s="257">
        <v>16.0</v>
      </c>
      <c r="G76" s="258" t="s">
        <v>503</v>
      </c>
      <c r="H76" s="259"/>
      <c r="I76" s="260"/>
      <c r="J76" s="261" t="s">
        <v>92</v>
      </c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</row>
    <row r="77">
      <c r="A77" s="262">
        <v>48.0</v>
      </c>
      <c r="B77" s="253"/>
      <c r="C77" s="267" t="s">
        <v>167</v>
      </c>
      <c r="D77" s="255" t="s">
        <v>96</v>
      </c>
      <c r="E77" s="256" t="s">
        <v>462</v>
      </c>
      <c r="F77" s="257">
        <v>16.0</v>
      </c>
      <c r="G77" s="258" t="s">
        <v>504</v>
      </c>
      <c r="H77" s="259"/>
      <c r="I77" s="260"/>
      <c r="J77" s="261" t="s">
        <v>92</v>
      </c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</row>
    <row r="78">
      <c r="A78" s="50"/>
      <c r="B78" s="50"/>
      <c r="C78" s="50"/>
      <c r="D78" s="255" t="s">
        <v>96</v>
      </c>
      <c r="E78" s="256" t="s">
        <v>505</v>
      </c>
      <c r="F78" s="257">
        <v>34.0</v>
      </c>
      <c r="G78" s="258" t="s">
        <v>506</v>
      </c>
      <c r="H78" s="259"/>
      <c r="I78" s="260"/>
      <c r="J78" s="261" t="s">
        <v>168</v>
      </c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</row>
    <row r="79">
      <c r="A79" s="262">
        <v>49.0</v>
      </c>
      <c r="B79" s="265"/>
      <c r="C79" s="264" t="s">
        <v>169</v>
      </c>
      <c r="D79" s="255" t="s">
        <v>96</v>
      </c>
      <c r="E79" s="256" t="s">
        <v>507</v>
      </c>
      <c r="F79" s="257">
        <v>12.0</v>
      </c>
      <c r="G79" s="258" t="s">
        <v>508</v>
      </c>
      <c r="H79" s="259"/>
      <c r="I79" s="260"/>
      <c r="J79" s="261" t="s">
        <v>97</v>
      </c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</row>
    <row r="80">
      <c r="A80" s="269">
        <v>50.0</v>
      </c>
      <c r="B80" s="274"/>
      <c r="C80" s="271" t="s">
        <v>170</v>
      </c>
      <c r="D80" s="255" t="s">
        <v>96</v>
      </c>
      <c r="E80" s="281"/>
      <c r="F80" s="257" t="s">
        <v>278</v>
      </c>
      <c r="G80" s="258" t="s">
        <v>278</v>
      </c>
      <c r="H80" s="259"/>
      <c r="I80" s="260"/>
      <c r="J80" s="272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</row>
    <row r="81">
      <c r="A81" s="269">
        <v>51.0</v>
      </c>
      <c r="B81" s="283"/>
      <c r="C81" s="268" t="s">
        <v>171</v>
      </c>
      <c r="D81" s="255" t="s">
        <v>96</v>
      </c>
      <c r="E81" s="256" t="s">
        <v>459</v>
      </c>
      <c r="F81" s="257">
        <v>2.0</v>
      </c>
      <c r="G81" s="258" t="s">
        <v>509</v>
      </c>
      <c r="H81" s="259"/>
      <c r="I81" s="260"/>
      <c r="J81" s="261" t="s">
        <v>168</v>
      </c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</row>
    <row r="82">
      <c r="A82" s="269">
        <v>52.0</v>
      </c>
      <c r="B82" s="274"/>
      <c r="C82" s="271" t="s">
        <v>172</v>
      </c>
      <c r="D82" s="255" t="s">
        <v>96</v>
      </c>
      <c r="E82" s="281"/>
      <c r="F82" s="257" t="s">
        <v>278</v>
      </c>
      <c r="G82" s="258" t="s">
        <v>278</v>
      </c>
      <c r="H82" s="259"/>
      <c r="I82" s="260"/>
      <c r="J82" s="272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</row>
    <row r="83">
      <c r="A83" s="269">
        <v>54.0</v>
      </c>
      <c r="B83" s="275"/>
      <c r="C83" s="273" t="s">
        <v>173</v>
      </c>
      <c r="D83" s="255" t="s">
        <v>121</v>
      </c>
      <c r="E83" s="256" t="s">
        <v>417</v>
      </c>
      <c r="F83" s="257">
        <v>2.0</v>
      </c>
      <c r="G83" s="258" t="s">
        <v>510</v>
      </c>
      <c r="H83" s="259"/>
      <c r="I83" s="260"/>
      <c r="J83" s="272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</row>
    <row r="84">
      <c r="A84" s="269">
        <v>55.0</v>
      </c>
      <c r="B84" s="284"/>
      <c r="C84" s="273" t="s">
        <v>174</v>
      </c>
      <c r="D84" s="255" t="s">
        <v>91</v>
      </c>
      <c r="E84" s="281"/>
      <c r="F84" s="257" t="s">
        <v>278</v>
      </c>
      <c r="G84" s="258" t="s">
        <v>278</v>
      </c>
      <c r="H84" s="259"/>
      <c r="I84" s="260"/>
      <c r="J84" s="272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</row>
    <row r="85">
      <c r="A85" s="269">
        <v>56.0</v>
      </c>
      <c r="B85" s="283"/>
      <c r="C85" s="285" t="s">
        <v>175</v>
      </c>
      <c r="D85" s="255" t="s">
        <v>105</v>
      </c>
      <c r="E85" s="281"/>
      <c r="F85" s="257" t="s">
        <v>278</v>
      </c>
      <c r="G85" s="258" t="s">
        <v>278</v>
      </c>
      <c r="H85" s="259"/>
      <c r="I85" s="260"/>
      <c r="J85" s="272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</row>
    <row r="86">
      <c r="A86" s="252">
        <v>57.0</v>
      </c>
      <c r="B86" s="253"/>
      <c r="C86" s="268" t="s">
        <v>176</v>
      </c>
      <c r="D86" s="255" t="s">
        <v>96</v>
      </c>
      <c r="E86" s="256" t="s">
        <v>511</v>
      </c>
      <c r="F86" s="257">
        <v>10.0</v>
      </c>
      <c r="G86" s="258" t="s">
        <v>512</v>
      </c>
      <c r="H86" s="259"/>
      <c r="I86" s="260"/>
      <c r="J86" s="261" t="s">
        <v>177</v>
      </c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</row>
    <row r="87">
      <c r="A87" s="50"/>
      <c r="B87" s="50"/>
      <c r="C87" s="30"/>
      <c r="D87" s="255" t="s">
        <v>96</v>
      </c>
      <c r="E87" s="256" t="s">
        <v>511</v>
      </c>
      <c r="F87" s="257">
        <v>14.0</v>
      </c>
      <c r="G87" s="258" t="s">
        <v>513</v>
      </c>
      <c r="H87" s="259"/>
      <c r="I87" s="260"/>
      <c r="J87" s="261" t="s">
        <v>85</v>
      </c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</row>
    <row r="88">
      <c r="A88" s="269">
        <v>58.0</v>
      </c>
      <c r="B88" s="270"/>
      <c r="C88" s="285" t="s">
        <v>178</v>
      </c>
      <c r="D88" s="255" t="s">
        <v>126</v>
      </c>
      <c r="E88" s="256" t="s">
        <v>435</v>
      </c>
      <c r="F88" s="257">
        <v>5.0</v>
      </c>
      <c r="G88" s="258" t="s">
        <v>514</v>
      </c>
      <c r="H88" s="259"/>
      <c r="I88" s="260"/>
      <c r="J88" s="261" t="s">
        <v>86</v>
      </c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</row>
    <row r="89">
      <c r="A89" s="252">
        <v>59.0</v>
      </c>
      <c r="B89" s="253"/>
      <c r="C89" s="254" t="s">
        <v>181</v>
      </c>
      <c r="D89" s="255" t="s">
        <v>96</v>
      </c>
      <c r="E89" s="256" t="s">
        <v>515</v>
      </c>
      <c r="F89" s="257">
        <v>22.0</v>
      </c>
      <c r="G89" s="258" t="s">
        <v>516</v>
      </c>
      <c r="H89" s="259"/>
      <c r="I89" s="260"/>
      <c r="J89" s="261" t="s">
        <v>97</v>
      </c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</row>
    <row r="90">
      <c r="A90" s="50"/>
      <c r="B90" s="50"/>
      <c r="C90" s="50"/>
      <c r="D90" s="255" t="s">
        <v>96</v>
      </c>
      <c r="E90" s="256" t="s">
        <v>517</v>
      </c>
      <c r="F90" s="257">
        <v>30.0</v>
      </c>
      <c r="G90" s="258" t="s">
        <v>518</v>
      </c>
      <c r="H90" s="259"/>
      <c r="I90" s="260"/>
      <c r="J90" s="261" t="s">
        <v>144</v>
      </c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</row>
    <row r="91">
      <c r="A91" s="262">
        <v>60.0</v>
      </c>
      <c r="B91" s="265"/>
      <c r="C91" s="267" t="s">
        <v>182</v>
      </c>
      <c r="D91" s="255" t="s">
        <v>96</v>
      </c>
      <c r="E91" s="256" t="s">
        <v>519</v>
      </c>
      <c r="F91" s="257">
        <v>7.0</v>
      </c>
      <c r="G91" s="258" t="s">
        <v>520</v>
      </c>
      <c r="H91" s="259"/>
      <c r="I91" s="260"/>
      <c r="J91" s="261" t="s">
        <v>177</v>
      </c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</row>
    <row r="92">
      <c r="A92" s="16"/>
      <c r="B92" s="286"/>
      <c r="C92" s="16"/>
      <c r="D92" s="255" t="s">
        <v>96</v>
      </c>
      <c r="E92" s="256" t="s">
        <v>521</v>
      </c>
      <c r="F92" s="257">
        <v>42.0</v>
      </c>
      <c r="G92" s="258" t="s">
        <v>522</v>
      </c>
      <c r="H92" s="259"/>
      <c r="I92" s="260"/>
      <c r="J92" s="261" t="s">
        <v>86</v>
      </c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</row>
    <row r="93">
      <c r="A93" s="50"/>
      <c r="B93" s="50"/>
      <c r="C93" s="50"/>
      <c r="D93" s="255" t="s">
        <v>96</v>
      </c>
      <c r="E93" s="256" t="s">
        <v>523</v>
      </c>
      <c r="F93" s="257">
        <v>18.0</v>
      </c>
      <c r="G93" s="258" t="s">
        <v>524</v>
      </c>
      <c r="H93" s="259"/>
      <c r="I93" s="260"/>
      <c r="J93" s="261" t="s">
        <v>94</v>
      </c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</row>
    <row r="94">
      <c r="A94" s="252">
        <v>61.0</v>
      </c>
      <c r="B94" s="253"/>
      <c r="C94" s="254" t="s">
        <v>183</v>
      </c>
      <c r="D94" s="255" t="s">
        <v>96</v>
      </c>
      <c r="E94" s="256" t="s">
        <v>525</v>
      </c>
      <c r="F94" s="257">
        <v>72.0</v>
      </c>
      <c r="G94" s="258" t="s">
        <v>526</v>
      </c>
      <c r="H94" s="259"/>
      <c r="I94" s="260"/>
      <c r="J94" s="261" t="s">
        <v>86</v>
      </c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</row>
    <row r="95">
      <c r="A95" s="50"/>
      <c r="B95" s="50"/>
      <c r="C95" s="50"/>
      <c r="D95" s="255" t="s">
        <v>96</v>
      </c>
      <c r="E95" s="256" t="s">
        <v>527</v>
      </c>
      <c r="F95" s="257" t="s">
        <v>278</v>
      </c>
      <c r="G95" s="258" t="s">
        <v>278</v>
      </c>
      <c r="H95" s="259"/>
      <c r="I95" s="260"/>
      <c r="J95" s="261" t="s">
        <v>94</v>
      </c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</row>
    <row r="96">
      <c r="A96" s="262">
        <v>62.0</v>
      </c>
      <c r="B96" s="253"/>
      <c r="C96" s="267" t="s">
        <v>184</v>
      </c>
      <c r="D96" s="255" t="s">
        <v>96</v>
      </c>
      <c r="E96" s="256" t="s">
        <v>528</v>
      </c>
      <c r="F96" s="257">
        <v>16.0</v>
      </c>
      <c r="G96" s="258" t="s">
        <v>529</v>
      </c>
      <c r="H96" s="259"/>
      <c r="I96" s="260"/>
      <c r="J96" s="261" t="s">
        <v>97</v>
      </c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</row>
    <row r="97">
      <c r="A97" s="50"/>
      <c r="B97" s="50"/>
      <c r="C97" s="50"/>
      <c r="D97" s="255" t="s">
        <v>96</v>
      </c>
      <c r="E97" s="256" t="s">
        <v>525</v>
      </c>
      <c r="F97" s="257">
        <v>20.0</v>
      </c>
      <c r="G97" s="258" t="s">
        <v>530</v>
      </c>
      <c r="H97" s="259"/>
      <c r="I97" s="260"/>
      <c r="J97" s="261" t="s">
        <v>86</v>
      </c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</row>
    <row r="98">
      <c r="A98" s="262">
        <v>63.0</v>
      </c>
      <c r="B98" s="253"/>
      <c r="C98" s="267" t="s">
        <v>185</v>
      </c>
      <c r="D98" s="255" t="s">
        <v>96</v>
      </c>
      <c r="E98" s="256" t="s">
        <v>531</v>
      </c>
      <c r="F98" s="257">
        <v>2.0</v>
      </c>
      <c r="G98" s="258" t="s">
        <v>532</v>
      </c>
      <c r="H98" s="259"/>
      <c r="I98" s="260"/>
      <c r="J98" s="261" t="s">
        <v>92</v>
      </c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</row>
    <row r="99">
      <c r="A99" s="16"/>
      <c r="B99" s="16"/>
      <c r="C99" s="16"/>
      <c r="D99" s="255" t="s">
        <v>96</v>
      </c>
      <c r="E99" s="256" t="s">
        <v>533</v>
      </c>
      <c r="F99" s="257">
        <v>2.0</v>
      </c>
      <c r="G99" s="258" t="s">
        <v>534</v>
      </c>
      <c r="H99" s="259"/>
      <c r="I99" s="260"/>
      <c r="J99" s="261" t="s">
        <v>186</v>
      </c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</row>
    <row r="100">
      <c r="A100" s="50"/>
      <c r="B100" s="16"/>
      <c r="C100" s="50"/>
      <c r="D100" s="255" t="s">
        <v>96</v>
      </c>
      <c r="E100" s="256" t="s">
        <v>535</v>
      </c>
      <c r="F100" s="257">
        <v>34.0</v>
      </c>
      <c r="G100" s="258" t="s">
        <v>536</v>
      </c>
      <c r="H100" s="259"/>
      <c r="I100" s="260"/>
      <c r="J100" s="261" t="s">
        <v>94</v>
      </c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</row>
    <row r="101">
      <c r="A101" s="252">
        <v>64.0</v>
      </c>
      <c r="B101" s="270"/>
      <c r="C101" s="268" t="s">
        <v>537</v>
      </c>
      <c r="D101" s="255" t="s">
        <v>96</v>
      </c>
      <c r="E101" s="256" t="s">
        <v>538</v>
      </c>
      <c r="F101" s="257">
        <v>31.0</v>
      </c>
      <c r="G101" s="258" t="s">
        <v>539</v>
      </c>
      <c r="H101" s="259"/>
      <c r="I101" s="260"/>
      <c r="J101" s="261" t="s">
        <v>94</v>
      </c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</row>
    <row r="102">
      <c r="A102" s="262">
        <v>65.0</v>
      </c>
      <c r="B102" s="253"/>
      <c r="C102" s="267" t="s">
        <v>188</v>
      </c>
      <c r="D102" s="255" t="s">
        <v>121</v>
      </c>
      <c r="E102" s="256" t="s">
        <v>540</v>
      </c>
      <c r="F102" s="257">
        <v>14.0</v>
      </c>
      <c r="G102" s="258" t="s">
        <v>541</v>
      </c>
      <c r="H102" s="259"/>
      <c r="I102" s="260"/>
      <c r="J102" s="261" t="s">
        <v>97</v>
      </c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</row>
    <row r="103">
      <c r="A103" s="50"/>
      <c r="B103" s="50"/>
      <c r="C103" s="50"/>
      <c r="D103" s="255" t="s">
        <v>121</v>
      </c>
      <c r="E103" s="256" t="s">
        <v>542</v>
      </c>
      <c r="F103" s="257">
        <v>27.0</v>
      </c>
      <c r="G103" s="258" t="s">
        <v>543</v>
      </c>
      <c r="H103" s="259"/>
      <c r="I103" s="260"/>
      <c r="J103" s="261" t="s">
        <v>92</v>
      </c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</row>
    <row r="104">
      <c r="A104" s="252">
        <v>66.0</v>
      </c>
      <c r="B104" s="263"/>
      <c r="C104" s="268" t="s">
        <v>189</v>
      </c>
      <c r="D104" s="255" t="s">
        <v>190</v>
      </c>
      <c r="E104" s="256" t="s">
        <v>544</v>
      </c>
      <c r="F104" s="257">
        <v>8.0</v>
      </c>
      <c r="G104" s="258" t="s">
        <v>545</v>
      </c>
      <c r="H104" s="259"/>
      <c r="I104" s="260"/>
      <c r="J104" s="261" t="s">
        <v>191</v>
      </c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</row>
    <row r="105">
      <c r="A105" s="262">
        <v>67.0</v>
      </c>
      <c r="B105" s="287"/>
      <c r="C105" s="264" t="s">
        <v>192</v>
      </c>
      <c r="D105" s="255" t="s">
        <v>118</v>
      </c>
      <c r="E105" s="256" t="s">
        <v>546</v>
      </c>
      <c r="F105" s="257">
        <v>1.0</v>
      </c>
      <c r="G105" s="258" t="s">
        <v>547</v>
      </c>
      <c r="H105" s="259"/>
      <c r="I105" s="260"/>
      <c r="J105" s="261" t="s">
        <v>97</v>
      </c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</row>
    <row r="106">
      <c r="A106" s="50"/>
      <c r="B106" s="50"/>
      <c r="C106" s="30"/>
      <c r="D106" s="255" t="s">
        <v>118</v>
      </c>
      <c r="E106" s="256" t="s">
        <v>548</v>
      </c>
      <c r="F106" s="257">
        <v>1.0</v>
      </c>
      <c r="G106" s="258" t="s">
        <v>549</v>
      </c>
      <c r="H106" s="259"/>
      <c r="I106" s="260"/>
      <c r="J106" s="272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</row>
    <row r="107">
      <c r="A107" s="252">
        <v>68.0</v>
      </c>
      <c r="B107" s="288"/>
      <c r="C107" s="254" t="s">
        <v>550</v>
      </c>
      <c r="D107" s="255" t="s">
        <v>118</v>
      </c>
      <c r="E107" s="256" t="s">
        <v>551</v>
      </c>
      <c r="F107" s="257">
        <v>2.0</v>
      </c>
      <c r="G107" s="258" t="s">
        <v>552</v>
      </c>
      <c r="H107" s="259"/>
      <c r="I107" s="260"/>
      <c r="J107" s="261" t="s">
        <v>97</v>
      </c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</row>
    <row r="108">
      <c r="A108" s="50"/>
      <c r="B108" s="50"/>
      <c r="C108" s="50"/>
      <c r="D108" s="255" t="s">
        <v>118</v>
      </c>
      <c r="E108" s="256" t="s">
        <v>553</v>
      </c>
      <c r="F108" s="257">
        <v>1.0</v>
      </c>
      <c r="G108" s="258" t="s">
        <v>554</v>
      </c>
      <c r="H108" s="259"/>
      <c r="I108" s="260"/>
      <c r="J108" s="272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</row>
    <row r="109">
      <c r="A109" s="252">
        <v>69.0</v>
      </c>
      <c r="B109" s="288"/>
      <c r="C109" s="254" t="s">
        <v>555</v>
      </c>
      <c r="D109" s="255" t="s">
        <v>118</v>
      </c>
      <c r="E109" s="256" t="s">
        <v>551</v>
      </c>
      <c r="F109" s="257">
        <v>2.0</v>
      </c>
      <c r="G109" s="258" t="s">
        <v>552</v>
      </c>
      <c r="H109" s="259"/>
      <c r="I109" s="260"/>
      <c r="J109" s="261" t="s">
        <v>97</v>
      </c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</row>
    <row r="110">
      <c r="A110" s="50"/>
      <c r="B110" s="50"/>
      <c r="C110" s="50"/>
      <c r="D110" s="255" t="s">
        <v>118</v>
      </c>
      <c r="E110" s="256" t="s">
        <v>553</v>
      </c>
      <c r="F110" s="257">
        <v>1.0</v>
      </c>
      <c r="G110" s="258" t="s">
        <v>554</v>
      </c>
      <c r="H110" s="259"/>
      <c r="I110" s="260"/>
      <c r="J110" s="272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</row>
    <row r="111">
      <c r="A111" s="252">
        <v>70.0</v>
      </c>
      <c r="B111" s="288"/>
      <c r="C111" s="254" t="s">
        <v>556</v>
      </c>
      <c r="D111" s="255" t="s">
        <v>118</v>
      </c>
      <c r="E111" s="256" t="s">
        <v>551</v>
      </c>
      <c r="F111" s="257">
        <v>1.0</v>
      </c>
      <c r="G111" s="258" t="s">
        <v>557</v>
      </c>
      <c r="H111" s="259"/>
      <c r="I111" s="260"/>
      <c r="J111" s="261" t="s">
        <v>97</v>
      </c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</row>
    <row r="112">
      <c r="A112" s="50"/>
      <c r="B112" s="50"/>
      <c r="C112" s="50"/>
      <c r="D112" s="255" t="s">
        <v>118</v>
      </c>
      <c r="E112" s="256" t="s">
        <v>553</v>
      </c>
      <c r="F112" s="257">
        <v>1.0</v>
      </c>
      <c r="G112" s="258" t="s">
        <v>554</v>
      </c>
      <c r="H112" s="259"/>
      <c r="I112" s="260"/>
      <c r="J112" s="272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</row>
    <row r="113">
      <c r="A113" s="252">
        <v>72.0</v>
      </c>
      <c r="B113" s="274"/>
      <c r="C113" s="268" t="s">
        <v>558</v>
      </c>
      <c r="D113" s="255" t="s">
        <v>118</v>
      </c>
      <c r="E113" s="256" t="s">
        <v>559</v>
      </c>
      <c r="F113" s="257">
        <v>31.0</v>
      </c>
      <c r="G113" s="258" t="s">
        <v>560</v>
      </c>
      <c r="H113" s="259"/>
      <c r="I113" s="260"/>
      <c r="J113" s="261" t="s">
        <v>94</v>
      </c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</row>
    <row r="114">
      <c r="A114" s="262">
        <v>73.0</v>
      </c>
      <c r="B114" s="288"/>
      <c r="C114" s="267" t="s">
        <v>197</v>
      </c>
      <c r="D114" s="255" t="s">
        <v>118</v>
      </c>
      <c r="E114" s="256" t="s">
        <v>561</v>
      </c>
      <c r="F114" s="257">
        <v>8.0</v>
      </c>
      <c r="G114" s="258" t="s">
        <v>562</v>
      </c>
      <c r="H114" s="259"/>
      <c r="I114" s="260"/>
      <c r="J114" s="261" t="s">
        <v>85</v>
      </c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</row>
    <row r="115">
      <c r="A115" s="50"/>
      <c r="B115" s="50"/>
      <c r="C115" s="50"/>
      <c r="D115" s="255" t="s">
        <v>118</v>
      </c>
      <c r="E115" s="256" t="s">
        <v>563</v>
      </c>
      <c r="F115" s="257">
        <v>10.0</v>
      </c>
      <c r="G115" s="258" t="s">
        <v>564</v>
      </c>
      <c r="H115" s="259"/>
      <c r="I115" s="260"/>
      <c r="J115" s="261" t="s">
        <v>86</v>
      </c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</row>
    <row r="116" ht="28.5" customHeight="1">
      <c r="A116" s="252">
        <v>74.0</v>
      </c>
      <c r="B116" s="289"/>
      <c r="C116" s="267" t="s">
        <v>198</v>
      </c>
      <c r="D116" s="255" t="s">
        <v>118</v>
      </c>
      <c r="E116" s="290" t="s">
        <v>561</v>
      </c>
      <c r="F116" s="291">
        <v>2.0</v>
      </c>
      <c r="G116" s="258" t="s">
        <v>565</v>
      </c>
      <c r="H116" s="292"/>
      <c r="I116" s="292"/>
      <c r="J116" s="269" t="s">
        <v>85</v>
      </c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</row>
    <row r="117">
      <c r="A117" s="50"/>
      <c r="B117" s="50"/>
      <c r="C117" s="50"/>
      <c r="D117" s="255" t="s">
        <v>118</v>
      </c>
      <c r="E117" s="290" t="s">
        <v>563</v>
      </c>
      <c r="F117" s="291">
        <v>5.0</v>
      </c>
      <c r="G117" s="293" t="s">
        <v>566</v>
      </c>
      <c r="H117" s="292"/>
      <c r="I117" s="292"/>
      <c r="J117" s="269" t="s">
        <v>86</v>
      </c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</row>
    <row r="118">
      <c r="A118" s="252">
        <v>75.0</v>
      </c>
      <c r="B118" s="289"/>
      <c r="C118" s="254" t="s">
        <v>199</v>
      </c>
      <c r="D118" s="255" t="s">
        <v>118</v>
      </c>
      <c r="E118" s="290" t="s">
        <v>561</v>
      </c>
      <c r="F118" s="291">
        <v>2.0</v>
      </c>
      <c r="G118" s="293" t="s">
        <v>565</v>
      </c>
      <c r="H118" s="292"/>
      <c r="I118" s="294"/>
      <c r="J118" s="269" t="s">
        <v>85</v>
      </c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</row>
    <row r="119">
      <c r="A119" s="50"/>
      <c r="B119" s="50"/>
      <c r="C119" s="50"/>
      <c r="D119" s="255" t="s">
        <v>118</v>
      </c>
      <c r="E119" s="290" t="s">
        <v>563</v>
      </c>
      <c r="F119" s="291">
        <v>5.0</v>
      </c>
      <c r="G119" s="293" t="s">
        <v>566</v>
      </c>
      <c r="H119" s="292"/>
      <c r="I119" s="292"/>
      <c r="J119" s="269" t="s">
        <v>86</v>
      </c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</row>
    <row r="120">
      <c r="A120" s="252">
        <v>76.0</v>
      </c>
      <c r="B120" s="289"/>
      <c r="C120" s="254" t="s">
        <v>200</v>
      </c>
      <c r="D120" s="255" t="s">
        <v>118</v>
      </c>
      <c r="E120" s="290" t="s">
        <v>561</v>
      </c>
      <c r="F120" s="291">
        <v>2.0</v>
      </c>
      <c r="G120" s="293" t="s">
        <v>565</v>
      </c>
      <c r="H120" s="292"/>
      <c r="I120" s="292"/>
      <c r="J120" s="269" t="s">
        <v>85</v>
      </c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</row>
    <row r="121">
      <c r="A121" s="50"/>
      <c r="B121" s="50"/>
      <c r="C121" s="50"/>
      <c r="D121" s="255" t="s">
        <v>118</v>
      </c>
      <c r="E121" s="290" t="s">
        <v>563</v>
      </c>
      <c r="F121" s="291">
        <v>5.0</v>
      </c>
      <c r="G121" s="293" t="s">
        <v>566</v>
      </c>
      <c r="H121" s="292"/>
      <c r="I121" s="292"/>
      <c r="J121" s="269" t="s">
        <v>86</v>
      </c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</row>
    <row r="122">
      <c r="A122" s="252">
        <v>77.0</v>
      </c>
      <c r="B122" s="289"/>
      <c r="C122" s="254" t="s">
        <v>201</v>
      </c>
      <c r="D122" s="255" t="s">
        <v>118</v>
      </c>
      <c r="E122" s="290" t="s">
        <v>446</v>
      </c>
      <c r="F122" s="291">
        <v>1.0</v>
      </c>
      <c r="G122" s="293" t="s">
        <v>567</v>
      </c>
      <c r="H122" s="292"/>
      <c r="I122" s="292"/>
      <c r="J122" s="269" t="s">
        <v>85</v>
      </c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</row>
    <row r="123">
      <c r="A123" s="50"/>
      <c r="B123" s="50"/>
      <c r="C123" s="16"/>
      <c r="D123" s="255" t="s">
        <v>118</v>
      </c>
      <c r="E123" s="290" t="s">
        <v>535</v>
      </c>
      <c r="F123" s="291">
        <v>5.0</v>
      </c>
      <c r="G123" s="293" t="s">
        <v>568</v>
      </c>
      <c r="H123" s="292"/>
      <c r="I123" s="292"/>
      <c r="J123" s="269" t="s">
        <v>94</v>
      </c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</row>
    <row r="124">
      <c r="A124" s="269">
        <v>78.0</v>
      </c>
      <c r="B124" s="292"/>
      <c r="C124" s="264" t="s">
        <v>204</v>
      </c>
      <c r="D124" s="255" t="s">
        <v>118</v>
      </c>
      <c r="E124" s="290" t="s">
        <v>535</v>
      </c>
      <c r="F124" s="291">
        <v>2.0</v>
      </c>
      <c r="G124" s="293" t="s">
        <v>569</v>
      </c>
      <c r="H124" s="292"/>
      <c r="I124" s="292"/>
      <c r="J124" s="269" t="s">
        <v>94</v>
      </c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</row>
    <row r="125">
      <c r="A125" s="269">
        <v>79.0</v>
      </c>
      <c r="B125" s="292"/>
      <c r="C125" s="264" t="s">
        <v>205</v>
      </c>
      <c r="D125" s="255" t="s">
        <v>118</v>
      </c>
      <c r="E125" s="290" t="s">
        <v>535</v>
      </c>
      <c r="F125" s="291">
        <v>2.0</v>
      </c>
      <c r="G125" s="293" t="s">
        <v>569</v>
      </c>
      <c r="H125" s="292"/>
      <c r="I125" s="292"/>
      <c r="J125" s="269" t="s">
        <v>94</v>
      </c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</row>
    <row r="126">
      <c r="A126" s="269">
        <v>80.0</v>
      </c>
      <c r="B126" s="295"/>
      <c r="C126" s="264" t="s">
        <v>206</v>
      </c>
      <c r="D126" s="255" t="s">
        <v>118</v>
      </c>
      <c r="E126" s="290" t="s">
        <v>535</v>
      </c>
      <c r="F126" s="291">
        <v>2.0</v>
      </c>
      <c r="G126" s="293" t="s">
        <v>569</v>
      </c>
      <c r="H126" s="292"/>
      <c r="I126" s="292"/>
      <c r="J126" s="269" t="s">
        <v>94</v>
      </c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</row>
    <row r="127">
      <c r="A127" s="252">
        <v>81.0</v>
      </c>
      <c r="B127" s="289"/>
      <c r="C127" s="264" t="s">
        <v>570</v>
      </c>
      <c r="D127" s="255" t="s">
        <v>118</v>
      </c>
      <c r="E127" s="290" t="s">
        <v>571</v>
      </c>
      <c r="F127" s="291" t="s">
        <v>278</v>
      </c>
      <c r="G127" s="293" t="s">
        <v>278</v>
      </c>
      <c r="H127" s="292"/>
      <c r="I127" s="292"/>
      <c r="J127" s="269" t="s">
        <v>85</v>
      </c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</row>
    <row r="128">
      <c r="A128" s="16"/>
      <c r="B128" s="16"/>
      <c r="C128" s="18"/>
      <c r="D128" s="255" t="s">
        <v>118</v>
      </c>
      <c r="E128" s="290" t="s">
        <v>572</v>
      </c>
      <c r="F128" s="291">
        <v>10.0</v>
      </c>
      <c r="G128" s="293" t="s">
        <v>573</v>
      </c>
      <c r="H128" s="292"/>
      <c r="I128" s="292"/>
      <c r="J128" s="269" t="s">
        <v>86</v>
      </c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</row>
    <row r="129">
      <c r="A129" s="50"/>
      <c r="B129" s="50"/>
      <c r="C129" s="18"/>
      <c r="D129" s="255" t="s">
        <v>118</v>
      </c>
      <c r="E129" s="290" t="s">
        <v>574</v>
      </c>
      <c r="F129" s="291">
        <v>34.0</v>
      </c>
      <c r="G129" s="293" t="s">
        <v>575</v>
      </c>
      <c r="H129" s="292"/>
      <c r="I129" s="292"/>
      <c r="J129" s="269" t="s">
        <v>94</v>
      </c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</row>
    <row r="130">
      <c r="A130" s="252">
        <v>82.0</v>
      </c>
      <c r="B130" s="289"/>
      <c r="C130" s="264" t="s">
        <v>576</v>
      </c>
      <c r="D130" s="296" t="s">
        <v>118</v>
      </c>
      <c r="E130" s="290" t="s">
        <v>577</v>
      </c>
      <c r="F130" s="291" t="s">
        <v>278</v>
      </c>
      <c r="G130" s="293" t="s">
        <v>278</v>
      </c>
      <c r="H130" s="292"/>
      <c r="I130" s="292"/>
      <c r="J130" s="269" t="s">
        <v>85</v>
      </c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</row>
    <row r="131">
      <c r="A131" s="16"/>
      <c r="B131" s="16"/>
      <c r="C131" s="18"/>
      <c r="D131" s="296" t="s">
        <v>118</v>
      </c>
      <c r="E131" s="290" t="s">
        <v>572</v>
      </c>
      <c r="F131" s="291" t="s">
        <v>278</v>
      </c>
      <c r="G131" s="293" t="s">
        <v>278</v>
      </c>
      <c r="H131" s="292"/>
      <c r="I131" s="292"/>
      <c r="J131" s="269" t="s">
        <v>85</v>
      </c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</row>
    <row r="132">
      <c r="A132" s="50"/>
      <c r="B132" s="50"/>
      <c r="C132" s="30"/>
      <c r="D132" s="297" t="s">
        <v>118</v>
      </c>
      <c r="E132" s="298" t="s">
        <v>577</v>
      </c>
      <c r="F132" s="299">
        <v>17.0</v>
      </c>
      <c r="G132" s="300" t="s">
        <v>578</v>
      </c>
      <c r="H132" s="295"/>
      <c r="I132" s="295"/>
      <c r="J132" s="301" t="s">
        <v>94</v>
      </c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</row>
    <row r="133">
      <c r="A133" s="302" t="s">
        <v>334</v>
      </c>
      <c r="B133" s="10"/>
      <c r="C133" s="10"/>
      <c r="D133" s="10"/>
      <c r="E133" s="10"/>
      <c r="F133" s="14"/>
      <c r="G133" s="303" t="s">
        <v>579</v>
      </c>
      <c r="H133" s="304"/>
      <c r="I133" s="304"/>
      <c r="J133" s="305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</row>
    <row r="134">
      <c r="A134" s="306"/>
      <c r="B134" s="306"/>
      <c r="C134" s="306"/>
      <c r="D134" s="306"/>
      <c r="E134" s="306"/>
      <c r="F134" s="306"/>
      <c r="G134" s="306"/>
      <c r="H134" s="306"/>
      <c r="I134" s="307"/>
      <c r="J134" s="308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</row>
    <row r="135">
      <c r="A135" s="309"/>
      <c r="B135" s="309"/>
      <c r="C135" s="309"/>
      <c r="D135" s="309"/>
      <c r="E135" s="309"/>
      <c r="F135" s="309"/>
      <c r="G135" s="309"/>
      <c r="H135" s="309"/>
      <c r="I135" s="310" t="s">
        <v>580</v>
      </c>
      <c r="J135" s="31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</row>
    <row r="136">
      <c r="A136" s="312"/>
      <c r="B136" s="312"/>
      <c r="C136" s="312"/>
      <c r="D136" s="309"/>
      <c r="E136" s="312"/>
      <c r="F136" s="312"/>
      <c r="G136" s="312"/>
      <c r="H136" s="312"/>
      <c r="I136" s="312"/>
      <c r="J136" s="312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</row>
    <row r="137">
      <c r="A137" s="312"/>
      <c r="B137" s="312"/>
      <c r="C137" s="313" t="s">
        <v>364</v>
      </c>
      <c r="D137" s="309"/>
      <c r="E137" s="312"/>
      <c r="F137" s="312"/>
      <c r="G137" s="312"/>
      <c r="H137" s="314" t="s">
        <v>365</v>
      </c>
      <c r="I137" s="311"/>
      <c r="J137" s="30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</row>
    <row r="138">
      <c r="A138" s="312"/>
      <c r="B138" s="312"/>
      <c r="C138" s="313" t="s">
        <v>366</v>
      </c>
      <c r="D138" s="309"/>
      <c r="E138" s="312"/>
      <c r="F138" s="312"/>
      <c r="G138" s="312"/>
      <c r="H138" s="312"/>
      <c r="I138" s="312"/>
      <c r="J138" s="312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</row>
    <row r="139">
      <c r="A139" s="315"/>
      <c r="B139" s="316"/>
      <c r="C139" s="313" t="s">
        <v>367</v>
      </c>
      <c r="D139" s="306"/>
      <c r="E139" s="317"/>
      <c r="F139" s="318"/>
      <c r="G139" s="319"/>
      <c r="H139" s="318"/>
      <c r="I139" s="312"/>
      <c r="J139" s="317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</row>
    <row r="140">
      <c r="A140" s="315"/>
      <c r="B140" s="316"/>
      <c r="C140" s="316"/>
      <c r="D140" s="320"/>
      <c r="E140" s="317"/>
      <c r="F140" s="318"/>
      <c r="G140" s="319"/>
      <c r="H140" s="318"/>
      <c r="I140" s="312"/>
      <c r="J140" s="317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</row>
    <row r="141">
      <c r="A141" s="306"/>
      <c r="B141" s="320"/>
      <c r="C141" s="320"/>
      <c r="D141" s="320"/>
      <c r="E141" s="317"/>
      <c r="F141" s="318"/>
      <c r="G141" s="319"/>
      <c r="H141" s="318"/>
      <c r="I141" s="312"/>
      <c r="J141" s="317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</row>
    <row r="142">
      <c r="A142" s="315"/>
      <c r="B142" s="316"/>
      <c r="C142" s="316"/>
      <c r="D142" s="320"/>
      <c r="E142" s="317"/>
      <c r="F142" s="318"/>
      <c r="G142" s="319"/>
      <c r="H142" s="318"/>
      <c r="I142" s="312"/>
      <c r="J142" s="317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</row>
    <row r="143">
      <c r="A143" s="315"/>
      <c r="B143" s="321" t="s">
        <v>368</v>
      </c>
      <c r="C143" s="311"/>
      <c r="D143" s="30"/>
      <c r="E143" s="317"/>
      <c r="F143" s="318"/>
      <c r="G143" s="319"/>
      <c r="H143" s="322"/>
      <c r="I143" s="313" t="s">
        <v>369</v>
      </c>
      <c r="J143" s="323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</row>
    <row r="144">
      <c r="A144" s="315"/>
      <c r="B144" s="321" t="s">
        <v>370</v>
      </c>
      <c r="C144" s="311"/>
      <c r="D144" s="30"/>
      <c r="E144" s="317"/>
      <c r="F144" s="318"/>
      <c r="G144" s="319"/>
      <c r="H144" s="322"/>
      <c r="I144" s="313" t="s">
        <v>371</v>
      </c>
      <c r="J144" s="323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</row>
    <row r="145">
      <c r="A145" s="324"/>
      <c r="B145" s="324"/>
      <c r="C145" s="324"/>
      <c r="D145" s="324"/>
      <c r="E145" s="325"/>
      <c r="F145" s="326"/>
      <c r="G145" s="327"/>
      <c r="H145" s="328"/>
      <c r="I145" s="329"/>
      <c r="J145" s="330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</row>
    <row r="146">
      <c r="A146" s="306"/>
      <c r="B146" s="320"/>
      <c r="C146" s="320"/>
      <c r="D146" s="320"/>
      <c r="E146" s="331"/>
      <c r="F146" s="332"/>
      <c r="G146" s="333"/>
      <c r="H146" s="332"/>
      <c r="I146" s="309"/>
      <c r="J146" s="33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</row>
    <row r="147">
      <c r="A147" s="306"/>
      <c r="B147" s="320"/>
      <c r="C147" s="320"/>
      <c r="D147" s="306"/>
      <c r="E147" s="331"/>
      <c r="F147" s="332"/>
      <c r="G147" s="333"/>
      <c r="H147" s="332"/>
      <c r="I147" s="309"/>
      <c r="J147" s="33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</row>
    <row r="148">
      <c r="A148" s="306"/>
      <c r="B148" s="320"/>
      <c r="C148" s="320"/>
      <c r="D148" s="320"/>
      <c r="E148" s="331"/>
      <c r="F148" s="332"/>
      <c r="G148" s="333"/>
      <c r="H148" s="332"/>
      <c r="I148" s="309"/>
      <c r="J148" s="33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</row>
    <row r="149">
      <c r="A149" s="306"/>
      <c r="B149" s="320"/>
      <c r="C149" s="320"/>
      <c r="D149" s="320"/>
      <c r="E149" s="331"/>
      <c r="F149" s="332"/>
      <c r="G149" s="333"/>
      <c r="H149" s="332"/>
      <c r="I149" s="309"/>
      <c r="J149" s="33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</row>
    <row r="150">
      <c r="A150" s="306"/>
      <c r="B150" s="320"/>
      <c r="C150" s="320"/>
      <c r="D150" s="320"/>
      <c r="E150" s="331"/>
      <c r="F150" s="332"/>
      <c r="G150" s="333"/>
      <c r="H150" s="332"/>
      <c r="I150" s="309"/>
      <c r="J150" s="33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</row>
    <row r="151">
      <c r="A151" s="306"/>
      <c r="B151" s="320"/>
      <c r="C151" s="320"/>
      <c r="D151" s="320"/>
      <c r="E151" s="331"/>
      <c r="F151" s="332"/>
      <c r="G151" s="333"/>
      <c r="H151" s="332"/>
      <c r="I151" s="309"/>
      <c r="J151" s="33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</row>
    <row r="152">
      <c r="A152" s="334" t="s">
        <v>372</v>
      </c>
      <c r="B152" s="311"/>
      <c r="C152" s="311"/>
      <c r="D152" s="311"/>
      <c r="E152" s="311"/>
      <c r="F152" s="311"/>
      <c r="G152" s="311"/>
      <c r="H152" s="311"/>
      <c r="I152" s="311"/>
      <c r="J152" s="30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</row>
    <row r="153">
      <c r="A153" s="334" t="s">
        <v>12</v>
      </c>
      <c r="B153" s="311"/>
      <c r="C153" s="311"/>
      <c r="D153" s="311"/>
      <c r="E153" s="311"/>
      <c r="F153" s="311"/>
      <c r="G153" s="311"/>
      <c r="H153" s="311"/>
      <c r="I153" s="311"/>
      <c r="J153" s="30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</row>
    <row r="154">
      <c r="A154" s="334" t="s">
        <v>347</v>
      </c>
      <c r="B154" s="311"/>
      <c r="C154" s="311"/>
      <c r="D154" s="311"/>
      <c r="E154" s="311"/>
      <c r="F154" s="311"/>
      <c r="G154" s="311"/>
      <c r="H154" s="311"/>
      <c r="I154" s="311"/>
      <c r="J154" s="30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</row>
    <row r="155">
      <c r="A155" s="335"/>
      <c r="B155" s="336"/>
      <c r="C155" s="336"/>
      <c r="D155" s="337"/>
      <c r="E155" s="338"/>
      <c r="F155" s="339"/>
      <c r="G155" s="340"/>
      <c r="H155" s="339"/>
      <c r="I155" s="245"/>
      <c r="J155" s="338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</row>
    <row r="156">
      <c r="A156" s="246" t="s">
        <v>348</v>
      </c>
      <c r="B156" s="247" t="s">
        <v>349</v>
      </c>
      <c r="C156" s="247" t="s">
        <v>350</v>
      </c>
      <c r="D156" s="247" t="s">
        <v>7</v>
      </c>
      <c r="E156" s="341" t="s">
        <v>351</v>
      </c>
      <c r="F156" s="342" t="s">
        <v>352</v>
      </c>
      <c r="G156" s="30"/>
      <c r="H156" s="342" t="s">
        <v>353</v>
      </c>
      <c r="I156" s="30"/>
      <c r="J156" s="341" t="s">
        <v>354</v>
      </c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</row>
    <row r="157">
      <c r="A157" s="50"/>
      <c r="B157" s="30"/>
      <c r="C157" s="30"/>
      <c r="D157" s="30"/>
      <c r="E157" s="30"/>
      <c r="F157" s="343" t="s">
        <v>355</v>
      </c>
      <c r="G157" s="344" t="s">
        <v>356</v>
      </c>
      <c r="H157" s="343" t="s">
        <v>355</v>
      </c>
      <c r="I157" s="249" t="s">
        <v>356</v>
      </c>
      <c r="J157" s="30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</row>
    <row r="158">
      <c r="A158" s="345">
        <v>1.0</v>
      </c>
      <c r="B158" s="346">
        <v>2.0</v>
      </c>
      <c r="C158" s="346">
        <v>3.0</v>
      </c>
      <c r="D158" s="346">
        <v>4.0</v>
      </c>
      <c r="E158" s="347">
        <v>5.0</v>
      </c>
      <c r="F158" s="348">
        <v>6.0</v>
      </c>
      <c r="G158" s="349" t="s">
        <v>385</v>
      </c>
      <c r="H158" s="348">
        <v>8.0</v>
      </c>
      <c r="I158" s="346">
        <v>9.0</v>
      </c>
      <c r="J158" s="347">
        <v>10.0</v>
      </c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</row>
    <row r="159">
      <c r="A159" s="252">
        <v>1.0</v>
      </c>
      <c r="B159" s="350"/>
      <c r="C159" s="254" t="s">
        <v>212</v>
      </c>
      <c r="D159" s="255" t="s">
        <v>91</v>
      </c>
      <c r="E159" s="256" t="s">
        <v>563</v>
      </c>
      <c r="F159" s="351">
        <v>22.0</v>
      </c>
      <c r="G159" s="352" t="s">
        <v>581</v>
      </c>
      <c r="H159" s="257" t="s">
        <v>278</v>
      </c>
      <c r="I159" s="290">
        <v>0.0</v>
      </c>
      <c r="J159" s="261" t="s">
        <v>86</v>
      </c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</row>
    <row r="160">
      <c r="A160" s="16"/>
      <c r="B160" s="16"/>
      <c r="C160" s="16"/>
      <c r="D160" s="255" t="s">
        <v>91</v>
      </c>
      <c r="E160" s="256" t="s">
        <v>582</v>
      </c>
      <c r="F160" s="351">
        <v>20.0</v>
      </c>
      <c r="G160" s="352" t="s">
        <v>583</v>
      </c>
      <c r="H160" s="257" t="s">
        <v>278</v>
      </c>
      <c r="I160" s="290">
        <v>0.0</v>
      </c>
      <c r="J160" s="261" t="s">
        <v>94</v>
      </c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</row>
    <row r="161">
      <c r="A161" s="269">
        <v>2.0</v>
      </c>
      <c r="B161" s="353"/>
      <c r="C161" s="264" t="s">
        <v>213</v>
      </c>
      <c r="D161" s="255" t="s">
        <v>99</v>
      </c>
      <c r="E161" s="256" t="s">
        <v>584</v>
      </c>
      <c r="F161" s="354">
        <v>188.0</v>
      </c>
      <c r="G161" s="352" t="s">
        <v>585</v>
      </c>
      <c r="H161" s="257" t="s">
        <v>278</v>
      </c>
      <c r="I161" s="290">
        <v>0.0</v>
      </c>
      <c r="J161" s="355" t="s">
        <v>97</v>
      </c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</row>
    <row r="162">
      <c r="A162" s="252">
        <v>3.0</v>
      </c>
      <c r="B162" s="350"/>
      <c r="C162" s="267" t="s">
        <v>214</v>
      </c>
      <c r="D162" s="255" t="s">
        <v>215</v>
      </c>
      <c r="E162" s="256" t="s">
        <v>586</v>
      </c>
      <c r="F162" s="354">
        <v>4.0</v>
      </c>
      <c r="G162" s="352" t="s">
        <v>587</v>
      </c>
      <c r="H162" s="257" t="s">
        <v>278</v>
      </c>
      <c r="I162" s="290">
        <v>0.0</v>
      </c>
      <c r="J162" s="355" t="s">
        <v>110</v>
      </c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</row>
    <row r="163">
      <c r="A163" s="50"/>
      <c r="B163" s="50"/>
      <c r="C163" s="50"/>
      <c r="D163" s="255" t="s">
        <v>99</v>
      </c>
      <c r="E163" s="256" t="s">
        <v>588</v>
      </c>
      <c r="F163" s="351">
        <v>85.0</v>
      </c>
      <c r="G163" s="352" t="s">
        <v>589</v>
      </c>
      <c r="H163" s="257" t="s">
        <v>278</v>
      </c>
      <c r="I163" s="290">
        <v>0.0</v>
      </c>
      <c r="J163" s="261" t="s">
        <v>94</v>
      </c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</row>
    <row r="164">
      <c r="A164" s="269">
        <v>4.0</v>
      </c>
      <c r="B164" s="353"/>
      <c r="C164" s="264" t="s">
        <v>216</v>
      </c>
      <c r="D164" s="255" t="s">
        <v>99</v>
      </c>
      <c r="E164" s="256" t="s">
        <v>588</v>
      </c>
      <c r="F164" s="351">
        <v>80.0</v>
      </c>
      <c r="G164" s="352" t="s">
        <v>590</v>
      </c>
      <c r="H164" s="257" t="s">
        <v>278</v>
      </c>
      <c r="I164" s="290">
        <v>0.0</v>
      </c>
      <c r="J164" s="261" t="s">
        <v>94</v>
      </c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</row>
    <row r="165">
      <c r="A165" s="252">
        <v>5.0</v>
      </c>
      <c r="B165" s="350"/>
      <c r="C165" s="267" t="s">
        <v>217</v>
      </c>
      <c r="D165" s="255" t="s">
        <v>99</v>
      </c>
      <c r="E165" s="256" t="s">
        <v>591</v>
      </c>
      <c r="F165" s="351">
        <v>18.0</v>
      </c>
      <c r="G165" s="352" t="s">
        <v>592</v>
      </c>
      <c r="H165" s="257" t="s">
        <v>278</v>
      </c>
      <c r="I165" s="290">
        <v>0.0</v>
      </c>
      <c r="J165" s="261" t="s">
        <v>86</v>
      </c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</row>
    <row r="166">
      <c r="A166" s="50"/>
      <c r="B166" s="50"/>
      <c r="C166" s="16"/>
      <c r="D166" s="255" t="s">
        <v>99</v>
      </c>
      <c r="E166" s="256" t="s">
        <v>588</v>
      </c>
      <c r="F166" s="351">
        <v>85.0</v>
      </c>
      <c r="G166" s="352" t="s">
        <v>589</v>
      </c>
      <c r="H166" s="257" t="s">
        <v>278</v>
      </c>
      <c r="I166" s="290">
        <v>0.0</v>
      </c>
      <c r="J166" s="261" t="s">
        <v>94</v>
      </c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</row>
    <row r="167">
      <c r="A167" s="252">
        <v>6.0</v>
      </c>
      <c r="B167" s="350"/>
      <c r="C167" s="267" t="s">
        <v>218</v>
      </c>
      <c r="D167" s="255" t="s">
        <v>99</v>
      </c>
      <c r="E167" s="256" t="s">
        <v>586</v>
      </c>
      <c r="F167" s="354">
        <v>79.0</v>
      </c>
      <c r="G167" s="352" t="s">
        <v>593</v>
      </c>
      <c r="H167" s="257" t="s">
        <v>278</v>
      </c>
      <c r="I167" s="290">
        <v>0.0</v>
      </c>
      <c r="J167" s="355" t="s">
        <v>110</v>
      </c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</row>
    <row r="168">
      <c r="A168" s="16"/>
      <c r="B168" s="16"/>
      <c r="C168" s="16"/>
      <c r="D168" s="255" t="s">
        <v>99</v>
      </c>
      <c r="E168" s="256" t="s">
        <v>594</v>
      </c>
      <c r="F168" s="354">
        <v>20.0</v>
      </c>
      <c r="G168" s="352" t="s">
        <v>595</v>
      </c>
      <c r="H168" s="257" t="s">
        <v>278</v>
      </c>
      <c r="I168" s="290">
        <v>0.0</v>
      </c>
      <c r="J168" s="355" t="s">
        <v>110</v>
      </c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</row>
    <row r="169">
      <c r="A169" s="16"/>
      <c r="B169" s="16"/>
      <c r="C169" s="16"/>
      <c r="D169" s="255" t="s">
        <v>99</v>
      </c>
      <c r="E169" s="256" t="s">
        <v>591</v>
      </c>
      <c r="F169" s="351">
        <v>20.0</v>
      </c>
      <c r="G169" s="352" t="s">
        <v>596</v>
      </c>
      <c r="H169" s="257" t="s">
        <v>278</v>
      </c>
      <c r="I169" s="290">
        <v>0.0</v>
      </c>
      <c r="J169" s="261" t="s">
        <v>86</v>
      </c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</row>
    <row r="170">
      <c r="A170" s="50"/>
      <c r="B170" s="50"/>
      <c r="C170" s="50"/>
      <c r="D170" s="255" t="s">
        <v>99</v>
      </c>
      <c r="E170" s="256" t="s">
        <v>588</v>
      </c>
      <c r="F170" s="351">
        <v>85.0</v>
      </c>
      <c r="G170" s="352" t="s">
        <v>589</v>
      </c>
      <c r="H170" s="257" t="s">
        <v>278</v>
      </c>
      <c r="I170" s="290">
        <v>0.0</v>
      </c>
      <c r="J170" s="261" t="s">
        <v>94</v>
      </c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</row>
    <row r="171">
      <c r="A171" s="252">
        <v>7.0</v>
      </c>
      <c r="B171" s="356"/>
      <c r="C171" s="264" t="s">
        <v>219</v>
      </c>
      <c r="D171" s="255" t="s">
        <v>134</v>
      </c>
      <c r="E171" s="281"/>
      <c r="F171" s="354" t="s">
        <v>278</v>
      </c>
      <c r="G171" s="352" t="s">
        <v>278</v>
      </c>
      <c r="H171" s="257" t="s">
        <v>278</v>
      </c>
      <c r="I171" s="290">
        <v>0.0</v>
      </c>
      <c r="J171" s="357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</row>
    <row r="172">
      <c r="A172" s="269">
        <v>8.0</v>
      </c>
      <c r="B172" s="353"/>
      <c r="C172" s="273" t="s">
        <v>223</v>
      </c>
      <c r="D172" s="255" t="s">
        <v>134</v>
      </c>
      <c r="E172" s="256" t="s">
        <v>597</v>
      </c>
      <c r="F172" s="354" t="s">
        <v>278</v>
      </c>
      <c r="G172" s="352" t="s">
        <v>278</v>
      </c>
      <c r="H172" s="257" t="s">
        <v>278</v>
      </c>
      <c r="I172" s="290">
        <v>0.0</v>
      </c>
      <c r="J172" s="355" t="s">
        <v>97</v>
      </c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</row>
    <row r="173">
      <c r="A173" s="269">
        <v>9.0</v>
      </c>
      <c r="B173" s="353"/>
      <c r="C173" s="273" t="s">
        <v>224</v>
      </c>
      <c r="D173" s="255" t="s">
        <v>134</v>
      </c>
      <c r="E173" s="256" t="s">
        <v>597</v>
      </c>
      <c r="F173" s="354" t="s">
        <v>278</v>
      </c>
      <c r="G173" s="352" t="s">
        <v>278</v>
      </c>
      <c r="H173" s="257" t="s">
        <v>278</v>
      </c>
      <c r="I173" s="290">
        <v>0.0</v>
      </c>
      <c r="J173" s="355" t="s">
        <v>97</v>
      </c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</row>
    <row r="174">
      <c r="A174" s="269">
        <v>10.0</v>
      </c>
      <c r="B174" s="353"/>
      <c r="C174" s="273" t="s">
        <v>225</v>
      </c>
      <c r="D174" s="255" t="s">
        <v>134</v>
      </c>
      <c r="E174" s="256" t="s">
        <v>597</v>
      </c>
      <c r="F174" s="354" t="s">
        <v>278</v>
      </c>
      <c r="G174" s="352" t="s">
        <v>278</v>
      </c>
      <c r="H174" s="257" t="s">
        <v>278</v>
      </c>
      <c r="I174" s="290">
        <v>0.0</v>
      </c>
      <c r="J174" s="355" t="s">
        <v>97</v>
      </c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</row>
    <row r="175">
      <c r="A175" s="269">
        <v>11.0</v>
      </c>
      <c r="B175" s="353"/>
      <c r="C175" s="273" t="s">
        <v>226</v>
      </c>
      <c r="D175" s="255" t="s">
        <v>134</v>
      </c>
      <c r="E175" s="256" t="s">
        <v>597</v>
      </c>
      <c r="F175" s="354" t="s">
        <v>278</v>
      </c>
      <c r="G175" s="352" t="s">
        <v>278</v>
      </c>
      <c r="H175" s="257" t="s">
        <v>278</v>
      </c>
      <c r="I175" s="290">
        <v>0.0</v>
      </c>
      <c r="J175" s="355" t="s">
        <v>97</v>
      </c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</row>
    <row r="176">
      <c r="A176" s="269">
        <v>12.0</v>
      </c>
      <c r="B176" s="353"/>
      <c r="C176" s="273" t="s">
        <v>227</v>
      </c>
      <c r="D176" s="255" t="s">
        <v>134</v>
      </c>
      <c r="E176" s="256" t="s">
        <v>597</v>
      </c>
      <c r="F176" s="354" t="s">
        <v>278</v>
      </c>
      <c r="G176" s="352" t="s">
        <v>278</v>
      </c>
      <c r="H176" s="257" t="s">
        <v>278</v>
      </c>
      <c r="I176" s="290">
        <v>0.0</v>
      </c>
      <c r="J176" s="355" t="s">
        <v>97</v>
      </c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</row>
    <row r="177">
      <c r="A177" s="269">
        <v>13.0</v>
      </c>
      <c r="B177" s="353"/>
      <c r="C177" s="273" t="s">
        <v>228</v>
      </c>
      <c r="D177" s="255" t="s">
        <v>134</v>
      </c>
      <c r="E177" s="256" t="s">
        <v>597</v>
      </c>
      <c r="F177" s="354" t="s">
        <v>278</v>
      </c>
      <c r="G177" s="352" t="s">
        <v>278</v>
      </c>
      <c r="H177" s="257" t="s">
        <v>278</v>
      </c>
      <c r="I177" s="290">
        <v>0.0</v>
      </c>
      <c r="J177" s="355" t="s">
        <v>97</v>
      </c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</row>
    <row r="178">
      <c r="A178" s="269">
        <v>14.0</v>
      </c>
      <c r="B178" s="353"/>
      <c r="C178" s="273" t="s">
        <v>229</v>
      </c>
      <c r="D178" s="255" t="s">
        <v>134</v>
      </c>
      <c r="E178" s="256" t="s">
        <v>597</v>
      </c>
      <c r="F178" s="354" t="s">
        <v>278</v>
      </c>
      <c r="G178" s="352" t="s">
        <v>278</v>
      </c>
      <c r="H178" s="257" t="s">
        <v>278</v>
      </c>
      <c r="I178" s="290">
        <v>0.0</v>
      </c>
      <c r="J178" s="355" t="s">
        <v>97</v>
      </c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</row>
    <row r="179">
      <c r="A179" s="269">
        <v>15.0</v>
      </c>
      <c r="B179" s="353"/>
      <c r="C179" s="273" t="s">
        <v>230</v>
      </c>
      <c r="D179" s="255" t="s">
        <v>134</v>
      </c>
      <c r="E179" s="256" t="s">
        <v>597</v>
      </c>
      <c r="F179" s="354" t="s">
        <v>278</v>
      </c>
      <c r="G179" s="352" t="s">
        <v>278</v>
      </c>
      <c r="H179" s="257" t="s">
        <v>278</v>
      </c>
      <c r="I179" s="290">
        <v>0.0</v>
      </c>
      <c r="J179" s="355" t="s">
        <v>97</v>
      </c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</row>
    <row r="180">
      <c r="A180" s="269">
        <v>16.0</v>
      </c>
      <c r="B180" s="353"/>
      <c r="C180" s="273" t="s">
        <v>231</v>
      </c>
      <c r="D180" s="255" t="s">
        <v>134</v>
      </c>
      <c r="E180" s="256" t="s">
        <v>597</v>
      </c>
      <c r="F180" s="354" t="s">
        <v>278</v>
      </c>
      <c r="G180" s="352" t="s">
        <v>278</v>
      </c>
      <c r="H180" s="257" t="s">
        <v>278</v>
      </c>
      <c r="I180" s="290">
        <v>0.0</v>
      </c>
      <c r="J180" s="355" t="s">
        <v>97</v>
      </c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</row>
    <row r="181">
      <c r="A181" s="252">
        <v>17.0</v>
      </c>
      <c r="B181" s="350"/>
      <c r="C181" s="254" t="s">
        <v>232</v>
      </c>
      <c r="D181" s="255" t="s">
        <v>134</v>
      </c>
      <c r="E181" s="256" t="s">
        <v>598</v>
      </c>
      <c r="F181" s="354">
        <v>32.0</v>
      </c>
      <c r="G181" s="352" t="s">
        <v>599</v>
      </c>
      <c r="H181" s="257" t="s">
        <v>278</v>
      </c>
      <c r="I181" s="290">
        <v>0.0</v>
      </c>
      <c r="J181" s="355" t="s">
        <v>97</v>
      </c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</row>
    <row r="182">
      <c r="A182" s="50"/>
      <c r="B182" s="50"/>
      <c r="C182" s="50"/>
      <c r="D182" s="255" t="s">
        <v>134</v>
      </c>
      <c r="E182" s="256" t="s">
        <v>600</v>
      </c>
      <c r="F182" s="354">
        <v>4.0</v>
      </c>
      <c r="G182" s="352" t="s">
        <v>601</v>
      </c>
      <c r="H182" s="257" t="s">
        <v>278</v>
      </c>
      <c r="I182" s="290">
        <v>0.0</v>
      </c>
      <c r="J182" s="355" t="s">
        <v>110</v>
      </c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</row>
    <row r="183">
      <c r="A183" s="252">
        <v>18.0</v>
      </c>
      <c r="B183" s="350"/>
      <c r="C183" s="254" t="s">
        <v>233</v>
      </c>
      <c r="D183" s="255" t="s">
        <v>134</v>
      </c>
      <c r="E183" s="256" t="s">
        <v>597</v>
      </c>
      <c r="F183" s="354" t="s">
        <v>278</v>
      </c>
      <c r="G183" s="352" t="s">
        <v>278</v>
      </c>
      <c r="H183" s="257" t="s">
        <v>278</v>
      </c>
      <c r="I183" s="290">
        <v>0.0</v>
      </c>
      <c r="J183" s="355" t="s">
        <v>97</v>
      </c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</row>
    <row r="184">
      <c r="A184" s="50"/>
      <c r="B184" s="50"/>
      <c r="C184" s="50"/>
      <c r="D184" s="255" t="s">
        <v>134</v>
      </c>
      <c r="E184" s="256" t="s">
        <v>600</v>
      </c>
      <c r="F184" s="354">
        <v>8.0</v>
      </c>
      <c r="G184" s="352" t="s">
        <v>602</v>
      </c>
      <c r="H184" s="257" t="s">
        <v>278</v>
      </c>
      <c r="I184" s="290">
        <v>0.0</v>
      </c>
      <c r="J184" s="355" t="s">
        <v>110</v>
      </c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</row>
    <row r="185">
      <c r="A185" s="252">
        <v>19.0</v>
      </c>
      <c r="B185" s="356"/>
      <c r="C185" s="268" t="s">
        <v>234</v>
      </c>
      <c r="D185" s="255" t="s">
        <v>134</v>
      </c>
      <c r="E185" s="256" t="s">
        <v>600</v>
      </c>
      <c r="F185" s="354">
        <v>24.0</v>
      </c>
      <c r="G185" s="352" t="s">
        <v>603</v>
      </c>
      <c r="H185" s="257" t="s">
        <v>278</v>
      </c>
      <c r="I185" s="290">
        <v>0.0</v>
      </c>
      <c r="J185" s="355" t="s">
        <v>110</v>
      </c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</row>
    <row r="186">
      <c r="A186" s="262">
        <v>20.0</v>
      </c>
      <c r="B186" s="358"/>
      <c r="C186" s="264" t="s">
        <v>235</v>
      </c>
      <c r="D186" s="255" t="s">
        <v>134</v>
      </c>
      <c r="E186" s="256" t="s">
        <v>600</v>
      </c>
      <c r="F186" s="354">
        <v>5.0</v>
      </c>
      <c r="G186" s="352" t="s">
        <v>604</v>
      </c>
      <c r="H186" s="257" t="s">
        <v>278</v>
      </c>
      <c r="I186" s="290">
        <v>0.0</v>
      </c>
      <c r="J186" s="355" t="s">
        <v>110</v>
      </c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</row>
    <row r="187">
      <c r="A187" s="262">
        <v>21.0</v>
      </c>
      <c r="B187" s="358"/>
      <c r="C187" s="264" t="s">
        <v>236</v>
      </c>
      <c r="D187" s="255" t="s">
        <v>134</v>
      </c>
      <c r="E187" s="256" t="s">
        <v>605</v>
      </c>
      <c r="F187" s="354">
        <v>2.0</v>
      </c>
      <c r="G187" s="352" t="s">
        <v>606</v>
      </c>
      <c r="H187" s="257" t="s">
        <v>278</v>
      </c>
      <c r="I187" s="290">
        <v>0.0</v>
      </c>
      <c r="J187" s="355" t="s">
        <v>110</v>
      </c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</row>
    <row r="188">
      <c r="A188" s="262">
        <v>22.0</v>
      </c>
      <c r="B188" s="358"/>
      <c r="C188" s="264" t="s">
        <v>237</v>
      </c>
      <c r="D188" s="255" t="s">
        <v>134</v>
      </c>
      <c r="E188" s="256" t="s">
        <v>605</v>
      </c>
      <c r="F188" s="354">
        <v>2.0</v>
      </c>
      <c r="G188" s="352" t="s">
        <v>606</v>
      </c>
      <c r="H188" s="257" t="s">
        <v>278</v>
      </c>
      <c r="I188" s="290">
        <v>0.0</v>
      </c>
      <c r="J188" s="355" t="s">
        <v>110</v>
      </c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</row>
    <row r="189">
      <c r="A189" s="269">
        <v>23.0</v>
      </c>
      <c r="B189" s="353"/>
      <c r="C189" s="273" t="s">
        <v>238</v>
      </c>
      <c r="D189" s="276" t="s">
        <v>134</v>
      </c>
      <c r="E189" s="256" t="s">
        <v>597</v>
      </c>
      <c r="F189" s="354">
        <v>1.0</v>
      </c>
      <c r="G189" s="352" t="s">
        <v>607</v>
      </c>
      <c r="H189" s="257" t="s">
        <v>278</v>
      </c>
      <c r="I189" s="290">
        <v>0.0</v>
      </c>
      <c r="J189" s="355" t="s">
        <v>97</v>
      </c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</row>
    <row r="190">
      <c r="A190" s="269">
        <v>24.0</v>
      </c>
      <c r="B190" s="353"/>
      <c r="C190" s="273" t="s">
        <v>239</v>
      </c>
      <c r="D190" s="276" t="s">
        <v>134</v>
      </c>
      <c r="E190" s="256" t="s">
        <v>597</v>
      </c>
      <c r="F190" s="354">
        <v>1.0</v>
      </c>
      <c r="G190" s="352" t="s">
        <v>607</v>
      </c>
      <c r="H190" s="257" t="s">
        <v>278</v>
      </c>
      <c r="I190" s="290">
        <v>0.0</v>
      </c>
      <c r="J190" s="355" t="s">
        <v>97</v>
      </c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</row>
    <row r="191">
      <c r="A191" s="269">
        <v>25.0</v>
      </c>
      <c r="B191" s="353"/>
      <c r="C191" s="273" t="s">
        <v>240</v>
      </c>
      <c r="D191" s="255" t="s">
        <v>134</v>
      </c>
      <c r="E191" s="256" t="s">
        <v>597</v>
      </c>
      <c r="F191" s="354">
        <v>1.0</v>
      </c>
      <c r="G191" s="352" t="s">
        <v>607</v>
      </c>
      <c r="H191" s="257" t="s">
        <v>278</v>
      </c>
      <c r="I191" s="290">
        <v>0.0</v>
      </c>
      <c r="J191" s="355" t="s">
        <v>97</v>
      </c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</row>
    <row r="192">
      <c r="A192" s="252">
        <v>23.0</v>
      </c>
      <c r="B192" s="350"/>
      <c r="C192" s="254" t="s">
        <v>243</v>
      </c>
      <c r="D192" s="255" t="s">
        <v>134</v>
      </c>
      <c r="E192" s="256" t="s">
        <v>600</v>
      </c>
      <c r="F192" s="354">
        <v>1.0</v>
      </c>
      <c r="G192" s="352" t="s">
        <v>608</v>
      </c>
      <c r="H192" s="257" t="s">
        <v>278</v>
      </c>
      <c r="I192" s="290">
        <v>0.0</v>
      </c>
      <c r="J192" s="355" t="s">
        <v>110</v>
      </c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</row>
    <row r="193">
      <c r="A193" s="50"/>
      <c r="B193" s="50"/>
      <c r="C193" s="50"/>
      <c r="D193" s="255" t="s">
        <v>134</v>
      </c>
      <c r="E193" s="256" t="s">
        <v>605</v>
      </c>
      <c r="F193" s="354">
        <v>5.0</v>
      </c>
      <c r="G193" s="352" t="s">
        <v>609</v>
      </c>
      <c r="H193" s="257" t="s">
        <v>278</v>
      </c>
      <c r="I193" s="290">
        <v>0.0</v>
      </c>
      <c r="J193" s="355" t="s">
        <v>110</v>
      </c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</row>
    <row r="194">
      <c r="A194" s="269">
        <v>27.0</v>
      </c>
      <c r="B194" s="353"/>
      <c r="C194" s="273" t="s">
        <v>245</v>
      </c>
      <c r="D194" s="255" t="s">
        <v>134</v>
      </c>
      <c r="E194" s="256" t="s">
        <v>597</v>
      </c>
      <c r="F194" s="354" t="s">
        <v>278</v>
      </c>
      <c r="G194" s="352" t="s">
        <v>278</v>
      </c>
      <c r="H194" s="257" t="s">
        <v>278</v>
      </c>
      <c r="I194" s="290">
        <v>0.0</v>
      </c>
      <c r="J194" s="355" t="s">
        <v>97</v>
      </c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</row>
    <row r="195" ht="23.25" customHeight="1">
      <c r="A195" s="252">
        <v>28.0</v>
      </c>
      <c r="B195" s="359"/>
      <c r="C195" s="254" t="s">
        <v>246</v>
      </c>
      <c r="D195" s="255" t="s">
        <v>134</v>
      </c>
      <c r="E195" s="290" t="s">
        <v>597</v>
      </c>
      <c r="F195" s="255" t="s">
        <v>278</v>
      </c>
      <c r="G195" s="352" t="s">
        <v>278</v>
      </c>
      <c r="H195" s="291" t="s">
        <v>278</v>
      </c>
      <c r="I195" s="290">
        <v>0.0</v>
      </c>
      <c r="J195" s="255" t="s">
        <v>97</v>
      </c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</row>
    <row r="196">
      <c r="A196" s="50"/>
      <c r="B196" s="50"/>
      <c r="C196" s="50"/>
      <c r="D196" s="255" t="s">
        <v>134</v>
      </c>
      <c r="E196" s="290" t="s">
        <v>605</v>
      </c>
      <c r="F196" s="255">
        <v>4.0</v>
      </c>
      <c r="G196" s="291" t="s">
        <v>610</v>
      </c>
      <c r="H196" s="291" t="s">
        <v>278</v>
      </c>
      <c r="I196" s="290">
        <v>0.0</v>
      </c>
      <c r="J196" s="255" t="s">
        <v>110</v>
      </c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</row>
    <row r="197">
      <c r="A197" s="269">
        <v>29.0</v>
      </c>
      <c r="B197" s="360"/>
      <c r="C197" s="273" t="s">
        <v>247</v>
      </c>
      <c r="D197" s="255" t="s">
        <v>99</v>
      </c>
      <c r="E197" s="290" t="s">
        <v>611</v>
      </c>
      <c r="F197" s="255">
        <v>25.0</v>
      </c>
      <c r="G197" s="291" t="s">
        <v>612</v>
      </c>
      <c r="H197" s="291" t="s">
        <v>278</v>
      </c>
      <c r="I197" s="290">
        <v>0.0</v>
      </c>
      <c r="J197" s="255" t="s">
        <v>110</v>
      </c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</row>
    <row r="198">
      <c r="A198" s="269">
        <v>30.0</v>
      </c>
      <c r="B198" s="360"/>
      <c r="C198" s="273" t="s">
        <v>248</v>
      </c>
      <c r="D198" s="255" t="s">
        <v>249</v>
      </c>
      <c r="E198" s="290" t="s">
        <v>613</v>
      </c>
      <c r="F198" s="255">
        <v>5.59</v>
      </c>
      <c r="G198" s="291" t="s">
        <v>614</v>
      </c>
      <c r="H198" s="291" t="s">
        <v>278</v>
      </c>
      <c r="I198" s="290">
        <v>0.0</v>
      </c>
      <c r="J198" s="36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</row>
    <row r="199">
      <c r="A199" s="269">
        <v>31.0</v>
      </c>
      <c r="B199" s="360"/>
      <c r="C199" s="268" t="s">
        <v>250</v>
      </c>
      <c r="D199" s="255" t="s">
        <v>99</v>
      </c>
      <c r="E199" s="290" t="s">
        <v>615</v>
      </c>
      <c r="F199" s="269">
        <v>45.0</v>
      </c>
      <c r="G199" s="291" t="s">
        <v>616</v>
      </c>
      <c r="H199" s="291" t="s">
        <v>278</v>
      </c>
      <c r="I199" s="290">
        <v>0.0</v>
      </c>
      <c r="J199" s="269" t="s">
        <v>168</v>
      </c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</row>
    <row r="200">
      <c r="A200" s="252">
        <v>32.0</v>
      </c>
      <c r="B200" s="359"/>
      <c r="C200" s="267" t="s">
        <v>617</v>
      </c>
      <c r="D200" s="255" t="s">
        <v>99</v>
      </c>
      <c r="E200" s="290" t="s">
        <v>538</v>
      </c>
      <c r="F200" s="255" t="s">
        <v>278</v>
      </c>
      <c r="G200" s="291" t="s">
        <v>278</v>
      </c>
      <c r="H200" s="291" t="s">
        <v>278</v>
      </c>
      <c r="I200" s="290">
        <v>0.0</v>
      </c>
      <c r="J200" s="255" t="s">
        <v>110</v>
      </c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</row>
    <row r="201">
      <c r="A201" s="16"/>
      <c r="B201" s="16"/>
      <c r="C201" s="16"/>
      <c r="D201" s="255" t="s">
        <v>99</v>
      </c>
      <c r="E201" s="290" t="s">
        <v>618</v>
      </c>
      <c r="F201" s="255">
        <v>20.0</v>
      </c>
      <c r="G201" s="291" t="s">
        <v>487</v>
      </c>
      <c r="H201" s="291" t="s">
        <v>278</v>
      </c>
      <c r="I201" s="290">
        <v>0.0</v>
      </c>
      <c r="J201" s="255" t="s">
        <v>110</v>
      </c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</row>
    <row r="202">
      <c r="A202" s="50"/>
      <c r="B202" s="50"/>
      <c r="C202" s="50"/>
      <c r="D202" s="255" t="s">
        <v>99</v>
      </c>
      <c r="E202" s="290" t="s">
        <v>615</v>
      </c>
      <c r="F202" s="269">
        <v>50.0</v>
      </c>
      <c r="G202" s="291" t="s">
        <v>619</v>
      </c>
      <c r="H202" s="291" t="s">
        <v>278</v>
      </c>
      <c r="I202" s="290">
        <v>0.0</v>
      </c>
      <c r="J202" s="269" t="s">
        <v>168</v>
      </c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</row>
    <row r="203">
      <c r="A203" s="252">
        <v>33.0</v>
      </c>
      <c r="B203" s="359"/>
      <c r="C203" s="254" t="s">
        <v>252</v>
      </c>
      <c r="D203" s="255" t="s">
        <v>99</v>
      </c>
      <c r="E203" s="290" t="s">
        <v>620</v>
      </c>
      <c r="F203" s="255">
        <v>118.0</v>
      </c>
      <c r="G203" s="291" t="s">
        <v>621</v>
      </c>
      <c r="H203" s="291" t="s">
        <v>278</v>
      </c>
      <c r="I203" s="290">
        <v>0.0</v>
      </c>
      <c r="J203" s="36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</row>
    <row r="204">
      <c r="A204" s="50"/>
      <c r="B204" s="50"/>
      <c r="C204" s="50"/>
      <c r="D204" s="255" t="s">
        <v>99</v>
      </c>
      <c r="E204" s="290" t="s">
        <v>471</v>
      </c>
      <c r="F204" s="255">
        <v>30.0</v>
      </c>
      <c r="G204" s="291" t="s">
        <v>622</v>
      </c>
      <c r="H204" s="291" t="s">
        <v>278</v>
      </c>
      <c r="I204" s="290">
        <v>0.0</v>
      </c>
      <c r="J204" s="255" t="s">
        <v>92</v>
      </c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</row>
    <row r="205">
      <c r="A205" s="269">
        <v>34.0</v>
      </c>
      <c r="B205" s="360"/>
      <c r="C205" s="273" t="s">
        <v>253</v>
      </c>
      <c r="D205" s="255" t="s">
        <v>99</v>
      </c>
      <c r="E205" s="290" t="s">
        <v>623</v>
      </c>
      <c r="F205" s="255">
        <v>150.0</v>
      </c>
      <c r="G205" s="291" t="s">
        <v>624</v>
      </c>
      <c r="H205" s="291" t="s">
        <v>278</v>
      </c>
      <c r="I205" s="290">
        <v>0.0</v>
      </c>
      <c r="J205" s="36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</row>
    <row r="206">
      <c r="A206" s="252">
        <v>35.0</v>
      </c>
      <c r="B206" s="362"/>
      <c r="C206" s="268" t="s">
        <v>254</v>
      </c>
      <c r="D206" s="255" t="s">
        <v>96</v>
      </c>
      <c r="E206" s="290" t="s">
        <v>625</v>
      </c>
      <c r="F206" s="255">
        <v>30.0</v>
      </c>
      <c r="G206" s="291" t="s">
        <v>608</v>
      </c>
      <c r="H206" s="291" t="s">
        <v>278</v>
      </c>
      <c r="I206" s="290">
        <v>0.0</v>
      </c>
      <c r="J206" s="255" t="s">
        <v>92</v>
      </c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</row>
    <row r="207">
      <c r="A207" s="262">
        <v>36.0</v>
      </c>
      <c r="B207" s="363"/>
      <c r="C207" s="267" t="s">
        <v>255</v>
      </c>
      <c r="D207" s="255" t="s">
        <v>99</v>
      </c>
      <c r="E207" s="290" t="s">
        <v>626</v>
      </c>
      <c r="F207" s="255">
        <v>26.0</v>
      </c>
      <c r="G207" s="291" t="s">
        <v>627</v>
      </c>
      <c r="H207" s="291" t="s">
        <v>278</v>
      </c>
      <c r="I207" s="290">
        <v>0.0</v>
      </c>
      <c r="J207" s="255" t="s">
        <v>97</v>
      </c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</row>
    <row r="208">
      <c r="A208" s="50"/>
      <c r="B208" s="50"/>
      <c r="C208" s="50"/>
      <c r="D208" s="255" t="s">
        <v>99</v>
      </c>
      <c r="E208" s="290" t="s">
        <v>628</v>
      </c>
      <c r="F208" s="255">
        <v>100.0</v>
      </c>
      <c r="G208" s="291" t="s">
        <v>506</v>
      </c>
      <c r="H208" s="291" t="s">
        <v>278</v>
      </c>
      <c r="I208" s="290">
        <v>0.0</v>
      </c>
      <c r="J208" s="255" t="s">
        <v>110</v>
      </c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</row>
    <row r="209">
      <c r="A209" s="252">
        <v>37.0</v>
      </c>
      <c r="B209" s="359"/>
      <c r="C209" s="254" t="s">
        <v>256</v>
      </c>
      <c r="D209" s="255" t="s">
        <v>99</v>
      </c>
      <c r="E209" s="290" t="s">
        <v>629</v>
      </c>
      <c r="F209" s="255">
        <v>45.0</v>
      </c>
      <c r="G209" s="291" t="s">
        <v>630</v>
      </c>
      <c r="H209" s="291" t="s">
        <v>278</v>
      </c>
      <c r="I209" s="290">
        <v>0.0</v>
      </c>
      <c r="J209" s="36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</row>
    <row r="210">
      <c r="A210" s="50"/>
      <c r="B210" s="50"/>
      <c r="C210" s="50"/>
      <c r="D210" s="255" t="s">
        <v>99</v>
      </c>
      <c r="E210" s="290" t="s">
        <v>631</v>
      </c>
      <c r="F210" s="255">
        <v>50.0</v>
      </c>
      <c r="G210" s="291" t="s">
        <v>632</v>
      </c>
      <c r="H210" s="291" t="s">
        <v>278</v>
      </c>
      <c r="I210" s="290">
        <v>0.0</v>
      </c>
      <c r="J210" s="255" t="s">
        <v>110</v>
      </c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</row>
    <row r="211">
      <c r="A211" s="269">
        <v>38.0</v>
      </c>
      <c r="B211" s="364"/>
      <c r="C211" s="273" t="s">
        <v>257</v>
      </c>
      <c r="D211" s="255" t="s">
        <v>99</v>
      </c>
      <c r="E211" s="290" t="s">
        <v>629</v>
      </c>
      <c r="F211" s="255">
        <v>99.0</v>
      </c>
      <c r="G211" s="291" t="s">
        <v>633</v>
      </c>
      <c r="H211" s="291" t="s">
        <v>278</v>
      </c>
      <c r="I211" s="290">
        <v>0.0</v>
      </c>
      <c r="J211" s="365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</row>
    <row r="212">
      <c r="A212" s="252">
        <v>39.0</v>
      </c>
      <c r="B212" s="366"/>
      <c r="C212" s="254" t="s">
        <v>258</v>
      </c>
      <c r="D212" s="255" t="s">
        <v>99</v>
      </c>
      <c r="E212" s="290" t="s">
        <v>584</v>
      </c>
      <c r="F212" s="255">
        <v>23.0</v>
      </c>
      <c r="G212" s="291" t="s">
        <v>634</v>
      </c>
      <c r="H212" s="291" t="s">
        <v>278</v>
      </c>
      <c r="I212" s="290">
        <v>0.0</v>
      </c>
      <c r="J212" s="255" t="s">
        <v>92</v>
      </c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</row>
    <row r="213">
      <c r="A213" s="50"/>
      <c r="B213" s="50"/>
      <c r="C213" s="50"/>
      <c r="D213" s="255" t="s">
        <v>99</v>
      </c>
      <c r="E213" s="290" t="s">
        <v>631</v>
      </c>
      <c r="F213" s="255">
        <v>30.0</v>
      </c>
      <c r="G213" s="291" t="s">
        <v>601</v>
      </c>
      <c r="H213" s="291" t="s">
        <v>278</v>
      </c>
      <c r="I213" s="290">
        <v>0.0</v>
      </c>
      <c r="J213" s="255" t="s">
        <v>110</v>
      </c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</row>
    <row r="214">
      <c r="A214" s="269">
        <v>40.0</v>
      </c>
      <c r="B214" s="360"/>
      <c r="C214" s="273" t="s">
        <v>259</v>
      </c>
      <c r="D214" s="255" t="s">
        <v>99</v>
      </c>
      <c r="E214" s="290" t="s">
        <v>635</v>
      </c>
      <c r="F214" s="255">
        <v>40.0</v>
      </c>
      <c r="G214" s="291" t="s">
        <v>636</v>
      </c>
      <c r="H214" s="291" t="s">
        <v>278</v>
      </c>
      <c r="I214" s="290">
        <v>0.0</v>
      </c>
      <c r="J214" s="255" t="s">
        <v>97</v>
      </c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</row>
    <row r="215">
      <c r="A215" s="367" t="s">
        <v>333</v>
      </c>
      <c r="B215" s="10"/>
      <c r="C215" s="10"/>
      <c r="D215" s="10"/>
      <c r="E215" s="10"/>
      <c r="F215" s="14"/>
      <c r="G215" s="368" t="s">
        <v>637</v>
      </c>
      <c r="H215" s="369"/>
      <c r="I215" s="369"/>
      <c r="J215" s="369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</row>
    <row r="216">
      <c r="A216" s="370"/>
      <c r="B216" s="312"/>
      <c r="C216" s="312"/>
      <c r="D216" s="312"/>
      <c r="E216" s="312"/>
      <c r="F216" s="312"/>
      <c r="G216" s="312"/>
      <c r="H216" s="312"/>
      <c r="I216" s="312"/>
      <c r="J216" s="312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</row>
    <row r="217">
      <c r="A217" s="371"/>
      <c r="B217" s="372"/>
      <c r="C217" s="372"/>
      <c r="D217" s="372"/>
      <c r="E217" s="317"/>
      <c r="F217" s="318"/>
      <c r="G217" s="319"/>
      <c r="H217" s="318"/>
      <c r="I217" s="310" t="s">
        <v>580</v>
      </c>
      <c r="J217" s="30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</row>
    <row r="218">
      <c r="A218" s="371"/>
      <c r="B218" s="372"/>
      <c r="C218" s="372"/>
      <c r="D218" s="316"/>
      <c r="E218" s="317"/>
      <c r="F218" s="318"/>
      <c r="G218" s="319"/>
      <c r="H218" s="318"/>
      <c r="I218" s="312"/>
      <c r="J218" s="317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</row>
    <row r="219">
      <c r="A219" s="371"/>
      <c r="B219" s="372"/>
      <c r="C219" s="313" t="s">
        <v>364</v>
      </c>
      <c r="D219" s="316"/>
      <c r="E219" s="317"/>
      <c r="F219" s="318"/>
      <c r="G219" s="319"/>
      <c r="H219" s="373" t="s">
        <v>365</v>
      </c>
      <c r="I219" s="311"/>
      <c r="J219" s="30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</row>
    <row r="220">
      <c r="A220" s="371"/>
      <c r="B220" s="372"/>
      <c r="C220" s="313" t="s">
        <v>366</v>
      </c>
      <c r="D220" s="316"/>
      <c r="E220" s="317"/>
      <c r="F220" s="318"/>
      <c r="G220" s="319"/>
      <c r="H220" s="322"/>
      <c r="I220" s="374"/>
      <c r="J220" s="323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</row>
    <row r="221">
      <c r="A221" s="371"/>
      <c r="B221" s="316"/>
      <c r="C221" s="313" t="s">
        <v>367</v>
      </c>
      <c r="D221" s="375"/>
      <c r="E221" s="317"/>
      <c r="F221" s="318"/>
      <c r="G221" s="319"/>
      <c r="H221" s="322"/>
      <c r="I221" s="374"/>
      <c r="J221" s="323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</row>
    <row r="222">
      <c r="A222" s="371"/>
      <c r="B222" s="316"/>
      <c r="C222" s="316"/>
      <c r="D222" s="316"/>
      <c r="E222" s="317"/>
      <c r="F222" s="318"/>
      <c r="G222" s="319"/>
      <c r="H222" s="322"/>
      <c r="I222" s="374"/>
      <c r="J222" s="323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</row>
    <row r="223">
      <c r="A223" s="371"/>
      <c r="B223" s="316"/>
      <c r="C223" s="316"/>
      <c r="D223" s="316"/>
      <c r="E223" s="317"/>
      <c r="F223" s="318"/>
      <c r="G223" s="319"/>
      <c r="H223" s="322"/>
      <c r="I223" s="374"/>
      <c r="J223" s="323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</row>
    <row r="224">
      <c r="A224" s="371"/>
      <c r="B224" s="316"/>
      <c r="C224" s="316"/>
      <c r="D224" s="316"/>
      <c r="E224" s="317"/>
      <c r="F224" s="318"/>
      <c r="G224" s="319"/>
      <c r="H224" s="318"/>
      <c r="I224" s="312"/>
      <c r="J224" s="317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</row>
    <row r="225">
      <c r="A225" s="371"/>
      <c r="B225" s="321" t="s">
        <v>368</v>
      </c>
      <c r="C225" s="311"/>
      <c r="D225" s="30"/>
      <c r="E225" s="317"/>
      <c r="F225" s="318"/>
      <c r="G225" s="319"/>
      <c r="H225" s="322"/>
      <c r="I225" s="313" t="s">
        <v>369</v>
      </c>
      <c r="J225" s="323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</row>
    <row r="226">
      <c r="A226" s="371"/>
      <c r="B226" s="321" t="s">
        <v>370</v>
      </c>
      <c r="C226" s="311"/>
      <c r="D226" s="30"/>
      <c r="E226" s="317"/>
      <c r="F226" s="318"/>
      <c r="G226" s="319"/>
      <c r="H226" s="322"/>
      <c r="I226" s="313" t="s">
        <v>371</v>
      </c>
      <c r="J226" s="323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</row>
    <row r="227">
      <c r="A227" s="371"/>
      <c r="B227" s="372"/>
      <c r="C227" s="372"/>
      <c r="D227" s="372"/>
      <c r="E227" s="317"/>
      <c r="F227" s="318"/>
      <c r="G227" s="319"/>
      <c r="H227" s="318"/>
      <c r="I227" s="312"/>
      <c r="J227" s="317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</row>
    <row r="228">
      <c r="A228" s="371"/>
      <c r="B228" s="372"/>
      <c r="C228" s="372"/>
      <c r="D228" s="372"/>
      <c r="E228" s="317"/>
      <c r="F228" s="318"/>
      <c r="G228" s="319"/>
      <c r="H228" s="318"/>
      <c r="I228" s="312"/>
      <c r="J228" s="317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</row>
    <row r="229">
      <c r="A229" s="371"/>
      <c r="B229" s="372"/>
      <c r="C229" s="372"/>
      <c r="D229" s="372"/>
      <c r="E229" s="376"/>
      <c r="F229" s="318"/>
      <c r="G229" s="319"/>
      <c r="H229" s="318"/>
      <c r="I229" s="312"/>
      <c r="J229" s="317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</row>
    <row r="230">
      <c r="A230" s="377" t="s">
        <v>374</v>
      </c>
      <c r="B230" s="311"/>
      <c r="C230" s="311"/>
      <c r="D230" s="311"/>
      <c r="E230" s="311"/>
      <c r="F230" s="311"/>
      <c r="G230" s="311"/>
      <c r="H230" s="311"/>
      <c r="I230" s="311"/>
      <c r="J230" s="30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</row>
    <row r="231">
      <c r="A231" s="377" t="s">
        <v>11</v>
      </c>
      <c r="B231" s="311"/>
      <c r="C231" s="311"/>
      <c r="D231" s="311"/>
      <c r="E231" s="311"/>
      <c r="F231" s="311"/>
      <c r="G231" s="311"/>
      <c r="H231" s="311"/>
      <c r="I231" s="311"/>
      <c r="J231" s="30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</row>
    <row r="232">
      <c r="A232" s="377" t="s">
        <v>347</v>
      </c>
      <c r="B232" s="311"/>
      <c r="C232" s="311"/>
      <c r="D232" s="311"/>
      <c r="E232" s="311"/>
      <c r="F232" s="311"/>
      <c r="G232" s="311"/>
      <c r="H232" s="311"/>
      <c r="I232" s="311"/>
      <c r="J232" s="30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</row>
    <row r="233">
      <c r="A233" s="335"/>
      <c r="B233" s="336"/>
      <c r="C233" s="336"/>
      <c r="D233" s="337"/>
      <c r="E233" s="338"/>
      <c r="F233" s="339"/>
      <c r="G233" s="340"/>
      <c r="H233" s="339"/>
      <c r="I233" s="245"/>
      <c r="J233" s="338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</row>
    <row r="234" ht="24.0" customHeight="1">
      <c r="A234" s="246" t="s">
        <v>348</v>
      </c>
      <c r="B234" s="247" t="s">
        <v>349</v>
      </c>
      <c r="C234" s="247" t="s">
        <v>350</v>
      </c>
      <c r="D234" s="247" t="s">
        <v>7</v>
      </c>
      <c r="E234" s="247" t="s">
        <v>351</v>
      </c>
      <c r="F234" s="248" t="s">
        <v>352</v>
      </c>
      <c r="G234" s="30"/>
      <c r="H234" s="248" t="s">
        <v>353</v>
      </c>
      <c r="I234" s="30"/>
      <c r="J234" s="247" t="s">
        <v>354</v>
      </c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</row>
    <row r="235">
      <c r="A235" s="50"/>
      <c r="B235" s="30"/>
      <c r="C235" s="30"/>
      <c r="D235" s="30"/>
      <c r="E235" s="30"/>
      <c r="F235" s="249" t="s">
        <v>355</v>
      </c>
      <c r="G235" s="249" t="s">
        <v>356</v>
      </c>
      <c r="H235" s="249" t="s">
        <v>355</v>
      </c>
      <c r="I235" s="249" t="s">
        <v>356</v>
      </c>
      <c r="J235" s="30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</row>
    <row r="236">
      <c r="A236" s="251">
        <v>1.0</v>
      </c>
      <c r="B236" s="251">
        <v>2.0</v>
      </c>
      <c r="C236" s="251">
        <v>3.0</v>
      </c>
      <c r="D236" s="251">
        <v>4.0</v>
      </c>
      <c r="E236" s="251">
        <v>5.0</v>
      </c>
      <c r="F236" s="251">
        <v>6.0</v>
      </c>
      <c r="G236" s="251" t="s">
        <v>385</v>
      </c>
      <c r="H236" s="251">
        <v>8.0</v>
      </c>
      <c r="I236" s="251">
        <v>9.0</v>
      </c>
      <c r="J236" s="251">
        <v>10.0</v>
      </c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</row>
    <row r="237">
      <c r="A237" s="269">
        <v>1.0</v>
      </c>
      <c r="B237" s="360"/>
      <c r="C237" s="378" t="s">
        <v>263</v>
      </c>
      <c r="D237" s="379" t="s">
        <v>121</v>
      </c>
      <c r="E237" s="380"/>
      <c r="F237" s="381" t="s">
        <v>278</v>
      </c>
      <c r="G237" s="381" t="s">
        <v>278</v>
      </c>
      <c r="H237" s="381" t="s">
        <v>278</v>
      </c>
      <c r="I237" s="382">
        <v>0.0</v>
      </c>
      <c r="J237" s="383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</row>
    <row r="238">
      <c r="A238" s="252">
        <v>2.0</v>
      </c>
      <c r="B238" s="359"/>
      <c r="C238" s="384" t="s">
        <v>264</v>
      </c>
      <c r="D238" s="379" t="s">
        <v>249</v>
      </c>
      <c r="E238" s="382" t="s">
        <v>638</v>
      </c>
      <c r="F238" s="381">
        <v>600.0</v>
      </c>
      <c r="G238" s="381" t="s">
        <v>639</v>
      </c>
      <c r="H238" s="381" t="s">
        <v>278</v>
      </c>
      <c r="I238" s="382">
        <v>0.0</v>
      </c>
      <c r="J238" s="383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</row>
    <row r="239">
      <c r="A239" s="50"/>
      <c r="B239" s="50"/>
      <c r="C239" s="50"/>
      <c r="D239" s="379" t="s">
        <v>249</v>
      </c>
      <c r="E239" s="382" t="s">
        <v>640</v>
      </c>
      <c r="F239" s="381">
        <v>1.98</v>
      </c>
      <c r="G239" s="381" t="s">
        <v>641</v>
      </c>
      <c r="H239" s="381" t="s">
        <v>278</v>
      </c>
      <c r="I239" s="382">
        <v>0.0</v>
      </c>
      <c r="J239" s="381" t="s">
        <v>92</v>
      </c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</row>
    <row r="240">
      <c r="A240" s="269">
        <v>3.0</v>
      </c>
      <c r="B240" s="360"/>
      <c r="C240" s="378" t="s">
        <v>265</v>
      </c>
      <c r="D240" s="379" t="s">
        <v>121</v>
      </c>
      <c r="E240" s="380"/>
      <c r="F240" s="381" t="s">
        <v>278</v>
      </c>
      <c r="G240" s="381" t="s">
        <v>278</v>
      </c>
      <c r="H240" s="381" t="s">
        <v>278</v>
      </c>
      <c r="I240" s="382">
        <v>0.0</v>
      </c>
      <c r="J240" s="383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</row>
    <row r="241">
      <c r="A241" s="269">
        <v>4.0</v>
      </c>
      <c r="B241" s="360"/>
      <c r="C241" s="378" t="s">
        <v>266</v>
      </c>
      <c r="D241" s="379" t="s">
        <v>121</v>
      </c>
      <c r="E241" s="380"/>
      <c r="F241" s="381" t="s">
        <v>278</v>
      </c>
      <c r="G241" s="381" t="s">
        <v>278</v>
      </c>
      <c r="H241" s="381" t="s">
        <v>278</v>
      </c>
      <c r="I241" s="382">
        <v>0.0</v>
      </c>
      <c r="J241" s="385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</row>
    <row r="242">
      <c r="A242" s="269">
        <v>5.0</v>
      </c>
      <c r="B242" s="360"/>
      <c r="C242" s="378" t="s">
        <v>267</v>
      </c>
      <c r="D242" s="379" t="s">
        <v>121</v>
      </c>
      <c r="E242" s="380"/>
      <c r="F242" s="381" t="s">
        <v>278</v>
      </c>
      <c r="G242" s="381" t="s">
        <v>278</v>
      </c>
      <c r="H242" s="381" t="s">
        <v>278</v>
      </c>
      <c r="I242" s="382">
        <v>0.0</v>
      </c>
      <c r="J242" s="385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</row>
    <row r="243">
      <c r="A243" s="269">
        <v>6.0</v>
      </c>
      <c r="B243" s="360"/>
      <c r="C243" s="378" t="s">
        <v>268</v>
      </c>
      <c r="D243" s="379" t="s">
        <v>121</v>
      </c>
      <c r="E243" s="380"/>
      <c r="F243" s="381" t="s">
        <v>278</v>
      </c>
      <c r="G243" s="381" t="s">
        <v>278</v>
      </c>
      <c r="H243" s="381" t="s">
        <v>278</v>
      </c>
      <c r="I243" s="382">
        <v>0.0</v>
      </c>
      <c r="J243" s="383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</row>
    <row r="244">
      <c r="A244" s="269">
        <v>7.0</v>
      </c>
      <c r="B244" s="360"/>
      <c r="C244" s="378" t="s">
        <v>269</v>
      </c>
      <c r="D244" s="379" t="s">
        <v>121</v>
      </c>
      <c r="E244" s="380"/>
      <c r="F244" s="381" t="s">
        <v>278</v>
      </c>
      <c r="G244" s="381" t="s">
        <v>278</v>
      </c>
      <c r="H244" s="381" t="s">
        <v>278</v>
      </c>
      <c r="I244" s="382">
        <v>0.0</v>
      </c>
      <c r="J244" s="383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</row>
    <row r="245">
      <c r="A245" s="269">
        <v>8.0</v>
      </c>
      <c r="B245" s="360"/>
      <c r="C245" s="378" t="s">
        <v>270</v>
      </c>
      <c r="D245" s="379" t="s">
        <v>249</v>
      </c>
      <c r="E245" s="380"/>
      <c r="F245" s="381" t="s">
        <v>278</v>
      </c>
      <c r="G245" s="381" t="s">
        <v>278</v>
      </c>
      <c r="H245" s="381" t="s">
        <v>278</v>
      </c>
      <c r="I245" s="382">
        <v>0.0</v>
      </c>
      <c r="J245" s="383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</row>
    <row r="246">
      <c r="A246" s="269">
        <v>9.0</v>
      </c>
      <c r="B246" s="360"/>
      <c r="C246" s="378" t="s">
        <v>271</v>
      </c>
      <c r="D246" s="379" t="s">
        <v>249</v>
      </c>
      <c r="E246" s="380"/>
      <c r="F246" s="381" t="s">
        <v>278</v>
      </c>
      <c r="G246" s="381" t="s">
        <v>278</v>
      </c>
      <c r="H246" s="381" t="s">
        <v>278</v>
      </c>
      <c r="I246" s="382">
        <v>0.0</v>
      </c>
      <c r="J246" s="383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</row>
    <row r="247">
      <c r="A247" s="269">
        <v>10.0</v>
      </c>
      <c r="B247" s="360"/>
      <c r="C247" s="378" t="s">
        <v>272</v>
      </c>
      <c r="D247" s="379" t="s">
        <v>114</v>
      </c>
      <c r="E247" s="382" t="s">
        <v>642</v>
      </c>
      <c r="F247" s="381">
        <v>91.0</v>
      </c>
      <c r="G247" s="381" t="s">
        <v>643</v>
      </c>
      <c r="H247" s="381" t="s">
        <v>278</v>
      </c>
      <c r="I247" s="382">
        <v>0.0</v>
      </c>
      <c r="J247" s="385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</row>
    <row r="248">
      <c r="A248" s="269">
        <v>11.0</v>
      </c>
      <c r="B248" s="360"/>
      <c r="C248" s="378" t="s">
        <v>273</v>
      </c>
      <c r="D248" s="379" t="s">
        <v>114</v>
      </c>
      <c r="E248" s="382" t="s">
        <v>644</v>
      </c>
      <c r="F248" s="381">
        <v>63.0</v>
      </c>
      <c r="G248" s="381" t="s">
        <v>645</v>
      </c>
      <c r="H248" s="381" t="s">
        <v>278</v>
      </c>
      <c r="I248" s="382">
        <v>0.0</v>
      </c>
      <c r="J248" s="386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</row>
    <row r="249">
      <c r="A249" s="367" t="s">
        <v>333</v>
      </c>
      <c r="B249" s="10"/>
      <c r="C249" s="10"/>
      <c r="D249" s="10"/>
      <c r="E249" s="10"/>
      <c r="F249" s="14"/>
      <c r="G249" s="368" t="s">
        <v>646</v>
      </c>
      <c r="H249" s="369"/>
      <c r="I249" s="369"/>
      <c r="J249" s="369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</row>
    <row r="250">
      <c r="A250" s="370"/>
      <c r="B250" s="312"/>
      <c r="C250" s="312"/>
      <c r="D250" s="312"/>
      <c r="E250" s="312"/>
      <c r="F250" s="312"/>
      <c r="G250" s="312"/>
      <c r="H250" s="312"/>
      <c r="I250" s="312"/>
      <c r="J250" s="312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</row>
    <row r="251">
      <c r="A251" s="371"/>
      <c r="B251" s="315"/>
      <c r="C251" s="315"/>
      <c r="D251" s="315"/>
      <c r="E251" s="315"/>
      <c r="F251" s="315"/>
      <c r="G251" s="315"/>
      <c r="H251" s="315"/>
      <c r="I251" s="387" t="s">
        <v>580</v>
      </c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</row>
    <row r="252">
      <c r="A252" s="371"/>
      <c r="B252" s="315"/>
      <c r="C252" s="315"/>
      <c r="D252" s="375"/>
      <c r="E252" s="315"/>
      <c r="F252" s="315"/>
      <c r="G252" s="315"/>
      <c r="H252" s="315"/>
      <c r="I252" s="315"/>
      <c r="J252" s="315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</row>
    <row r="253">
      <c r="A253" s="370"/>
      <c r="B253" s="312"/>
      <c r="C253" s="313" t="s">
        <v>364</v>
      </c>
      <c r="D253" s="374"/>
      <c r="E253" s="312"/>
      <c r="F253" s="312"/>
      <c r="G253" s="312"/>
      <c r="H253" s="314" t="s">
        <v>365</v>
      </c>
      <c r="I253" s="311"/>
      <c r="J253" s="31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</row>
    <row r="254">
      <c r="A254" s="370"/>
      <c r="B254" s="312"/>
      <c r="C254" s="313" t="s">
        <v>366</v>
      </c>
      <c r="D254" s="374"/>
      <c r="E254" s="312"/>
      <c r="F254" s="312"/>
      <c r="G254" s="312"/>
      <c r="H254" s="374"/>
      <c r="I254" s="374"/>
      <c r="J254" s="374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</row>
    <row r="255">
      <c r="A255" s="370"/>
      <c r="B255" s="374"/>
      <c r="C255" s="313" t="s">
        <v>367</v>
      </c>
      <c r="D255" s="374"/>
      <c r="E255" s="312"/>
      <c r="F255" s="312"/>
      <c r="G255" s="312"/>
      <c r="H255" s="374"/>
      <c r="I255" s="374"/>
      <c r="J255" s="374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</row>
    <row r="256">
      <c r="A256" s="370"/>
      <c r="B256" s="374"/>
      <c r="C256" s="374"/>
      <c r="D256" s="374"/>
      <c r="E256" s="312"/>
      <c r="F256" s="312"/>
      <c r="G256" s="312"/>
      <c r="H256" s="374"/>
      <c r="I256" s="374"/>
      <c r="J256" s="374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</row>
    <row r="257">
      <c r="A257" s="371"/>
      <c r="B257" s="375"/>
      <c r="C257" s="375"/>
      <c r="D257" s="316"/>
      <c r="E257" s="317"/>
      <c r="F257" s="318"/>
      <c r="G257" s="315"/>
      <c r="H257" s="375"/>
      <c r="I257" s="375"/>
      <c r="J257" s="323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</row>
    <row r="258">
      <c r="A258" s="371"/>
      <c r="B258" s="316"/>
      <c r="C258" s="316"/>
      <c r="D258" s="316"/>
      <c r="E258" s="317"/>
      <c r="F258" s="318"/>
      <c r="G258" s="315"/>
      <c r="H258" s="315"/>
      <c r="I258" s="315"/>
      <c r="J258" s="317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</row>
    <row r="259">
      <c r="A259" s="371"/>
      <c r="B259" s="321" t="s">
        <v>368</v>
      </c>
      <c r="C259" s="311"/>
      <c r="D259" s="30"/>
      <c r="E259" s="317"/>
      <c r="F259" s="318"/>
      <c r="G259" s="315"/>
      <c r="H259" s="375"/>
      <c r="I259" s="313" t="s">
        <v>369</v>
      </c>
      <c r="J259" s="323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</row>
    <row r="260">
      <c r="A260" s="371"/>
      <c r="B260" s="321" t="s">
        <v>370</v>
      </c>
      <c r="C260" s="311"/>
      <c r="D260" s="30"/>
      <c r="E260" s="317"/>
      <c r="F260" s="318"/>
      <c r="G260" s="315"/>
      <c r="H260" s="375"/>
      <c r="I260" s="313" t="s">
        <v>371</v>
      </c>
      <c r="J260" s="323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</row>
    <row r="261">
      <c r="A261" s="371"/>
      <c r="B261" s="372"/>
      <c r="C261" s="372"/>
      <c r="D261" s="372"/>
      <c r="E261" s="317"/>
      <c r="F261" s="318"/>
      <c r="G261" s="315"/>
      <c r="H261" s="315"/>
      <c r="I261" s="315"/>
      <c r="J261" s="317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</row>
    <row r="262">
      <c r="A262" s="371"/>
      <c r="B262" s="372"/>
      <c r="C262" s="372"/>
      <c r="D262" s="372"/>
      <c r="E262" s="317"/>
      <c r="F262" s="318"/>
      <c r="G262" s="315"/>
      <c r="H262" s="315"/>
      <c r="I262" s="315"/>
      <c r="J262" s="317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</row>
    <row r="263">
      <c r="A263" s="371"/>
      <c r="B263" s="372"/>
      <c r="C263" s="372"/>
      <c r="D263" s="372"/>
      <c r="E263" s="317"/>
      <c r="F263" s="318"/>
      <c r="G263" s="315"/>
      <c r="H263" s="315"/>
      <c r="I263" s="315"/>
      <c r="J263" s="317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</row>
    <row r="264">
      <c r="A264" s="371"/>
      <c r="B264" s="372"/>
      <c r="C264" s="372"/>
      <c r="D264" s="372"/>
      <c r="E264" s="317"/>
      <c r="F264" s="318"/>
      <c r="G264" s="315"/>
      <c r="H264" s="315"/>
      <c r="I264" s="315"/>
      <c r="J264" s="317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</row>
    <row r="265">
      <c r="A265" s="377" t="s">
        <v>381</v>
      </c>
      <c r="B265" s="311"/>
      <c r="C265" s="311"/>
      <c r="D265" s="311"/>
      <c r="E265" s="311"/>
      <c r="F265" s="311"/>
      <c r="G265" s="311"/>
      <c r="H265" s="311"/>
      <c r="I265" s="311"/>
      <c r="J265" s="30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</row>
    <row r="266">
      <c r="A266" s="377" t="s">
        <v>11</v>
      </c>
      <c r="B266" s="311"/>
      <c r="C266" s="311"/>
      <c r="D266" s="311"/>
      <c r="E266" s="311"/>
      <c r="F266" s="311"/>
      <c r="G266" s="311"/>
      <c r="H266" s="311"/>
      <c r="I266" s="311"/>
      <c r="J266" s="30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</row>
    <row r="267">
      <c r="A267" s="377" t="s">
        <v>347</v>
      </c>
      <c r="B267" s="311"/>
      <c r="C267" s="311"/>
      <c r="D267" s="311"/>
      <c r="E267" s="311"/>
      <c r="F267" s="311"/>
      <c r="G267" s="311"/>
      <c r="H267" s="311"/>
      <c r="I267" s="311"/>
      <c r="J267" s="30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</row>
    <row r="268">
      <c r="A268" s="335"/>
      <c r="B268" s="336"/>
      <c r="C268" s="336"/>
      <c r="D268" s="337"/>
      <c r="E268" s="338"/>
      <c r="F268" s="339"/>
      <c r="G268" s="337"/>
      <c r="H268" s="337"/>
      <c r="I268" s="337"/>
      <c r="J268" s="338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</row>
    <row r="269">
      <c r="A269" s="246" t="s">
        <v>348</v>
      </c>
      <c r="B269" s="247" t="s">
        <v>349</v>
      </c>
      <c r="C269" s="247" t="s">
        <v>350</v>
      </c>
      <c r="D269" s="247" t="s">
        <v>7</v>
      </c>
      <c r="E269" s="341" t="s">
        <v>351</v>
      </c>
      <c r="F269" s="342" t="s">
        <v>352</v>
      </c>
      <c r="G269" s="30"/>
      <c r="H269" s="248" t="s">
        <v>353</v>
      </c>
      <c r="I269" s="30"/>
      <c r="J269" s="341" t="s">
        <v>354</v>
      </c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</row>
    <row r="270">
      <c r="A270" s="50"/>
      <c r="B270" s="30"/>
      <c r="C270" s="30"/>
      <c r="D270" s="30"/>
      <c r="E270" s="30"/>
      <c r="F270" s="343" t="s">
        <v>355</v>
      </c>
      <c r="G270" s="249" t="s">
        <v>356</v>
      </c>
      <c r="H270" s="249" t="s">
        <v>355</v>
      </c>
      <c r="I270" s="249" t="s">
        <v>356</v>
      </c>
      <c r="J270" s="30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</row>
    <row r="271">
      <c r="A271" s="345">
        <v>1.0</v>
      </c>
      <c r="B271" s="346">
        <v>2.0</v>
      </c>
      <c r="C271" s="346">
        <v>3.0</v>
      </c>
      <c r="D271" s="346">
        <v>4.0</v>
      </c>
      <c r="E271" s="347">
        <v>5.0</v>
      </c>
      <c r="F271" s="348">
        <v>6.0</v>
      </c>
      <c r="G271" s="346">
        <v>7.0</v>
      </c>
      <c r="H271" s="346">
        <v>8.0</v>
      </c>
      <c r="I271" s="346">
        <v>9.0</v>
      </c>
      <c r="J271" s="347">
        <v>10.0</v>
      </c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</row>
    <row r="272">
      <c r="A272" s="388">
        <v>1.0</v>
      </c>
      <c r="B272" s="389"/>
      <c r="C272" s="378" t="s">
        <v>647</v>
      </c>
      <c r="D272" s="379" t="s">
        <v>126</v>
      </c>
      <c r="E272" s="390"/>
      <c r="F272" s="391" t="s">
        <v>278</v>
      </c>
      <c r="G272" s="388" t="s">
        <v>278</v>
      </c>
      <c r="H272" s="392"/>
      <c r="I272" s="392"/>
      <c r="J272" s="393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</row>
    <row r="273">
      <c r="A273" s="388">
        <v>2.0</v>
      </c>
      <c r="B273" s="389"/>
      <c r="C273" s="378" t="s">
        <v>279</v>
      </c>
      <c r="D273" s="379" t="s">
        <v>126</v>
      </c>
      <c r="E273" s="394" t="s">
        <v>648</v>
      </c>
      <c r="F273" s="391">
        <v>18.0</v>
      </c>
      <c r="G273" s="388">
        <v>899.1</v>
      </c>
      <c r="H273" s="392"/>
      <c r="I273" s="392"/>
      <c r="J273" s="395" t="s">
        <v>280</v>
      </c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</row>
    <row r="274">
      <c r="A274" s="388">
        <v>3.0</v>
      </c>
      <c r="B274" s="389"/>
      <c r="C274" s="378" t="s">
        <v>282</v>
      </c>
      <c r="D274" s="379" t="s">
        <v>96</v>
      </c>
      <c r="E274" s="390"/>
      <c r="F274" s="391" t="s">
        <v>278</v>
      </c>
      <c r="G274" s="388" t="s">
        <v>278</v>
      </c>
      <c r="H274" s="392"/>
      <c r="I274" s="392"/>
      <c r="J274" s="393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</row>
    <row r="275">
      <c r="A275" s="388">
        <v>4.0</v>
      </c>
      <c r="B275" s="389"/>
      <c r="C275" s="378" t="s">
        <v>283</v>
      </c>
      <c r="D275" s="379" t="s">
        <v>96</v>
      </c>
      <c r="E275" s="394" t="s">
        <v>649</v>
      </c>
      <c r="F275" s="391">
        <v>2.0</v>
      </c>
      <c r="G275" s="388">
        <v>72.072</v>
      </c>
      <c r="H275" s="392"/>
      <c r="I275" s="392"/>
      <c r="J275" s="395" t="s">
        <v>284</v>
      </c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</row>
    <row r="276">
      <c r="A276" s="388">
        <v>5.0</v>
      </c>
      <c r="B276" s="389"/>
      <c r="C276" s="378" t="s">
        <v>285</v>
      </c>
      <c r="D276" s="379" t="s">
        <v>141</v>
      </c>
      <c r="E276" s="390"/>
      <c r="F276" s="391" t="s">
        <v>278</v>
      </c>
      <c r="G276" s="388" t="s">
        <v>278</v>
      </c>
      <c r="H276" s="392"/>
      <c r="I276" s="392"/>
      <c r="J276" s="396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</row>
    <row r="277">
      <c r="A277" s="388">
        <v>6.0</v>
      </c>
      <c r="B277" s="389"/>
      <c r="C277" s="378" t="s">
        <v>286</v>
      </c>
      <c r="D277" s="379" t="s">
        <v>121</v>
      </c>
      <c r="E277" s="394" t="s">
        <v>648</v>
      </c>
      <c r="F277" s="391">
        <v>12.0</v>
      </c>
      <c r="G277" s="388">
        <v>599.4</v>
      </c>
      <c r="H277" s="392"/>
      <c r="I277" s="392"/>
      <c r="J277" s="395" t="s">
        <v>280</v>
      </c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</row>
    <row r="278">
      <c r="A278" s="388">
        <v>7.0</v>
      </c>
      <c r="B278" s="389"/>
      <c r="C278" s="378" t="s">
        <v>287</v>
      </c>
      <c r="D278" s="379" t="s">
        <v>141</v>
      </c>
      <c r="E278" s="390"/>
      <c r="F278" s="391" t="s">
        <v>278</v>
      </c>
      <c r="G278" s="388" t="s">
        <v>278</v>
      </c>
      <c r="H278" s="392"/>
      <c r="I278" s="392"/>
      <c r="J278" s="396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</row>
    <row r="279">
      <c r="A279" s="388">
        <v>8.0</v>
      </c>
      <c r="B279" s="389"/>
      <c r="C279" s="378" t="s">
        <v>288</v>
      </c>
      <c r="D279" s="379" t="s">
        <v>121</v>
      </c>
      <c r="E279" s="394" t="s">
        <v>648</v>
      </c>
      <c r="F279" s="391">
        <v>12.0</v>
      </c>
      <c r="G279" s="388">
        <v>599.4</v>
      </c>
      <c r="H279" s="392"/>
      <c r="I279" s="392"/>
      <c r="J279" s="395" t="s">
        <v>280</v>
      </c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</row>
    <row r="280">
      <c r="A280" s="388">
        <v>9.0</v>
      </c>
      <c r="B280" s="389"/>
      <c r="C280" s="378" t="s">
        <v>289</v>
      </c>
      <c r="D280" s="379" t="s">
        <v>96</v>
      </c>
      <c r="E280" s="394" t="s">
        <v>650</v>
      </c>
      <c r="F280" s="391">
        <v>137.0</v>
      </c>
      <c r="G280" s="388">
        <v>821.938</v>
      </c>
      <c r="H280" s="392"/>
      <c r="I280" s="392"/>
      <c r="J280" s="395" t="s">
        <v>280</v>
      </c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</row>
    <row r="281">
      <c r="A281" s="388">
        <v>10.0</v>
      </c>
      <c r="B281" s="389"/>
      <c r="C281" s="378" t="s">
        <v>290</v>
      </c>
      <c r="D281" s="379" t="s">
        <v>96</v>
      </c>
      <c r="E281" s="390"/>
      <c r="F281" s="391" t="s">
        <v>278</v>
      </c>
      <c r="G281" s="388" t="s">
        <v>278</v>
      </c>
      <c r="H281" s="392"/>
      <c r="I281" s="392"/>
      <c r="J281" s="393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</row>
    <row r="282">
      <c r="A282" s="388">
        <v>11.0</v>
      </c>
      <c r="B282" s="389"/>
      <c r="C282" s="378" t="s">
        <v>651</v>
      </c>
      <c r="D282" s="379" t="s">
        <v>292</v>
      </c>
      <c r="E282" s="394" t="s">
        <v>649</v>
      </c>
      <c r="F282" s="391">
        <v>9.0</v>
      </c>
      <c r="G282" s="388">
        <v>324.324</v>
      </c>
      <c r="H282" s="392"/>
      <c r="I282" s="392"/>
      <c r="J282" s="395" t="s">
        <v>284</v>
      </c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</row>
    <row r="283">
      <c r="A283" s="388">
        <v>12.0</v>
      </c>
      <c r="B283" s="389"/>
      <c r="C283" s="378" t="s">
        <v>293</v>
      </c>
      <c r="D283" s="379" t="s">
        <v>96</v>
      </c>
      <c r="E283" s="390"/>
      <c r="F283" s="391" t="s">
        <v>278</v>
      </c>
      <c r="G283" s="388" t="s">
        <v>278</v>
      </c>
      <c r="H283" s="392"/>
      <c r="I283" s="392"/>
      <c r="J283" s="393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</row>
    <row r="284">
      <c r="A284" s="388">
        <v>13.0</v>
      </c>
      <c r="B284" s="389"/>
      <c r="C284" s="378" t="s">
        <v>294</v>
      </c>
      <c r="D284" s="379" t="s">
        <v>121</v>
      </c>
      <c r="E284" s="394" t="s">
        <v>652</v>
      </c>
      <c r="F284" s="391">
        <v>9.0</v>
      </c>
      <c r="G284" s="388" t="s">
        <v>653</v>
      </c>
      <c r="H284" s="392"/>
      <c r="I284" s="392"/>
      <c r="J284" s="397" t="s">
        <v>92</v>
      </c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</row>
    <row r="285">
      <c r="A285" s="388">
        <v>14.0</v>
      </c>
      <c r="B285" s="389"/>
      <c r="C285" s="378" t="s">
        <v>295</v>
      </c>
      <c r="D285" s="379" t="s">
        <v>292</v>
      </c>
      <c r="E285" s="394" t="s">
        <v>649</v>
      </c>
      <c r="F285" s="391">
        <v>5.0</v>
      </c>
      <c r="G285" s="388">
        <v>180.18</v>
      </c>
      <c r="H285" s="392"/>
      <c r="I285" s="392"/>
      <c r="J285" s="395" t="s">
        <v>284</v>
      </c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</row>
    <row r="286">
      <c r="A286" s="398">
        <v>15.0</v>
      </c>
      <c r="B286" s="399"/>
      <c r="C286" s="384" t="s">
        <v>296</v>
      </c>
      <c r="D286" s="379" t="s">
        <v>91</v>
      </c>
      <c r="E286" s="394" t="s">
        <v>525</v>
      </c>
      <c r="F286" s="391">
        <v>133.0</v>
      </c>
      <c r="G286" s="388" t="s">
        <v>654</v>
      </c>
      <c r="H286" s="392"/>
      <c r="I286" s="392"/>
      <c r="J286" s="395" t="s">
        <v>284</v>
      </c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</row>
    <row r="287">
      <c r="A287" s="50"/>
      <c r="B287" s="50"/>
      <c r="C287" s="50"/>
      <c r="D287" s="379" t="s">
        <v>91</v>
      </c>
      <c r="E287" s="394" t="s">
        <v>655</v>
      </c>
      <c r="F287" s="391">
        <v>340.0</v>
      </c>
      <c r="G287" s="388" t="s">
        <v>656</v>
      </c>
      <c r="H287" s="392"/>
      <c r="I287" s="392"/>
      <c r="J287" s="395" t="s">
        <v>280</v>
      </c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</row>
    <row r="288">
      <c r="A288" s="388">
        <v>16.0</v>
      </c>
      <c r="B288" s="389"/>
      <c r="C288" s="378" t="s">
        <v>297</v>
      </c>
      <c r="D288" s="379" t="s">
        <v>91</v>
      </c>
      <c r="E288" s="394" t="s">
        <v>657</v>
      </c>
      <c r="F288" s="391">
        <v>10.0</v>
      </c>
      <c r="G288" s="388">
        <v>216.22</v>
      </c>
      <c r="H288" s="392"/>
      <c r="I288" s="392"/>
      <c r="J288" s="395" t="s">
        <v>284</v>
      </c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</row>
    <row r="289">
      <c r="A289" s="388">
        <v>17.0</v>
      </c>
      <c r="B289" s="389"/>
      <c r="C289" s="378" t="s">
        <v>298</v>
      </c>
      <c r="D289" s="400" t="s">
        <v>121</v>
      </c>
      <c r="E289" s="390"/>
      <c r="F289" s="391" t="s">
        <v>278</v>
      </c>
      <c r="G289" s="388" t="s">
        <v>278</v>
      </c>
      <c r="H289" s="392"/>
      <c r="I289" s="392"/>
      <c r="J289" s="393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</row>
    <row r="290">
      <c r="A290" s="388">
        <v>18.0</v>
      </c>
      <c r="B290" s="389"/>
      <c r="C290" s="378" t="s">
        <v>299</v>
      </c>
      <c r="D290" s="400" t="s">
        <v>91</v>
      </c>
      <c r="E290" s="394" t="s">
        <v>658</v>
      </c>
      <c r="F290" s="391">
        <v>25.0</v>
      </c>
      <c r="G290" s="388">
        <v>513.375</v>
      </c>
      <c r="H290" s="392"/>
      <c r="I290" s="392"/>
      <c r="J290" s="397" t="s">
        <v>92</v>
      </c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</row>
    <row r="291">
      <c r="A291" s="388">
        <v>19.0</v>
      </c>
      <c r="B291" s="389"/>
      <c r="C291" s="378" t="s">
        <v>300</v>
      </c>
      <c r="D291" s="379" t="s">
        <v>96</v>
      </c>
      <c r="E291" s="394" t="s">
        <v>659</v>
      </c>
      <c r="F291" s="391">
        <v>2.0</v>
      </c>
      <c r="G291" s="388">
        <v>432.9</v>
      </c>
      <c r="H291" s="392"/>
      <c r="I291" s="392"/>
      <c r="J291" s="397" t="s">
        <v>97</v>
      </c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</row>
    <row r="292">
      <c r="A292" s="398">
        <v>20.0</v>
      </c>
      <c r="B292" s="399"/>
      <c r="C292" s="384" t="s">
        <v>301</v>
      </c>
      <c r="D292" s="379" t="s">
        <v>91</v>
      </c>
      <c r="E292" s="394" t="s">
        <v>618</v>
      </c>
      <c r="F292" s="391" t="s">
        <v>278</v>
      </c>
      <c r="G292" s="388" t="s">
        <v>278</v>
      </c>
      <c r="H292" s="392"/>
      <c r="I292" s="392"/>
      <c r="J292" s="397" t="s">
        <v>144</v>
      </c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</row>
    <row r="293">
      <c r="A293" s="16"/>
      <c r="B293" s="16"/>
      <c r="C293" s="16"/>
      <c r="D293" s="379" t="s">
        <v>91</v>
      </c>
      <c r="E293" s="394" t="s">
        <v>660</v>
      </c>
      <c r="F293" s="391" t="s">
        <v>278</v>
      </c>
      <c r="G293" s="388" t="s">
        <v>278</v>
      </c>
      <c r="H293" s="392"/>
      <c r="I293" s="392"/>
      <c r="J293" s="395" t="s">
        <v>284</v>
      </c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</row>
    <row r="294">
      <c r="A294" s="50"/>
      <c r="B294" s="50"/>
      <c r="C294" s="50"/>
      <c r="D294" s="379" t="s">
        <v>91</v>
      </c>
      <c r="E294" s="394" t="s">
        <v>661</v>
      </c>
      <c r="F294" s="391">
        <v>68.0</v>
      </c>
      <c r="G294" s="388" t="s">
        <v>662</v>
      </c>
      <c r="H294" s="392"/>
      <c r="I294" s="392"/>
      <c r="J294" s="395" t="s">
        <v>280</v>
      </c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</row>
    <row r="295">
      <c r="A295" s="398">
        <v>21.0</v>
      </c>
      <c r="B295" s="399"/>
      <c r="C295" s="384" t="s">
        <v>303</v>
      </c>
      <c r="D295" s="400" t="s">
        <v>91</v>
      </c>
      <c r="E295" s="394" t="s">
        <v>663</v>
      </c>
      <c r="F295" s="391" t="s">
        <v>278</v>
      </c>
      <c r="G295" s="388" t="s">
        <v>278</v>
      </c>
      <c r="H295" s="392"/>
      <c r="I295" s="392"/>
      <c r="J295" s="397" t="s">
        <v>144</v>
      </c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</row>
    <row r="296">
      <c r="A296" s="16"/>
      <c r="B296" s="16"/>
      <c r="C296" s="16"/>
      <c r="D296" s="400" t="s">
        <v>91</v>
      </c>
      <c r="E296" s="394" t="s">
        <v>435</v>
      </c>
      <c r="F296" s="391">
        <v>41.0</v>
      </c>
      <c r="G296" s="388">
        <v>997.284</v>
      </c>
      <c r="H296" s="392"/>
      <c r="I296" s="392"/>
      <c r="J296" s="395" t="s">
        <v>284</v>
      </c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</row>
    <row r="297">
      <c r="A297" s="50"/>
      <c r="B297" s="50"/>
      <c r="C297" s="50"/>
      <c r="D297" s="400" t="s">
        <v>91</v>
      </c>
      <c r="E297" s="394" t="s">
        <v>664</v>
      </c>
      <c r="F297" s="391">
        <v>85.0</v>
      </c>
      <c r="G297" s="388" t="s">
        <v>665</v>
      </c>
      <c r="H297" s="392"/>
      <c r="I297" s="392"/>
      <c r="J297" s="395" t="s">
        <v>280</v>
      </c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</row>
    <row r="298">
      <c r="A298" s="388">
        <v>22.0</v>
      </c>
      <c r="B298" s="389"/>
      <c r="C298" s="378" t="s">
        <v>304</v>
      </c>
      <c r="D298" s="400" t="s">
        <v>91</v>
      </c>
      <c r="E298" s="394" t="s">
        <v>666</v>
      </c>
      <c r="F298" s="391">
        <v>115.0</v>
      </c>
      <c r="G298" s="388" t="s">
        <v>667</v>
      </c>
      <c r="H298" s="392"/>
      <c r="I298" s="392"/>
      <c r="J298" s="397" t="s">
        <v>110</v>
      </c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</row>
    <row r="299">
      <c r="A299" s="388">
        <v>23.0</v>
      </c>
      <c r="B299" s="389"/>
      <c r="C299" s="378" t="s">
        <v>305</v>
      </c>
      <c r="D299" s="379" t="s">
        <v>306</v>
      </c>
      <c r="E299" s="394" t="s">
        <v>591</v>
      </c>
      <c r="F299" s="391">
        <v>10.0</v>
      </c>
      <c r="G299" s="388">
        <v>306.31</v>
      </c>
      <c r="H299" s="392"/>
      <c r="I299" s="392"/>
      <c r="J299" s="395" t="s">
        <v>284</v>
      </c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</row>
    <row r="300">
      <c r="A300" s="388">
        <v>24.0</v>
      </c>
      <c r="B300" s="389"/>
      <c r="C300" s="378" t="s">
        <v>307</v>
      </c>
      <c r="D300" s="379" t="s">
        <v>121</v>
      </c>
      <c r="E300" s="390"/>
      <c r="F300" s="391" t="s">
        <v>278</v>
      </c>
      <c r="G300" s="388" t="s">
        <v>278</v>
      </c>
      <c r="H300" s="392"/>
      <c r="I300" s="392"/>
      <c r="J300" s="396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</row>
    <row r="301">
      <c r="A301" s="388">
        <v>25.0</v>
      </c>
      <c r="B301" s="389"/>
      <c r="C301" s="378" t="s">
        <v>308</v>
      </c>
      <c r="D301" s="379" t="s">
        <v>309</v>
      </c>
      <c r="E301" s="394" t="s">
        <v>649</v>
      </c>
      <c r="F301" s="391" t="s">
        <v>278</v>
      </c>
      <c r="G301" s="388" t="s">
        <v>278</v>
      </c>
      <c r="H301" s="392"/>
      <c r="I301" s="392"/>
      <c r="J301" s="395" t="s">
        <v>284</v>
      </c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</row>
    <row r="302" ht="23.25" customHeight="1">
      <c r="A302" s="398">
        <v>26.0</v>
      </c>
      <c r="B302" s="401"/>
      <c r="C302" s="384" t="s">
        <v>310</v>
      </c>
      <c r="D302" s="379" t="s">
        <v>91</v>
      </c>
      <c r="E302" s="382" t="s">
        <v>668</v>
      </c>
      <c r="F302" s="388" t="s">
        <v>278</v>
      </c>
      <c r="G302" s="402" t="s">
        <v>278</v>
      </c>
      <c r="H302" s="386"/>
      <c r="I302" s="386"/>
      <c r="J302" s="388" t="s">
        <v>284</v>
      </c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</row>
    <row r="303">
      <c r="A303" s="50"/>
      <c r="B303" s="50"/>
      <c r="C303" s="50"/>
      <c r="D303" s="379" t="s">
        <v>91</v>
      </c>
      <c r="E303" s="382" t="s">
        <v>669</v>
      </c>
      <c r="F303" s="388">
        <v>64.0</v>
      </c>
      <c r="G303" s="388">
        <v>807.228</v>
      </c>
      <c r="H303" s="386"/>
      <c r="I303" s="386"/>
      <c r="J303" s="388" t="s">
        <v>280</v>
      </c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</row>
    <row r="304">
      <c r="A304" s="388">
        <v>27.0</v>
      </c>
      <c r="B304" s="403"/>
      <c r="C304" s="378" t="s">
        <v>311</v>
      </c>
      <c r="D304" s="379" t="s">
        <v>121</v>
      </c>
      <c r="E304" s="382" t="s">
        <v>538</v>
      </c>
      <c r="F304" s="388">
        <v>8.0</v>
      </c>
      <c r="G304" s="388">
        <v>177.6</v>
      </c>
      <c r="H304" s="386"/>
      <c r="I304" s="392"/>
      <c r="J304" s="379" t="s">
        <v>92</v>
      </c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</row>
    <row r="305">
      <c r="A305" s="388">
        <v>28.0</v>
      </c>
      <c r="B305" s="403"/>
      <c r="C305" s="378" t="s">
        <v>312</v>
      </c>
      <c r="D305" s="379" t="s">
        <v>121</v>
      </c>
      <c r="E305" s="382" t="s">
        <v>652</v>
      </c>
      <c r="F305" s="388">
        <v>1.0</v>
      </c>
      <c r="G305" s="388">
        <v>133.2</v>
      </c>
      <c r="H305" s="386"/>
      <c r="I305" s="386"/>
      <c r="J305" s="379" t="s">
        <v>92</v>
      </c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</row>
    <row r="306">
      <c r="A306" s="388">
        <v>29.0</v>
      </c>
      <c r="B306" s="403"/>
      <c r="C306" s="378" t="s">
        <v>313</v>
      </c>
      <c r="D306" s="379" t="s">
        <v>121</v>
      </c>
      <c r="E306" s="382" t="s">
        <v>670</v>
      </c>
      <c r="F306" s="388">
        <v>17.0</v>
      </c>
      <c r="G306" s="388" t="s">
        <v>671</v>
      </c>
      <c r="H306" s="386"/>
      <c r="I306" s="386"/>
      <c r="J306" s="388" t="s">
        <v>280</v>
      </c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</row>
    <row r="307">
      <c r="A307" s="388">
        <v>30.0</v>
      </c>
      <c r="B307" s="403"/>
      <c r="C307" s="378" t="s">
        <v>314</v>
      </c>
      <c r="D307" s="379" t="s">
        <v>114</v>
      </c>
      <c r="E307" s="382" t="s">
        <v>672</v>
      </c>
      <c r="F307" s="388" t="s">
        <v>278</v>
      </c>
      <c r="G307" s="388" t="s">
        <v>278</v>
      </c>
      <c r="H307" s="386"/>
      <c r="I307" s="386"/>
      <c r="J307" s="379" t="s">
        <v>97</v>
      </c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</row>
    <row r="308">
      <c r="A308" s="398">
        <v>31.0</v>
      </c>
      <c r="B308" s="401"/>
      <c r="C308" s="384" t="s">
        <v>673</v>
      </c>
      <c r="D308" s="379" t="s">
        <v>114</v>
      </c>
      <c r="E308" s="382" t="s">
        <v>476</v>
      </c>
      <c r="F308" s="388" t="s">
        <v>278</v>
      </c>
      <c r="G308" s="388" t="s">
        <v>278</v>
      </c>
      <c r="H308" s="386"/>
      <c r="I308" s="386"/>
      <c r="J308" s="388" t="s">
        <v>284</v>
      </c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</row>
    <row r="309">
      <c r="A309" s="50"/>
      <c r="B309" s="50"/>
      <c r="C309" s="50"/>
      <c r="D309" s="383"/>
      <c r="E309" s="382" t="s">
        <v>674</v>
      </c>
      <c r="F309" s="388">
        <v>173.0</v>
      </c>
      <c r="G309" s="388" t="s">
        <v>675</v>
      </c>
      <c r="H309" s="386"/>
      <c r="I309" s="386"/>
      <c r="J309" s="388" t="s">
        <v>280</v>
      </c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</row>
    <row r="310">
      <c r="A310" s="388">
        <v>32.0</v>
      </c>
      <c r="B310" s="403"/>
      <c r="C310" s="378" t="s">
        <v>384</v>
      </c>
      <c r="D310" s="379" t="s">
        <v>96</v>
      </c>
      <c r="E310" s="380"/>
      <c r="F310" s="388" t="s">
        <v>278</v>
      </c>
      <c r="G310" s="388" t="s">
        <v>278</v>
      </c>
      <c r="H310" s="386"/>
      <c r="I310" s="386"/>
      <c r="J310" s="383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</row>
    <row r="311">
      <c r="A311" s="398">
        <v>33.0</v>
      </c>
      <c r="B311" s="401"/>
      <c r="C311" s="384" t="s">
        <v>676</v>
      </c>
      <c r="D311" s="379" t="s">
        <v>105</v>
      </c>
      <c r="E311" s="382" t="s">
        <v>668</v>
      </c>
      <c r="F311" s="388" t="s">
        <v>278</v>
      </c>
      <c r="G311" s="388" t="s">
        <v>278</v>
      </c>
      <c r="H311" s="386"/>
      <c r="I311" s="386"/>
      <c r="J311" s="388" t="s">
        <v>284</v>
      </c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</row>
    <row r="312">
      <c r="A312" s="50"/>
      <c r="B312" s="50"/>
      <c r="C312" s="50"/>
      <c r="D312" s="379" t="s">
        <v>105</v>
      </c>
      <c r="E312" s="382" t="s">
        <v>677</v>
      </c>
      <c r="F312" s="388">
        <v>206.0</v>
      </c>
      <c r="G312" s="388" t="s">
        <v>678</v>
      </c>
      <c r="H312" s="386"/>
      <c r="I312" s="386"/>
      <c r="J312" s="388" t="s">
        <v>280</v>
      </c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</row>
    <row r="313">
      <c r="A313" s="388">
        <v>34.0</v>
      </c>
      <c r="B313" s="403"/>
      <c r="C313" s="378" t="s">
        <v>317</v>
      </c>
      <c r="D313" s="379" t="s">
        <v>121</v>
      </c>
      <c r="E313" s="382" t="s">
        <v>679</v>
      </c>
      <c r="F313" s="388">
        <v>49.0</v>
      </c>
      <c r="G313" s="388" t="s">
        <v>680</v>
      </c>
      <c r="H313" s="386"/>
      <c r="I313" s="386"/>
      <c r="J313" s="388" t="s">
        <v>280</v>
      </c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</row>
    <row r="314">
      <c r="A314" s="367" t="s">
        <v>333</v>
      </c>
      <c r="B314" s="10"/>
      <c r="C314" s="10"/>
      <c r="D314" s="10"/>
      <c r="E314" s="10"/>
      <c r="F314" s="14"/>
      <c r="G314" s="368" t="s">
        <v>681</v>
      </c>
      <c r="H314" s="369"/>
      <c r="I314" s="369"/>
      <c r="J314" s="369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</row>
    <row r="315">
      <c r="A315" s="370"/>
      <c r="B315" s="312"/>
      <c r="C315" s="312"/>
      <c r="D315" s="312"/>
      <c r="E315" s="312"/>
      <c r="F315" s="312"/>
      <c r="G315" s="312"/>
      <c r="H315" s="312"/>
      <c r="I315" s="312"/>
      <c r="J315" s="312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</row>
    <row r="316">
      <c r="A316" s="370"/>
      <c r="B316" s="312"/>
      <c r="C316" s="312"/>
      <c r="D316" s="312"/>
      <c r="E316" s="312"/>
      <c r="F316" s="312"/>
      <c r="G316" s="312"/>
      <c r="H316" s="312"/>
      <c r="I316" s="387" t="s">
        <v>580</v>
      </c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</row>
    <row r="317">
      <c r="A317" s="370"/>
      <c r="B317" s="312"/>
      <c r="C317" s="312"/>
      <c r="D317" s="374"/>
      <c r="E317" s="312"/>
      <c r="F317" s="312"/>
      <c r="G317" s="312"/>
      <c r="H317" s="312"/>
      <c r="I317" s="312"/>
      <c r="J317" s="312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</row>
    <row r="318">
      <c r="A318" s="370"/>
      <c r="B318" s="312"/>
      <c r="C318" s="313" t="s">
        <v>364</v>
      </c>
      <c r="D318" s="374"/>
      <c r="E318" s="312"/>
      <c r="F318" s="312"/>
      <c r="G318" s="312"/>
      <c r="H318" s="313" t="s">
        <v>365</v>
      </c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</row>
    <row r="319">
      <c r="A319" s="370"/>
      <c r="B319" s="312"/>
      <c r="C319" s="313" t="s">
        <v>366</v>
      </c>
      <c r="D319" s="374"/>
      <c r="E319" s="312"/>
      <c r="F319" s="312"/>
      <c r="G319" s="312"/>
      <c r="H319" s="374"/>
      <c r="I319" s="374"/>
      <c r="J319" s="374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</row>
    <row r="320">
      <c r="A320" s="370"/>
      <c r="B320" s="374"/>
      <c r="C320" s="313" t="s">
        <v>367</v>
      </c>
      <c r="D320" s="374"/>
      <c r="E320" s="312"/>
      <c r="F320" s="312"/>
      <c r="G320" s="312"/>
      <c r="H320" s="374"/>
      <c r="I320" s="374"/>
      <c r="J320" s="374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</row>
    <row r="321">
      <c r="A321" s="370"/>
      <c r="B321" s="374"/>
      <c r="C321" s="374"/>
      <c r="D321" s="374"/>
      <c r="E321" s="312"/>
      <c r="F321" s="312"/>
      <c r="G321" s="312"/>
      <c r="H321" s="374"/>
      <c r="I321" s="374"/>
      <c r="J321" s="374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</row>
    <row r="322">
      <c r="A322" s="370"/>
      <c r="B322" s="374"/>
      <c r="C322" s="374"/>
      <c r="D322" s="374"/>
      <c r="E322" s="312"/>
      <c r="F322" s="312"/>
      <c r="G322" s="312"/>
      <c r="H322" s="374"/>
      <c r="I322" s="374"/>
      <c r="J322" s="374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</row>
    <row r="323">
      <c r="A323" s="370"/>
      <c r="B323" s="374"/>
      <c r="C323" s="374"/>
      <c r="D323" s="374"/>
      <c r="E323" s="312"/>
      <c r="F323" s="312"/>
      <c r="G323" s="312"/>
      <c r="H323" s="312"/>
      <c r="I323" s="312"/>
      <c r="J323" s="312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</row>
    <row r="324">
      <c r="A324" s="370"/>
      <c r="B324" s="404" t="s">
        <v>368</v>
      </c>
      <c r="E324" s="312"/>
      <c r="F324" s="312"/>
      <c r="G324" s="312"/>
      <c r="H324" s="374"/>
      <c r="I324" s="313" t="s">
        <v>369</v>
      </c>
      <c r="J324" s="374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</row>
    <row r="325">
      <c r="A325" s="370"/>
      <c r="B325" s="404" t="s">
        <v>370</v>
      </c>
      <c r="E325" s="312"/>
      <c r="F325" s="312"/>
      <c r="G325" s="312"/>
      <c r="H325" s="374"/>
      <c r="I325" s="313" t="s">
        <v>371</v>
      </c>
      <c r="J325" s="374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</row>
    <row r="326">
      <c r="A326" s="370"/>
      <c r="B326" s="312"/>
      <c r="C326" s="312"/>
      <c r="D326" s="312"/>
      <c r="E326" s="312"/>
      <c r="F326" s="312"/>
      <c r="G326" s="312"/>
      <c r="H326" s="312"/>
      <c r="I326" s="312"/>
      <c r="J326" s="312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</row>
  </sheetData>
  <mergeCells count="238">
    <mergeCell ref="I217:J217"/>
    <mergeCell ref="H219:J219"/>
    <mergeCell ref="A230:J230"/>
    <mergeCell ref="A231:J231"/>
    <mergeCell ref="A232:J232"/>
    <mergeCell ref="A234:A235"/>
    <mergeCell ref="B234:B235"/>
    <mergeCell ref="H234:I234"/>
    <mergeCell ref="J234:J235"/>
    <mergeCell ref="I251:J251"/>
    <mergeCell ref="H253:J253"/>
    <mergeCell ref="B259:D259"/>
    <mergeCell ref="B260:D260"/>
    <mergeCell ref="A265:J265"/>
    <mergeCell ref="A266:J266"/>
    <mergeCell ref="A267:J267"/>
    <mergeCell ref="A269:A270"/>
    <mergeCell ref="B269:B270"/>
    <mergeCell ref="C269:C270"/>
    <mergeCell ref="D269:D270"/>
    <mergeCell ref="E269:E270"/>
    <mergeCell ref="J269:J270"/>
    <mergeCell ref="F269:G269"/>
    <mergeCell ref="H269:I269"/>
    <mergeCell ref="A286:A287"/>
    <mergeCell ref="B286:B287"/>
    <mergeCell ref="C286:C287"/>
    <mergeCell ref="B292:B294"/>
    <mergeCell ref="C292:C294"/>
    <mergeCell ref="A292:A294"/>
    <mergeCell ref="A295:A297"/>
    <mergeCell ref="B295:B297"/>
    <mergeCell ref="C295:C297"/>
    <mergeCell ref="A302:A303"/>
    <mergeCell ref="B302:B303"/>
    <mergeCell ref="C302:C303"/>
    <mergeCell ref="I316:J316"/>
    <mergeCell ref="H318:J318"/>
    <mergeCell ref="B324:D324"/>
    <mergeCell ref="B325:D325"/>
    <mergeCell ref="A308:A309"/>
    <mergeCell ref="B308:B309"/>
    <mergeCell ref="C308:C309"/>
    <mergeCell ref="A311:A312"/>
    <mergeCell ref="B311:B312"/>
    <mergeCell ref="C311:C312"/>
    <mergeCell ref="A314:F314"/>
    <mergeCell ref="B192:B193"/>
    <mergeCell ref="C192:C193"/>
    <mergeCell ref="A181:A182"/>
    <mergeCell ref="B181:B182"/>
    <mergeCell ref="C181:C182"/>
    <mergeCell ref="A183:A184"/>
    <mergeCell ref="B183:B184"/>
    <mergeCell ref="C183:C184"/>
    <mergeCell ref="A192:A193"/>
    <mergeCell ref="B207:B208"/>
    <mergeCell ref="C207:C208"/>
    <mergeCell ref="B225:D225"/>
    <mergeCell ref="B226:D226"/>
    <mergeCell ref="A200:A202"/>
    <mergeCell ref="B200:B202"/>
    <mergeCell ref="C200:C202"/>
    <mergeCell ref="A203:A204"/>
    <mergeCell ref="B203:B204"/>
    <mergeCell ref="C203:C204"/>
    <mergeCell ref="A207:A208"/>
    <mergeCell ref="A209:A210"/>
    <mergeCell ref="B209:B210"/>
    <mergeCell ref="C209:C210"/>
    <mergeCell ref="A212:A213"/>
    <mergeCell ref="B212:B213"/>
    <mergeCell ref="C212:C213"/>
    <mergeCell ref="A215:F215"/>
    <mergeCell ref="C234:C235"/>
    <mergeCell ref="D234:D235"/>
    <mergeCell ref="A238:A239"/>
    <mergeCell ref="B238:B239"/>
    <mergeCell ref="C238:C239"/>
    <mergeCell ref="A249:F249"/>
    <mergeCell ref="E234:E235"/>
    <mergeCell ref="F234:G234"/>
    <mergeCell ref="H5:I5"/>
    <mergeCell ref="J5:J6"/>
    <mergeCell ref="A1:J1"/>
    <mergeCell ref="A2:J2"/>
    <mergeCell ref="A3:J3"/>
    <mergeCell ref="A5:A6"/>
    <mergeCell ref="B5:B6"/>
    <mergeCell ref="C5:C6"/>
    <mergeCell ref="D5:D6"/>
    <mergeCell ref="E5:E6"/>
    <mergeCell ref="F5:G5"/>
    <mergeCell ref="A8:A9"/>
    <mergeCell ref="B8:B9"/>
    <mergeCell ref="C8:C9"/>
    <mergeCell ref="A11:A12"/>
    <mergeCell ref="A13:A14"/>
    <mergeCell ref="B13:B14"/>
    <mergeCell ref="C13:C14"/>
    <mergeCell ref="A16:A17"/>
    <mergeCell ref="B16:B17"/>
    <mergeCell ref="C16:C17"/>
    <mergeCell ref="B20:B21"/>
    <mergeCell ref="C20:C21"/>
    <mergeCell ref="A20:A21"/>
    <mergeCell ref="A22:A23"/>
    <mergeCell ref="B22:B23"/>
    <mergeCell ref="C22:C23"/>
    <mergeCell ref="A25:A26"/>
    <mergeCell ref="B25:B26"/>
    <mergeCell ref="C25:C26"/>
    <mergeCell ref="A29:A30"/>
    <mergeCell ref="B29:B30"/>
    <mergeCell ref="C29:C30"/>
    <mergeCell ref="A36:A37"/>
    <mergeCell ref="B36:B37"/>
    <mergeCell ref="C36:C37"/>
    <mergeCell ref="B41:B42"/>
    <mergeCell ref="A41:A42"/>
    <mergeCell ref="A44:A45"/>
    <mergeCell ref="B44:B45"/>
    <mergeCell ref="C44:C45"/>
    <mergeCell ref="A47:A48"/>
    <mergeCell ref="B47:B48"/>
    <mergeCell ref="C47:C48"/>
    <mergeCell ref="C91:C93"/>
    <mergeCell ref="B92:B93"/>
    <mergeCell ref="A86:A87"/>
    <mergeCell ref="B86:B87"/>
    <mergeCell ref="C86:C87"/>
    <mergeCell ref="A89:A90"/>
    <mergeCell ref="B89:B90"/>
    <mergeCell ref="C89:C90"/>
    <mergeCell ref="A91:A93"/>
    <mergeCell ref="B98:B100"/>
    <mergeCell ref="C98:C100"/>
    <mergeCell ref="A94:A95"/>
    <mergeCell ref="B94:B95"/>
    <mergeCell ref="C94:C95"/>
    <mergeCell ref="A96:A97"/>
    <mergeCell ref="B96:B97"/>
    <mergeCell ref="C96:C97"/>
    <mergeCell ref="A98:A100"/>
    <mergeCell ref="B107:B108"/>
    <mergeCell ref="C107:C108"/>
    <mergeCell ref="A102:A103"/>
    <mergeCell ref="B102:B103"/>
    <mergeCell ref="C102:C103"/>
    <mergeCell ref="A105:A106"/>
    <mergeCell ref="B105:B106"/>
    <mergeCell ref="C105:C106"/>
    <mergeCell ref="A107:A108"/>
    <mergeCell ref="B114:B115"/>
    <mergeCell ref="C114:C115"/>
    <mergeCell ref="A109:A110"/>
    <mergeCell ref="B109:B110"/>
    <mergeCell ref="C109:C110"/>
    <mergeCell ref="A111:A112"/>
    <mergeCell ref="B111:B112"/>
    <mergeCell ref="C111:C112"/>
    <mergeCell ref="A114:A115"/>
    <mergeCell ref="B57:B58"/>
    <mergeCell ref="C57:C58"/>
    <mergeCell ref="A50:A51"/>
    <mergeCell ref="B50:B51"/>
    <mergeCell ref="C50:C51"/>
    <mergeCell ref="A54:A55"/>
    <mergeCell ref="B54:B55"/>
    <mergeCell ref="C54:C55"/>
    <mergeCell ref="A57:A58"/>
    <mergeCell ref="B65:B66"/>
    <mergeCell ref="C65:C66"/>
    <mergeCell ref="A59:A60"/>
    <mergeCell ref="B59:B60"/>
    <mergeCell ref="C59:C60"/>
    <mergeCell ref="A61:A62"/>
    <mergeCell ref="B61:B62"/>
    <mergeCell ref="C61:C62"/>
    <mergeCell ref="A65:A66"/>
    <mergeCell ref="B77:B78"/>
    <mergeCell ref="C77:C78"/>
    <mergeCell ref="A68:A70"/>
    <mergeCell ref="B68:B70"/>
    <mergeCell ref="C68:C70"/>
    <mergeCell ref="A72:A74"/>
    <mergeCell ref="B72:B74"/>
    <mergeCell ref="C72:C74"/>
    <mergeCell ref="A77:A78"/>
    <mergeCell ref="B130:B132"/>
    <mergeCell ref="C130:C132"/>
    <mergeCell ref="A122:A123"/>
    <mergeCell ref="B122:B123"/>
    <mergeCell ref="C122:C123"/>
    <mergeCell ref="A127:A129"/>
    <mergeCell ref="B127:B129"/>
    <mergeCell ref="C127:C129"/>
    <mergeCell ref="A130:A132"/>
    <mergeCell ref="A116:A117"/>
    <mergeCell ref="B116:B117"/>
    <mergeCell ref="C116:C117"/>
    <mergeCell ref="A118:A119"/>
    <mergeCell ref="B118:B119"/>
    <mergeCell ref="C118:C119"/>
    <mergeCell ref="A120:A121"/>
    <mergeCell ref="B120:B121"/>
    <mergeCell ref="C120:C121"/>
    <mergeCell ref="A133:F133"/>
    <mergeCell ref="I135:J135"/>
    <mergeCell ref="H137:J137"/>
    <mergeCell ref="B143:D143"/>
    <mergeCell ref="B144:D144"/>
    <mergeCell ref="H156:I156"/>
    <mergeCell ref="J156:J157"/>
    <mergeCell ref="A152:J152"/>
    <mergeCell ref="A153:J153"/>
    <mergeCell ref="A154:J154"/>
    <mergeCell ref="A156:A157"/>
    <mergeCell ref="B156:B157"/>
    <mergeCell ref="C156:C157"/>
    <mergeCell ref="D156:D157"/>
    <mergeCell ref="E156:E157"/>
    <mergeCell ref="F156:G156"/>
    <mergeCell ref="A159:A160"/>
    <mergeCell ref="B159:B160"/>
    <mergeCell ref="C159:C160"/>
    <mergeCell ref="B162:B163"/>
    <mergeCell ref="C162:C163"/>
    <mergeCell ref="A162:A163"/>
    <mergeCell ref="A165:A166"/>
    <mergeCell ref="B165:B166"/>
    <mergeCell ref="C165:C166"/>
    <mergeCell ref="A167:A170"/>
    <mergeCell ref="B167:B170"/>
    <mergeCell ref="C167:C170"/>
    <mergeCell ref="A195:A196"/>
    <mergeCell ref="B195:B196"/>
    <mergeCell ref="C195:C196"/>
  </mergeCells>
  <drawing r:id="rId1"/>
</worksheet>
</file>